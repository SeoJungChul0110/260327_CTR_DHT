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ngik\Source\DHT_250630\8_ChordProtocol-master\ReadMe\"/>
    </mc:Choice>
  </mc:AlternateContent>
  <xr:revisionPtr revIDLastSave="0" documentId="13_ncr:1_{1B2640D1-BED1-47D2-98FA-6E493EC1B60E}" xr6:coauthVersionLast="47" xr6:coauthVersionMax="47" xr10:uidLastSave="{00000000-0000-0000-0000-000000000000}"/>
  <bookViews>
    <workbookView xWindow="-28920" yWindow="6165" windowWidth="29040" windowHeight="15720" tabRatio="1000" firstSheet="2" activeTab="9" xr2:uid="{00000000-000D-0000-FFFF-FFFF00000000}"/>
  </bookViews>
  <sheets>
    <sheet name="1. 기본 정보" sheetId="1" r:id="rId1"/>
    <sheet name="2. Finger Table(Addr, Resource)" sheetId="3" r:id="rId2"/>
    <sheet name="3. 경로 탐색" sheetId="2" r:id="rId3"/>
    <sheet name="4. 암복호화" sheetId="4" r:id="rId4"/>
    <sheet name="5-1. Peer 경로(3개) " sheetId="5" r:id="rId5"/>
    <sheet name="5-2. Peer 경로(8개) " sheetId="6" r:id="rId6"/>
    <sheet name="5-2. Peer 경로(8개-ctr)  " sheetId="7" r:id="rId7"/>
    <sheet name="6. Peer 경로(개별 CTR, Peer 8)" sheetId="8" r:id="rId8"/>
    <sheet name="#. Peer 경로(개별 CTR, Peer 1) " sheetId="10" r:id="rId9"/>
    <sheet name="7. Peer 경로(개별 CTR, 송신자)" sheetId="9" r:id="rId10"/>
    <sheet name="8. Peer 경로(개별 CTR, 수신자) " sheetId="11" r:id="rId11"/>
  </sheets>
  <definedNames>
    <definedName name="_Hlk145398200" localSheetId="2">'3. 경로 탐색'!$D$16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11" l="1"/>
  <c r="I21" i="11"/>
  <c r="BK21" i="11"/>
  <c r="BQ21" i="11" s="1"/>
  <c r="BE21" i="11"/>
  <c r="BE98" i="11"/>
  <c r="BE87" i="11"/>
  <c r="BE65" i="11"/>
  <c r="BE43" i="11"/>
  <c r="BA89" i="11"/>
  <c r="BA79" i="11"/>
  <c r="BA69" i="11"/>
  <c r="BA59" i="11"/>
  <c r="BA49" i="11"/>
  <c r="BA39" i="11"/>
  <c r="BA29" i="11"/>
  <c r="BA19" i="11"/>
  <c r="AZ14" i="11"/>
  <c r="AV79" i="11"/>
  <c r="AW76" i="11"/>
  <c r="BE76" i="11" s="1"/>
  <c r="AW65" i="11"/>
  <c r="AW54" i="11"/>
  <c r="BE54" i="11" s="1"/>
  <c r="AW43" i="11"/>
  <c r="AW32" i="11"/>
  <c r="BE32" i="11" s="1"/>
  <c r="AW21" i="11"/>
  <c r="AZ18" i="11"/>
  <c r="AK21" i="11"/>
  <c r="AC21" i="11"/>
  <c r="W21" i="11"/>
  <c r="Q21" i="11"/>
  <c r="AK87" i="11"/>
  <c r="AK76" i="11"/>
  <c r="AK32" i="11"/>
  <c r="AG89" i="11"/>
  <c r="AG79" i="11"/>
  <c r="AG69" i="11"/>
  <c r="AG59" i="11"/>
  <c r="AG49" i="11"/>
  <c r="AG39" i="11"/>
  <c r="AG29" i="11"/>
  <c r="AG19" i="11"/>
  <c r="AC98" i="11"/>
  <c r="AK98" i="11" s="1"/>
  <c r="AC87" i="11"/>
  <c r="AB79" i="11"/>
  <c r="AC76" i="11"/>
  <c r="AC54" i="11"/>
  <c r="AK54" i="11" s="1"/>
  <c r="AF18" i="11"/>
  <c r="BU89" i="11"/>
  <c r="BU79" i="11"/>
  <c r="BU69" i="11"/>
  <c r="BU59" i="11"/>
  <c r="BU49" i="11"/>
  <c r="BU39" i="11"/>
  <c r="BU29" i="11"/>
  <c r="BU19" i="11"/>
  <c r="BP79" i="11"/>
  <c r="BT18" i="11"/>
  <c r="M89" i="11"/>
  <c r="M79" i="11"/>
  <c r="M69" i="11"/>
  <c r="M59" i="11"/>
  <c r="M49" i="11"/>
  <c r="M39" i="11"/>
  <c r="M29" i="11"/>
  <c r="M19" i="11"/>
  <c r="I98" i="11"/>
  <c r="I94" i="11"/>
  <c r="I91" i="11"/>
  <c r="I81" i="11"/>
  <c r="I78" i="11"/>
  <c r="I77" i="11"/>
  <c r="I76" i="11"/>
  <c r="I75" i="11"/>
  <c r="I74" i="11"/>
  <c r="I73" i="11"/>
  <c r="I72" i="11"/>
  <c r="I71" i="11"/>
  <c r="I68" i="11"/>
  <c r="I67" i="11"/>
  <c r="I66" i="11"/>
  <c r="I65" i="11"/>
  <c r="I64" i="11"/>
  <c r="I63" i="11"/>
  <c r="I62" i="11"/>
  <c r="I61" i="11"/>
  <c r="I58" i="11"/>
  <c r="I57" i="11"/>
  <c r="I56" i="11"/>
  <c r="I55" i="11"/>
  <c r="I54" i="11"/>
  <c r="I53" i="11"/>
  <c r="I52" i="11"/>
  <c r="I51" i="11"/>
  <c r="I48" i="11"/>
  <c r="I47" i="11"/>
  <c r="I46" i="11"/>
  <c r="I45" i="11"/>
  <c r="I44" i="11"/>
  <c r="I43" i="11"/>
  <c r="I42" i="11"/>
  <c r="I41" i="11"/>
  <c r="I38" i="11"/>
  <c r="I37" i="11"/>
  <c r="I36" i="11"/>
  <c r="I35" i="11"/>
  <c r="I34" i="11"/>
  <c r="I33" i="11"/>
  <c r="I32" i="11"/>
  <c r="I31" i="11"/>
  <c r="I28" i="11"/>
  <c r="I27" i="11"/>
  <c r="I26" i="11"/>
  <c r="I25" i="11"/>
  <c r="I24" i="11"/>
  <c r="I23" i="11"/>
  <c r="I22" i="11"/>
  <c r="L18" i="11"/>
  <c r="Q41" i="11"/>
  <c r="W41" i="11" s="1"/>
  <c r="I82" i="11"/>
  <c r="Q83" i="11"/>
  <c r="W83" i="11" s="1"/>
  <c r="I84" i="11"/>
  <c r="I85" i="11"/>
  <c r="I86" i="11"/>
  <c r="I87" i="11"/>
  <c r="I88" i="11"/>
  <c r="I92" i="11"/>
  <c r="I93" i="11"/>
  <c r="I95" i="11"/>
  <c r="I96" i="11"/>
  <c r="I97" i="11"/>
  <c r="Q94" i="11"/>
  <c r="W94" i="11" s="1"/>
  <c r="C88" i="9"/>
  <c r="C22" i="9"/>
  <c r="C23" i="9"/>
  <c r="C24" i="9"/>
  <c r="C25" i="9"/>
  <c r="C26" i="9"/>
  <c r="C27" i="9"/>
  <c r="C28" i="9"/>
  <c r="C32" i="9"/>
  <c r="C33" i="9"/>
  <c r="C34" i="9"/>
  <c r="C35" i="9"/>
  <c r="C36" i="9"/>
  <c r="C37" i="9"/>
  <c r="C38" i="9"/>
  <c r="C42" i="9"/>
  <c r="C43" i="9"/>
  <c r="K43" i="9" s="1"/>
  <c r="Q43" i="9" s="1"/>
  <c r="Y43" i="9" s="1"/>
  <c r="AE43" i="9" s="1"/>
  <c r="C44" i="9"/>
  <c r="C45" i="9"/>
  <c r="C46" i="9"/>
  <c r="C47" i="9"/>
  <c r="C48" i="9"/>
  <c r="C52" i="9"/>
  <c r="C53" i="9"/>
  <c r="C54" i="9"/>
  <c r="C55" i="9"/>
  <c r="C56" i="9"/>
  <c r="C57" i="9"/>
  <c r="C58" i="9"/>
  <c r="C62" i="9"/>
  <c r="C63" i="9"/>
  <c r="C64" i="9"/>
  <c r="C65" i="9"/>
  <c r="K65" i="9" s="1"/>
  <c r="Q65" i="9" s="1"/>
  <c r="Y65" i="9" s="1"/>
  <c r="AE65" i="9" s="1"/>
  <c r="C66" i="9"/>
  <c r="C67" i="9"/>
  <c r="C68" i="9"/>
  <c r="C72" i="9"/>
  <c r="C73" i="9"/>
  <c r="C74" i="9"/>
  <c r="C75" i="9"/>
  <c r="C76" i="9"/>
  <c r="C77" i="9"/>
  <c r="C78" i="9"/>
  <c r="C82" i="9"/>
  <c r="C83" i="9"/>
  <c r="C84" i="9"/>
  <c r="C85" i="9"/>
  <c r="C86" i="9"/>
  <c r="C87" i="9"/>
  <c r="K87" i="9" s="1"/>
  <c r="Q87" i="9" s="1"/>
  <c r="Y87" i="9" s="1"/>
  <c r="AE87" i="9" s="1"/>
  <c r="AK87" i="9" s="1"/>
  <c r="AS87" i="9" s="1"/>
  <c r="AY87" i="9" s="1"/>
  <c r="BG87" i="9" s="1"/>
  <c r="BM87" i="9" s="1"/>
  <c r="BS87" i="9" s="1"/>
  <c r="BY87" i="9" s="1"/>
  <c r="CG87" i="9" s="1"/>
  <c r="CM87" i="9" s="1"/>
  <c r="CS87" i="9" s="1"/>
  <c r="C92" i="9"/>
  <c r="C93" i="9"/>
  <c r="C94" i="9"/>
  <c r="C95" i="9"/>
  <c r="C96" i="9"/>
  <c r="C97" i="9"/>
  <c r="C98" i="9"/>
  <c r="Q22" i="11"/>
  <c r="W22" i="11" s="1"/>
  <c r="Q23" i="11"/>
  <c r="W23" i="11" s="1"/>
  <c r="Q24" i="11"/>
  <c r="W24" i="11" s="1"/>
  <c r="Q25" i="11"/>
  <c r="W25" i="11" s="1"/>
  <c r="Q26" i="11"/>
  <c r="W26" i="11" s="1"/>
  <c r="Q27" i="11"/>
  <c r="W27" i="11" s="1"/>
  <c r="AC27" i="11" s="1"/>
  <c r="AK27" i="11" s="1"/>
  <c r="Q28" i="11"/>
  <c r="W28" i="11" s="1"/>
  <c r="Q31" i="11"/>
  <c r="W31" i="11" s="1"/>
  <c r="Q32" i="11"/>
  <c r="W32" i="11" s="1"/>
  <c r="AQ32" i="11" s="1"/>
  <c r="Q33" i="11"/>
  <c r="W33" i="11" s="1"/>
  <c r="Q34" i="11"/>
  <c r="W34" i="11" s="1"/>
  <c r="Q35" i="11"/>
  <c r="W35" i="11" s="1"/>
  <c r="Q36" i="11"/>
  <c r="W36" i="11" s="1"/>
  <c r="Q37" i="11"/>
  <c r="W37" i="11" s="1"/>
  <c r="Q38" i="11"/>
  <c r="W38" i="11" s="1"/>
  <c r="Q42" i="11"/>
  <c r="W42" i="11" s="1"/>
  <c r="Q43" i="11"/>
  <c r="W43" i="11" s="1"/>
  <c r="Q44" i="11"/>
  <c r="W44" i="11" s="1"/>
  <c r="Q45" i="11"/>
  <c r="W45" i="11" s="1"/>
  <c r="Q46" i="11"/>
  <c r="W46" i="11" s="1"/>
  <c r="Q47" i="11"/>
  <c r="W47" i="11" s="1"/>
  <c r="Q48" i="11"/>
  <c r="W48" i="11" s="1"/>
  <c r="Q51" i="11"/>
  <c r="W51" i="11" s="1"/>
  <c r="Q52" i="11"/>
  <c r="W52" i="11" s="1"/>
  <c r="Q53" i="11"/>
  <c r="W53" i="11" s="1"/>
  <c r="Q54" i="11"/>
  <c r="W54" i="11" s="1"/>
  <c r="AQ54" i="11" s="1"/>
  <c r="Q55" i="11"/>
  <c r="W55" i="11" s="1"/>
  <c r="Q56" i="11"/>
  <c r="W56" i="11" s="1"/>
  <c r="Q57" i="11"/>
  <c r="W57" i="11" s="1"/>
  <c r="Q58" i="11"/>
  <c r="W58" i="11" s="1"/>
  <c r="Q61" i="11"/>
  <c r="W61" i="11" s="1"/>
  <c r="Q62" i="11"/>
  <c r="W62" i="11" s="1"/>
  <c r="Q63" i="11"/>
  <c r="W63" i="11" s="1"/>
  <c r="Q64" i="11"/>
  <c r="W64" i="11" s="1"/>
  <c r="Q65" i="11"/>
  <c r="W65" i="11" s="1"/>
  <c r="AQ65" i="11" s="1"/>
  <c r="Q66" i="11"/>
  <c r="Q67" i="11"/>
  <c r="W67" i="11" s="1"/>
  <c r="Q68" i="11"/>
  <c r="W68" i="11" s="1"/>
  <c r="Q71" i="11"/>
  <c r="W71" i="11" s="1"/>
  <c r="Q72" i="11"/>
  <c r="W72" i="11" s="1"/>
  <c r="Q73" i="11"/>
  <c r="W73" i="11" s="1"/>
  <c r="Q74" i="11"/>
  <c r="W74" i="11" s="1"/>
  <c r="Q75" i="11"/>
  <c r="W75" i="11" s="1"/>
  <c r="Q76" i="11"/>
  <c r="W76" i="11" s="1"/>
  <c r="Q77" i="11"/>
  <c r="W77" i="11" s="1"/>
  <c r="Q78" i="11"/>
  <c r="W78" i="11" s="1"/>
  <c r="Q81" i="11"/>
  <c r="W81" i="11" s="1"/>
  <c r="Q87" i="11"/>
  <c r="W87" i="11" s="1"/>
  <c r="AQ87" i="11" s="1"/>
  <c r="AW87" i="11" s="1"/>
  <c r="Q88" i="11"/>
  <c r="W88" i="11" s="1"/>
  <c r="Q91" i="11"/>
  <c r="W91" i="11" s="1"/>
  <c r="Q92" i="11"/>
  <c r="W92" i="11" s="1"/>
  <c r="Q93" i="11"/>
  <c r="W93" i="11" s="1"/>
  <c r="Q95" i="11"/>
  <c r="W95" i="11" s="1"/>
  <c r="Q96" i="11"/>
  <c r="W96" i="11" s="1"/>
  <c r="Q98" i="11"/>
  <c r="W98" i="11" s="1"/>
  <c r="AQ98" i="11" s="1"/>
  <c r="AW98" i="11" s="1"/>
  <c r="W66" i="11"/>
  <c r="K98" i="9"/>
  <c r="Q98" i="9" s="1"/>
  <c r="Y98" i="9" s="1"/>
  <c r="AE98" i="9" s="1"/>
  <c r="AK98" i="9" s="1"/>
  <c r="AS98" i="9" s="1"/>
  <c r="AY98" i="9" s="1"/>
  <c r="BG98" i="9" s="1"/>
  <c r="BM98" i="9" s="1"/>
  <c r="BS98" i="9" s="1"/>
  <c r="BY98" i="9" s="1"/>
  <c r="CG98" i="9" s="1"/>
  <c r="CM98" i="9" s="1"/>
  <c r="CS98" i="9" s="1"/>
  <c r="CS97" i="9"/>
  <c r="DG97" i="9" s="1"/>
  <c r="DM97" i="9" s="1"/>
  <c r="DS97" i="9" s="1"/>
  <c r="EA97" i="9" s="1"/>
  <c r="EG97" i="9" s="1"/>
  <c r="EM97" i="9" s="1"/>
  <c r="ES97" i="9" s="1"/>
  <c r="AY97" i="9"/>
  <c r="BG97" i="9" s="1"/>
  <c r="BM97" i="9" s="1"/>
  <c r="BS97" i="9" s="1"/>
  <c r="BY97" i="9" s="1"/>
  <c r="CG97" i="9" s="1"/>
  <c r="CM97" i="9" s="1"/>
  <c r="K97" i="9"/>
  <c r="Q97" i="9" s="1"/>
  <c r="Y97" i="9" s="1"/>
  <c r="AE97" i="9" s="1"/>
  <c r="AK97" i="9" s="1"/>
  <c r="AS97" i="9" s="1"/>
  <c r="K96" i="9"/>
  <c r="Q96" i="9" s="1"/>
  <c r="Y96" i="9" s="1"/>
  <c r="AE96" i="9" s="1"/>
  <c r="AK96" i="9" s="1"/>
  <c r="AS96" i="9" s="1"/>
  <c r="AY96" i="9" s="1"/>
  <c r="BG96" i="9" s="1"/>
  <c r="BM96" i="9" s="1"/>
  <c r="BS96" i="9" s="1"/>
  <c r="BY96" i="9" s="1"/>
  <c r="CG96" i="9" s="1"/>
  <c r="CM96" i="9" s="1"/>
  <c r="CS96" i="9" s="1"/>
  <c r="EG95" i="9"/>
  <c r="EM95" i="9" s="1"/>
  <c r="ES95" i="9" s="1"/>
  <c r="CM95" i="9"/>
  <c r="CS95" i="9" s="1"/>
  <c r="DG95" i="9" s="1"/>
  <c r="DM95" i="9" s="1"/>
  <c r="DS95" i="9" s="1"/>
  <c r="EA95" i="9" s="1"/>
  <c r="AE95" i="9"/>
  <c r="AK95" i="9" s="1"/>
  <c r="AS95" i="9" s="1"/>
  <c r="AY95" i="9" s="1"/>
  <c r="BG95" i="9" s="1"/>
  <c r="BM95" i="9" s="1"/>
  <c r="BS95" i="9" s="1"/>
  <c r="BY95" i="9" s="1"/>
  <c r="CG95" i="9" s="1"/>
  <c r="K95" i="9"/>
  <c r="Q95" i="9" s="1"/>
  <c r="Y95" i="9" s="1"/>
  <c r="EA94" i="9"/>
  <c r="EG94" i="9" s="1"/>
  <c r="EM94" i="9" s="1"/>
  <c r="ES94" i="9" s="1"/>
  <c r="BM94" i="9"/>
  <c r="BS94" i="9" s="1"/>
  <c r="BY94" i="9" s="1"/>
  <c r="CG94" i="9" s="1"/>
  <c r="CM94" i="9" s="1"/>
  <c r="CS94" i="9" s="1"/>
  <c r="Y94" i="9"/>
  <c r="AE94" i="9" s="1"/>
  <c r="AK94" i="9" s="1"/>
  <c r="AS94" i="9" s="1"/>
  <c r="AY94" i="9" s="1"/>
  <c r="BG94" i="9" s="1"/>
  <c r="K94" i="9"/>
  <c r="Q94" i="9" s="1"/>
  <c r="K93" i="9"/>
  <c r="Q93" i="9" s="1"/>
  <c r="Y93" i="9" s="1"/>
  <c r="AE93" i="9" s="1"/>
  <c r="AK93" i="9" s="1"/>
  <c r="AS93" i="9" s="1"/>
  <c r="AY93" i="9" s="1"/>
  <c r="BG93" i="9" s="1"/>
  <c r="BM93" i="9" s="1"/>
  <c r="BS93" i="9" s="1"/>
  <c r="BY93" i="9" s="1"/>
  <c r="CG93" i="9" s="1"/>
  <c r="CM93" i="9" s="1"/>
  <c r="CS93" i="9" s="1"/>
  <c r="DM92" i="9"/>
  <c r="DS92" i="9" s="1"/>
  <c r="EA92" i="9" s="1"/>
  <c r="EG92" i="9" s="1"/>
  <c r="EM92" i="9" s="1"/>
  <c r="ES92" i="9" s="1"/>
  <c r="DG92" i="9"/>
  <c r="CY92" i="9"/>
  <c r="BG92" i="9"/>
  <c r="BM92" i="9" s="1"/>
  <c r="BS92" i="9" s="1"/>
  <c r="BY92" i="9" s="1"/>
  <c r="CG92" i="9" s="1"/>
  <c r="CM92" i="9" s="1"/>
  <c r="CS92" i="9" s="1"/>
  <c r="Q92" i="9"/>
  <c r="Y92" i="9" s="1"/>
  <c r="AE92" i="9" s="1"/>
  <c r="AK92" i="9" s="1"/>
  <c r="AS92" i="9" s="1"/>
  <c r="AY92" i="9" s="1"/>
  <c r="K92" i="9"/>
  <c r="K91" i="9"/>
  <c r="Q91" i="9" s="1"/>
  <c r="Y91" i="9" s="1"/>
  <c r="AE91" i="9" s="1"/>
  <c r="AK91" i="9" s="1"/>
  <c r="AS91" i="9" s="1"/>
  <c r="AY91" i="9" s="1"/>
  <c r="BG91" i="9" s="1"/>
  <c r="BM91" i="9" s="1"/>
  <c r="BS91" i="9" s="1"/>
  <c r="BY91" i="9" s="1"/>
  <c r="CG91" i="9" s="1"/>
  <c r="CM91" i="9" s="1"/>
  <c r="CS91" i="9" s="1"/>
  <c r="AK89" i="9"/>
  <c r="DG88" i="9"/>
  <c r="DM88" i="9" s="1"/>
  <c r="DS88" i="9" s="1"/>
  <c r="EA88" i="9" s="1"/>
  <c r="EG88" i="9" s="1"/>
  <c r="EM88" i="9" s="1"/>
  <c r="ES88" i="9" s="1"/>
  <c r="CY88" i="9"/>
  <c r="AY88" i="9"/>
  <c r="BG88" i="9" s="1"/>
  <c r="BM88" i="9" s="1"/>
  <c r="BS88" i="9" s="1"/>
  <c r="BY88" i="9" s="1"/>
  <c r="CG88" i="9" s="1"/>
  <c r="CM88" i="9" s="1"/>
  <c r="CS88" i="9" s="1"/>
  <c r="K88" i="9"/>
  <c r="Q88" i="9" s="1"/>
  <c r="Y88" i="9" s="1"/>
  <c r="AE88" i="9" s="1"/>
  <c r="AK88" i="9" s="1"/>
  <c r="AS88" i="9" s="1"/>
  <c r="K86" i="9"/>
  <c r="Q86" i="9" s="1"/>
  <c r="Y86" i="9" s="1"/>
  <c r="AE86" i="9" s="1"/>
  <c r="AK86" i="9" s="1"/>
  <c r="AS86" i="9" s="1"/>
  <c r="AY86" i="9" s="1"/>
  <c r="BG86" i="9" s="1"/>
  <c r="BM86" i="9" s="1"/>
  <c r="BS86" i="9" s="1"/>
  <c r="BY86" i="9" s="1"/>
  <c r="CG86" i="9" s="1"/>
  <c r="CM86" i="9" s="1"/>
  <c r="CS86" i="9" s="1"/>
  <c r="K85" i="9"/>
  <c r="Q85" i="9" s="1"/>
  <c r="Y85" i="9" s="1"/>
  <c r="AE85" i="9" s="1"/>
  <c r="AK85" i="9" s="1"/>
  <c r="AS85" i="9" s="1"/>
  <c r="AY85" i="9" s="1"/>
  <c r="BG85" i="9" s="1"/>
  <c r="BM85" i="9" s="1"/>
  <c r="BS85" i="9" s="1"/>
  <c r="BY85" i="9" s="1"/>
  <c r="CG85" i="9" s="1"/>
  <c r="CM85" i="9" s="1"/>
  <c r="CS85" i="9" s="1"/>
  <c r="K84" i="9"/>
  <c r="Q84" i="9" s="1"/>
  <c r="Y84" i="9" s="1"/>
  <c r="AE84" i="9" s="1"/>
  <c r="AK84" i="9" s="1"/>
  <c r="AS84" i="9" s="1"/>
  <c r="AY84" i="9" s="1"/>
  <c r="BG84" i="9" s="1"/>
  <c r="BM84" i="9" s="1"/>
  <c r="BS84" i="9" s="1"/>
  <c r="BY84" i="9" s="1"/>
  <c r="CG84" i="9" s="1"/>
  <c r="CM84" i="9" s="1"/>
  <c r="CS84" i="9" s="1"/>
  <c r="EM83" i="9"/>
  <c r="ES83" i="9" s="1"/>
  <c r="CS83" i="9"/>
  <c r="DG83" i="9" s="1"/>
  <c r="DM83" i="9" s="1"/>
  <c r="DS83" i="9" s="1"/>
  <c r="EA83" i="9" s="1"/>
  <c r="EG83" i="9" s="1"/>
  <c r="AS83" i="9"/>
  <c r="AY83" i="9" s="1"/>
  <c r="BG83" i="9" s="1"/>
  <c r="BM83" i="9" s="1"/>
  <c r="BS83" i="9" s="1"/>
  <c r="BY83" i="9" s="1"/>
  <c r="CG83" i="9" s="1"/>
  <c r="CM83" i="9" s="1"/>
  <c r="K83" i="9"/>
  <c r="Q83" i="9" s="1"/>
  <c r="Y83" i="9" s="1"/>
  <c r="AE83" i="9" s="1"/>
  <c r="AK83" i="9" s="1"/>
  <c r="DM82" i="9"/>
  <c r="DS82" i="9" s="1"/>
  <c r="EA82" i="9" s="1"/>
  <c r="EG82" i="9" s="1"/>
  <c r="EM82" i="9" s="1"/>
  <c r="ES82" i="9" s="1"/>
  <c r="BM82" i="9"/>
  <c r="BS82" i="9" s="1"/>
  <c r="BY82" i="9" s="1"/>
  <c r="CG82" i="9" s="1"/>
  <c r="CM82" i="9" s="1"/>
  <c r="CS82" i="9" s="1"/>
  <c r="K82" i="9"/>
  <c r="Q82" i="9" s="1"/>
  <c r="Y82" i="9" s="1"/>
  <c r="AE82" i="9" s="1"/>
  <c r="AK82" i="9" s="1"/>
  <c r="AS82" i="9" s="1"/>
  <c r="AY82" i="9" s="1"/>
  <c r="BG82" i="9" s="1"/>
  <c r="EG81" i="9"/>
  <c r="EM81" i="9" s="1"/>
  <c r="ES81" i="9" s="1"/>
  <c r="BY81" i="9"/>
  <c r="CG81" i="9" s="1"/>
  <c r="CM81" i="9" s="1"/>
  <c r="CS81" i="9" s="1"/>
  <c r="CY81" i="9" s="1"/>
  <c r="Y81" i="9"/>
  <c r="AE81" i="9" s="1"/>
  <c r="AK81" i="9" s="1"/>
  <c r="AS81" i="9" s="1"/>
  <c r="AY81" i="9" s="1"/>
  <c r="BG81" i="9" s="1"/>
  <c r="BM81" i="9" s="1"/>
  <c r="BS81" i="9" s="1"/>
  <c r="K81" i="9"/>
  <c r="Q81" i="9" s="1"/>
  <c r="AK79" i="9"/>
  <c r="CS78" i="9"/>
  <c r="DG78" i="9" s="1"/>
  <c r="DM78" i="9" s="1"/>
  <c r="DS78" i="9" s="1"/>
  <c r="EA78" i="9" s="1"/>
  <c r="EG78" i="9" s="1"/>
  <c r="EM78" i="9" s="1"/>
  <c r="ES78" i="9" s="1"/>
  <c r="Q78" i="9"/>
  <c r="Y78" i="9" s="1"/>
  <c r="AE78" i="9" s="1"/>
  <c r="AK78" i="9" s="1"/>
  <c r="AS78" i="9" s="1"/>
  <c r="AY78" i="9" s="1"/>
  <c r="BG78" i="9" s="1"/>
  <c r="BM78" i="9" s="1"/>
  <c r="BS78" i="9" s="1"/>
  <c r="BY78" i="9" s="1"/>
  <c r="CG78" i="9" s="1"/>
  <c r="CM78" i="9" s="1"/>
  <c r="K78" i="9"/>
  <c r="K77" i="9"/>
  <c r="Q77" i="9" s="1"/>
  <c r="Y77" i="9" s="1"/>
  <c r="AE77" i="9" s="1"/>
  <c r="AK77" i="9" s="1"/>
  <c r="AS77" i="9" s="1"/>
  <c r="AY77" i="9" s="1"/>
  <c r="BG77" i="9" s="1"/>
  <c r="BM77" i="9" s="1"/>
  <c r="BS77" i="9" s="1"/>
  <c r="BY77" i="9" s="1"/>
  <c r="CG77" i="9" s="1"/>
  <c r="CM77" i="9" s="1"/>
  <c r="CS77" i="9" s="1"/>
  <c r="K76" i="9"/>
  <c r="Q76" i="9" s="1"/>
  <c r="Y76" i="9" s="1"/>
  <c r="AE76" i="9" s="1"/>
  <c r="AK76" i="9" s="1"/>
  <c r="AS76" i="9" s="1"/>
  <c r="AY76" i="9" s="1"/>
  <c r="BG76" i="9" s="1"/>
  <c r="BM76" i="9" s="1"/>
  <c r="BS76" i="9" s="1"/>
  <c r="BY76" i="9" s="1"/>
  <c r="CG76" i="9" s="1"/>
  <c r="CM76" i="9" s="1"/>
  <c r="CS76" i="9" s="1"/>
  <c r="CG75" i="9"/>
  <c r="CM75" i="9" s="1"/>
  <c r="CS75" i="9" s="1"/>
  <c r="K75" i="9"/>
  <c r="Q75" i="9" s="1"/>
  <c r="Y75" i="9" s="1"/>
  <c r="AE75" i="9" s="1"/>
  <c r="AK75" i="9" s="1"/>
  <c r="AS75" i="9" s="1"/>
  <c r="AY75" i="9" s="1"/>
  <c r="BG75" i="9" s="1"/>
  <c r="BM75" i="9" s="1"/>
  <c r="BS75" i="9" s="1"/>
  <c r="BY75" i="9" s="1"/>
  <c r="AY74" i="9"/>
  <c r="BG74" i="9" s="1"/>
  <c r="BM74" i="9" s="1"/>
  <c r="BS74" i="9" s="1"/>
  <c r="BY74" i="9" s="1"/>
  <c r="CG74" i="9" s="1"/>
  <c r="CM74" i="9" s="1"/>
  <c r="CS74" i="9" s="1"/>
  <c r="K74" i="9"/>
  <c r="Q74" i="9" s="1"/>
  <c r="Y74" i="9" s="1"/>
  <c r="AE74" i="9" s="1"/>
  <c r="AK74" i="9" s="1"/>
  <c r="AS74" i="9" s="1"/>
  <c r="K73" i="9"/>
  <c r="Q73" i="9" s="1"/>
  <c r="Y73" i="9" s="1"/>
  <c r="AE73" i="9" s="1"/>
  <c r="AK73" i="9" s="1"/>
  <c r="AS73" i="9" s="1"/>
  <c r="AY73" i="9" s="1"/>
  <c r="BG73" i="9" s="1"/>
  <c r="BM73" i="9" s="1"/>
  <c r="BS73" i="9" s="1"/>
  <c r="BY73" i="9" s="1"/>
  <c r="CG73" i="9" s="1"/>
  <c r="CM73" i="9" s="1"/>
  <c r="CS73" i="9" s="1"/>
  <c r="DS72" i="9"/>
  <c r="EA72" i="9" s="1"/>
  <c r="EG72" i="9" s="1"/>
  <c r="EM72" i="9" s="1"/>
  <c r="ES72" i="9" s="1"/>
  <c r="AS72" i="9"/>
  <c r="AY72" i="9" s="1"/>
  <c r="BG72" i="9" s="1"/>
  <c r="BM72" i="9" s="1"/>
  <c r="BS72" i="9" s="1"/>
  <c r="BY72" i="9" s="1"/>
  <c r="CG72" i="9" s="1"/>
  <c r="CM72" i="9" s="1"/>
  <c r="CS72" i="9" s="1"/>
  <c r="K72" i="9"/>
  <c r="Q72" i="9" s="1"/>
  <c r="Y72" i="9" s="1"/>
  <c r="AE72" i="9" s="1"/>
  <c r="AK72" i="9" s="1"/>
  <c r="K71" i="9"/>
  <c r="Q71" i="9" s="1"/>
  <c r="Y71" i="9" s="1"/>
  <c r="AE71" i="9" s="1"/>
  <c r="AK71" i="9" s="1"/>
  <c r="AS71" i="9" s="1"/>
  <c r="AY71" i="9" s="1"/>
  <c r="BG71" i="9" s="1"/>
  <c r="BM71" i="9" s="1"/>
  <c r="BS71" i="9" s="1"/>
  <c r="BY71" i="9" s="1"/>
  <c r="CG71" i="9" s="1"/>
  <c r="CM71" i="9" s="1"/>
  <c r="CS71" i="9" s="1"/>
  <c r="AK69" i="9"/>
  <c r="EA68" i="9"/>
  <c r="EG68" i="9" s="1"/>
  <c r="EM68" i="9" s="1"/>
  <c r="ES68" i="9" s="1"/>
  <c r="BG68" i="9"/>
  <c r="BM68" i="9" s="1"/>
  <c r="BS68" i="9" s="1"/>
  <c r="BY68" i="9" s="1"/>
  <c r="CG68" i="9" s="1"/>
  <c r="CM68" i="9" s="1"/>
  <c r="CS68" i="9" s="1"/>
  <c r="DG68" i="9" s="1"/>
  <c r="DM68" i="9" s="1"/>
  <c r="DS68" i="9" s="1"/>
  <c r="K68" i="9"/>
  <c r="Q68" i="9" s="1"/>
  <c r="Y68" i="9" s="1"/>
  <c r="AE68" i="9" s="1"/>
  <c r="AK68" i="9" s="1"/>
  <c r="AS68" i="9" s="1"/>
  <c r="AY68" i="9" s="1"/>
  <c r="EG67" i="9"/>
  <c r="EM67" i="9" s="1"/>
  <c r="ES67" i="9" s="1"/>
  <c r="BY67" i="9"/>
  <c r="CG67" i="9" s="1"/>
  <c r="CM67" i="9" s="1"/>
  <c r="CS67" i="9" s="1"/>
  <c r="Y67" i="9"/>
  <c r="AE67" i="9" s="1"/>
  <c r="AK67" i="9" s="1"/>
  <c r="AS67" i="9" s="1"/>
  <c r="AY67" i="9" s="1"/>
  <c r="BG67" i="9" s="1"/>
  <c r="BM67" i="9" s="1"/>
  <c r="BS67" i="9" s="1"/>
  <c r="K67" i="9"/>
  <c r="Q67" i="9" s="1"/>
  <c r="K66" i="9"/>
  <c r="Q66" i="9" s="1"/>
  <c r="Y66" i="9" s="1"/>
  <c r="AE66" i="9" s="1"/>
  <c r="AK66" i="9" s="1"/>
  <c r="AS66" i="9" s="1"/>
  <c r="AY66" i="9" s="1"/>
  <c r="BG66" i="9" s="1"/>
  <c r="BM66" i="9" s="1"/>
  <c r="BS66" i="9" s="1"/>
  <c r="BY66" i="9" s="1"/>
  <c r="CG66" i="9" s="1"/>
  <c r="CM66" i="9" s="1"/>
  <c r="CS66" i="9" s="1"/>
  <c r="AK65" i="9"/>
  <c r="AS65" i="9" s="1"/>
  <c r="AY65" i="9" s="1"/>
  <c r="BG65" i="9" s="1"/>
  <c r="BM65" i="9" s="1"/>
  <c r="BS65" i="9" s="1"/>
  <c r="BY65" i="9" s="1"/>
  <c r="CG65" i="9" s="1"/>
  <c r="CM65" i="9" s="1"/>
  <c r="CS65" i="9" s="1"/>
  <c r="K64" i="9"/>
  <c r="Q64" i="9" s="1"/>
  <c r="Y64" i="9" s="1"/>
  <c r="AE64" i="9" s="1"/>
  <c r="AK64" i="9" s="1"/>
  <c r="AS64" i="9" s="1"/>
  <c r="AY64" i="9" s="1"/>
  <c r="BG64" i="9" s="1"/>
  <c r="BM64" i="9" s="1"/>
  <c r="BS64" i="9" s="1"/>
  <c r="BY64" i="9" s="1"/>
  <c r="CG64" i="9" s="1"/>
  <c r="CM64" i="9" s="1"/>
  <c r="CS64" i="9" s="1"/>
  <c r="CS63" i="9"/>
  <c r="DG63" i="9" s="1"/>
  <c r="DM63" i="9" s="1"/>
  <c r="DS63" i="9" s="1"/>
  <c r="EA63" i="9" s="1"/>
  <c r="EG63" i="9" s="1"/>
  <c r="EM63" i="9" s="1"/>
  <c r="ES63" i="9" s="1"/>
  <c r="AK63" i="9"/>
  <c r="AS63" i="9" s="1"/>
  <c r="AY63" i="9" s="1"/>
  <c r="BG63" i="9" s="1"/>
  <c r="BM63" i="9" s="1"/>
  <c r="BS63" i="9" s="1"/>
  <c r="BY63" i="9" s="1"/>
  <c r="CG63" i="9" s="1"/>
  <c r="CM63" i="9" s="1"/>
  <c r="K63" i="9"/>
  <c r="Q63" i="9" s="1"/>
  <c r="Y63" i="9" s="1"/>
  <c r="AE63" i="9" s="1"/>
  <c r="K62" i="9"/>
  <c r="Q62" i="9" s="1"/>
  <c r="Y62" i="9" s="1"/>
  <c r="AE62" i="9" s="1"/>
  <c r="AK62" i="9" s="1"/>
  <c r="AS62" i="9" s="1"/>
  <c r="AY62" i="9" s="1"/>
  <c r="BG62" i="9" s="1"/>
  <c r="BM62" i="9" s="1"/>
  <c r="BS62" i="9" s="1"/>
  <c r="BY62" i="9" s="1"/>
  <c r="CG62" i="9" s="1"/>
  <c r="CM62" i="9" s="1"/>
  <c r="CS62" i="9" s="1"/>
  <c r="CM61" i="9"/>
  <c r="CS61" i="9" s="1"/>
  <c r="CY61" i="9" s="1"/>
  <c r="AE61" i="9"/>
  <c r="AK61" i="9" s="1"/>
  <c r="AS61" i="9" s="1"/>
  <c r="AY61" i="9" s="1"/>
  <c r="BG61" i="9" s="1"/>
  <c r="BM61" i="9" s="1"/>
  <c r="BS61" i="9" s="1"/>
  <c r="BY61" i="9" s="1"/>
  <c r="CG61" i="9" s="1"/>
  <c r="K61" i="9"/>
  <c r="Q61" i="9" s="1"/>
  <c r="Y61" i="9" s="1"/>
  <c r="AK59" i="9"/>
  <c r="K58" i="9"/>
  <c r="Q58" i="9" s="1"/>
  <c r="Y58" i="9" s="1"/>
  <c r="AE58" i="9" s="1"/>
  <c r="AK58" i="9" s="1"/>
  <c r="AS58" i="9" s="1"/>
  <c r="AY58" i="9" s="1"/>
  <c r="BG58" i="9" s="1"/>
  <c r="BM58" i="9" s="1"/>
  <c r="BS58" i="9" s="1"/>
  <c r="BY58" i="9" s="1"/>
  <c r="CG58" i="9" s="1"/>
  <c r="CM58" i="9" s="1"/>
  <c r="CS58" i="9" s="1"/>
  <c r="DM57" i="9"/>
  <c r="DS57" i="9" s="1"/>
  <c r="EA57" i="9" s="1"/>
  <c r="EG57" i="9" s="1"/>
  <c r="EM57" i="9" s="1"/>
  <c r="ES57" i="9" s="1"/>
  <c r="AS57" i="9"/>
  <c r="AY57" i="9" s="1"/>
  <c r="BG57" i="9" s="1"/>
  <c r="BM57" i="9" s="1"/>
  <c r="BS57" i="9" s="1"/>
  <c r="BY57" i="9" s="1"/>
  <c r="CG57" i="9" s="1"/>
  <c r="CM57" i="9" s="1"/>
  <c r="CS57" i="9" s="1"/>
  <c r="K57" i="9"/>
  <c r="Q57" i="9" s="1"/>
  <c r="Y57" i="9" s="1"/>
  <c r="AE57" i="9" s="1"/>
  <c r="AK57" i="9" s="1"/>
  <c r="K56" i="9"/>
  <c r="Q56" i="9" s="1"/>
  <c r="Y56" i="9" s="1"/>
  <c r="AE56" i="9" s="1"/>
  <c r="AK56" i="9" s="1"/>
  <c r="AS56" i="9" s="1"/>
  <c r="AY56" i="9" s="1"/>
  <c r="BG56" i="9" s="1"/>
  <c r="BM56" i="9" s="1"/>
  <c r="BS56" i="9" s="1"/>
  <c r="BY56" i="9" s="1"/>
  <c r="CG56" i="9" s="1"/>
  <c r="CM56" i="9" s="1"/>
  <c r="CS56" i="9" s="1"/>
  <c r="CG55" i="9"/>
  <c r="CM55" i="9" s="1"/>
  <c r="CS55" i="9" s="1"/>
  <c r="BY55" i="9"/>
  <c r="Y55" i="9"/>
  <c r="AE55" i="9" s="1"/>
  <c r="AK55" i="9" s="1"/>
  <c r="AS55" i="9" s="1"/>
  <c r="AY55" i="9" s="1"/>
  <c r="BG55" i="9" s="1"/>
  <c r="BM55" i="9" s="1"/>
  <c r="BS55" i="9" s="1"/>
  <c r="K55" i="9"/>
  <c r="Q55" i="9" s="1"/>
  <c r="K54" i="9"/>
  <c r="Q54" i="9" s="1"/>
  <c r="Y54" i="9" s="1"/>
  <c r="AE54" i="9" s="1"/>
  <c r="AK54" i="9" s="1"/>
  <c r="AS54" i="9" s="1"/>
  <c r="AY54" i="9" s="1"/>
  <c r="BG54" i="9" s="1"/>
  <c r="BM54" i="9" s="1"/>
  <c r="BS54" i="9" s="1"/>
  <c r="BY54" i="9" s="1"/>
  <c r="CG54" i="9" s="1"/>
  <c r="CM54" i="9" s="1"/>
  <c r="CS54" i="9" s="1"/>
  <c r="BM53" i="9"/>
  <c r="BS53" i="9" s="1"/>
  <c r="BY53" i="9" s="1"/>
  <c r="CG53" i="9" s="1"/>
  <c r="CM53" i="9" s="1"/>
  <c r="CS53" i="9" s="1"/>
  <c r="K53" i="9"/>
  <c r="Q53" i="9" s="1"/>
  <c r="Y53" i="9" s="1"/>
  <c r="AE53" i="9" s="1"/>
  <c r="AK53" i="9" s="1"/>
  <c r="AS53" i="9" s="1"/>
  <c r="AY53" i="9" s="1"/>
  <c r="BG53" i="9" s="1"/>
  <c r="ES52" i="9"/>
  <c r="AY52" i="9"/>
  <c r="BG52" i="9" s="1"/>
  <c r="BM52" i="9" s="1"/>
  <c r="BS52" i="9" s="1"/>
  <c r="BY52" i="9" s="1"/>
  <c r="CG52" i="9" s="1"/>
  <c r="CM52" i="9" s="1"/>
  <c r="CS52" i="9" s="1"/>
  <c r="K52" i="9"/>
  <c r="Q52" i="9" s="1"/>
  <c r="Y52" i="9" s="1"/>
  <c r="AE52" i="9" s="1"/>
  <c r="AK52" i="9" s="1"/>
  <c r="AS52" i="9" s="1"/>
  <c r="Q51" i="9"/>
  <c r="Y51" i="9" s="1"/>
  <c r="AE51" i="9" s="1"/>
  <c r="AK51" i="9" s="1"/>
  <c r="AS51" i="9" s="1"/>
  <c r="AY51" i="9" s="1"/>
  <c r="BG51" i="9" s="1"/>
  <c r="BM51" i="9" s="1"/>
  <c r="BS51" i="9" s="1"/>
  <c r="BY51" i="9" s="1"/>
  <c r="CG51" i="9" s="1"/>
  <c r="CM51" i="9" s="1"/>
  <c r="CS51" i="9" s="1"/>
  <c r="K51" i="9"/>
  <c r="AK49" i="9"/>
  <c r="DM48" i="9"/>
  <c r="DS48" i="9" s="1"/>
  <c r="EA48" i="9" s="1"/>
  <c r="EG48" i="9" s="1"/>
  <c r="EM48" i="9" s="1"/>
  <c r="ES48" i="9" s="1"/>
  <c r="DG48" i="9"/>
  <c r="CY48" i="9"/>
  <c r="AY48" i="9"/>
  <c r="BG48" i="9" s="1"/>
  <c r="BM48" i="9" s="1"/>
  <c r="BS48" i="9" s="1"/>
  <c r="BY48" i="9" s="1"/>
  <c r="CG48" i="9" s="1"/>
  <c r="CM48" i="9" s="1"/>
  <c r="CS48" i="9" s="1"/>
  <c r="Q48" i="9"/>
  <c r="Y48" i="9" s="1"/>
  <c r="AE48" i="9" s="1"/>
  <c r="AK48" i="9" s="1"/>
  <c r="AS48" i="9" s="1"/>
  <c r="K48" i="9"/>
  <c r="K47" i="9"/>
  <c r="Q47" i="9" s="1"/>
  <c r="Y47" i="9" s="1"/>
  <c r="AE47" i="9" s="1"/>
  <c r="AK47" i="9" s="1"/>
  <c r="AS47" i="9" s="1"/>
  <c r="AY47" i="9" s="1"/>
  <c r="BG47" i="9" s="1"/>
  <c r="BM47" i="9" s="1"/>
  <c r="BS47" i="9" s="1"/>
  <c r="BY47" i="9" s="1"/>
  <c r="CG47" i="9" s="1"/>
  <c r="CM47" i="9" s="1"/>
  <c r="CS47" i="9" s="1"/>
  <c r="CS46" i="9"/>
  <c r="DG46" i="9" s="1"/>
  <c r="DM46" i="9" s="1"/>
  <c r="DS46" i="9" s="1"/>
  <c r="EA46" i="9" s="1"/>
  <c r="EG46" i="9" s="1"/>
  <c r="EM46" i="9" s="1"/>
  <c r="ES46" i="9" s="1"/>
  <c r="AS46" i="9"/>
  <c r="AY46" i="9" s="1"/>
  <c r="BG46" i="9" s="1"/>
  <c r="BM46" i="9" s="1"/>
  <c r="BS46" i="9" s="1"/>
  <c r="BY46" i="9" s="1"/>
  <c r="CG46" i="9" s="1"/>
  <c r="CM46" i="9" s="1"/>
  <c r="K46" i="9"/>
  <c r="Q46" i="9" s="1"/>
  <c r="Y46" i="9" s="1"/>
  <c r="AE46" i="9" s="1"/>
  <c r="AK46" i="9" s="1"/>
  <c r="K45" i="9"/>
  <c r="Q45" i="9" s="1"/>
  <c r="Y45" i="9" s="1"/>
  <c r="AE45" i="9" s="1"/>
  <c r="AK45" i="9" s="1"/>
  <c r="AS45" i="9" s="1"/>
  <c r="AY45" i="9" s="1"/>
  <c r="BG45" i="9" s="1"/>
  <c r="BM45" i="9" s="1"/>
  <c r="BS45" i="9" s="1"/>
  <c r="BY45" i="9" s="1"/>
  <c r="CG45" i="9" s="1"/>
  <c r="CM45" i="9" s="1"/>
  <c r="CS45" i="9" s="1"/>
  <c r="K44" i="9"/>
  <c r="Q44" i="9" s="1"/>
  <c r="Y44" i="9" s="1"/>
  <c r="AE44" i="9" s="1"/>
  <c r="AK44" i="9" s="1"/>
  <c r="AS44" i="9" s="1"/>
  <c r="AY44" i="9" s="1"/>
  <c r="BG44" i="9" s="1"/>
  <c r="BM44" i="9" s="1"/>
  <c r="BS44" i="9" s="1"/>
  <c r="BY44" i="9" s="1"/>
  <c r="CG44" i="9" s="1"/>
  <c r="CM44" i="9" s="1"/>
  <c r="CS44" i="9" s="1"/>
  <c r="AK43" i="9"/>
  <c r="AS43" i="9" s="1"/>
  <c r="AY43" i="9" s="1"/>
  <c r="BG43" i="9" s="1"/>
  <c r="BM43" i="9" s="1"/>
  <c r="BS43" i="9" s="1"/>
  <c r="BY43" i="9" s="1"/>
  <c r="CG43" i="9" s="1"/>
  <c r="CM43" i="9" s="1"/>
  <c r="CS43" i="9" s="1"/>
  <c r="DS42" i="9"/>
  <c r="EA42" i="9" s="1"/>
  <c r="EG42" i="9" s="1"/>
  <c r="EM42" i="9" s="1"/>
  <c r="ES42" i="9" s="1"/>
  <c r="BM42" i="9"/>
  <c r="BS42" i="9" s="1"/>
  <c r="BY42" i="9" s="1"/>
  <c r="CG42" i="9" s="1"/>
  <c r="CM42" i="9" s="1"/>
  <c r="CS42" i="9" s="1"/>
  <c r="AK42" i="9"/>
  <c r="AS42" i="9" s="1"/>
  <c r="AY42" i="9" s="1"/>
  <c r="BG42" i="9" s="1"/>
  <c r="K42" i="9"/>
  <c r="Q42" i="9" s="1"/>
  <c r="Y42" i="9" s="1"/>
  <c r="AE42" i="9" s="1"/>
  <c r="EM41" i="9"/>
  <c r="ES41" i="9" s="1"/>
  <c r="BY41" i="9"/>
  <c r="CG41" i="9" s="1"/>
  <c r="CM41" i="9" s="1"/>
  <c r="CS41" i="9" s="1"/>
  <c r="CY41" i="9" s="1"/>
  <c r="K41" i="9"/>
  <c r="Q41" i="9" s="1"/>
  <c r="Y41" i="9" s="1"/>
  <c r="AE41" i="9" s="1"/>
  <c r="AK41" i="9" s="1"/>
  <c r="AS41" i="9" s="1"/>
  <c r="AY41" i="9" s="1"/>
  <c r="BG41" i="9" s="1"/>
  <c r="BM41" i="9" s="1"/>
  <c r="BS41" i="9" s="1"/>
  <c r="AK39" i="9"/>
  <c r="K38" i="9"/>
  <c r="Q38" i="9" s="1"/>
  <c r="Y38" i="9" s="1"/>
  <c r="AE38" i="9" s="1"/>
  <c r="AK38" i="9" s="1"/>
  <c r="AS38" i="9" s="1"/>
  <c r="AY38" i="9" s="1"/>
  <c r="BG38" i="9" s="1"/>
  <c r="BM38" i="9" s="1"/>
  <c r="BS38" i="9" s="1"/>
  <c r="BY38" i="9" s="1"/>
  <c r="CG38" i="9" s="1"/>
  <c r="CM38" i="9" s="1"/>
  <c r="CS38" i="9" s="1"/>
  <c r="EM37" i="9"/>
  <c r="ES37" i="9" s="1"/>
  <c r="DG37" i="9"/>
  <c r="DM37" i="9" s="1"/>
  <c r="DS37" i="9" s="1"/>
  <c r="EA37" i="9" s="1"/>
  <c r="EG37" i="9" s="1"/>
  <c r="CY37" i="9"/>
  <c r="BM37" i="9"/>
  <c r="BS37" i="9" s="1"/>
  <c r="BY37" i="9" s="1"/>
  <c r="CG37" i="9" s="1"/>
  <c r="CM37" i="9" s="1"/>
  <c r="CS37" i="9" s="1"/>
  <c r="K37" i="9"/>
  <c r="Q37" i="9" s="1"/>
  <c r="Y37" i="9" s="1"/>
  <c r="AE37" i="9" s="1"/>
  <c r="AK37" i="9" s="1"/>
  <c r="AS37" i="9" s="1"/>
  <c r="AY37" i="9" s="1"/>
  <c r="BG37" i="9" s="1"/>
  <c r="K36" i="9"/>
  <c r="Q36" i="9" s="1"/>
  <c r="Y36" i="9" s="1"/>
  <c r="AE36" i="9" s="1"/>
  <c r="AK36" i="9" s="1"/>
  <c r="AS36" i="9" s="1"/>
  <c r="AY36" i="9" s="1"/>
  <c r="BG36" i="9" s="1"/>
  <c r="BM36" i="9" s="1"/>
  <c r="BS36" i="9" s="1"/>
  <c r="BY36" i="9" s="1"/>
  <c r="CG36" i="9" s="1"/>
  <c r="CM36" i="9" s="1"/>
  <c r="CS36" i="9" s="1"/>
  <c r="EA35" i="9"/>
  <c r="EG35" i="9" s="1"/>
  <c r="EM35" i="9" s="1"/>
  <c r="ES35" i="9" s="1"/>
  <c r="CS35" i="9"/>
  <c r="DG35" i="9" s="1"/>
  <c r="DM35" i="9" s="1"/>
  <c r="DS35" i="9" s="1"/>
  <c r="BG35" i="9"/>
  <c r="BM35" i="9" s="1"/>
  <c r="BS35" i="9" s="1"/>
  <c r="BY35" i="9" s="1"/>
  <c r="CG35" i="9" s="1"/>
  <c r="CM35" i="9" s="1"/>
  <c r="AK35" i="9"/>
  <c r="AS35" i="9" s="1"/>
  <c r="AY35" i="9" s="1"/>
  <c r="K35" i="9"/>
  <c r="Q35" i="9" s="1"/>
  <c r="Y35" i="9" s="1"/>
  <c r="AE35" i="9" s="1"/>
  <c r="K34" i="9"/>
  <c r="Q34" i="9" s="1"/>
  <c r="Y34" i="9" s="1"/>
  <c r="AE34" i="9" s="1"/>
  <c r="AK34" i="9" s="1"/>
  <c r="AS34" i="9" s="1"/>
  <c r="AY34" i="9" s="1"/>
  <c r="BG34" i="9" s="1"/>
  <c r="BM34" i="9" s="1"/>
  <c r="BS34" i="9" s="1"/>
  <c r="BY34" i="9" s="1"/>
  <c r="CG34" i="9" s="1"/>
  <c r="CM34" i="9" s="1"/>
  <c r="CS34" i="9" s="1"/>
  <c r="DS33" i="9"/>
  <c r="EA33" i="9" s="1"/>
  <c r="EG33" i="9" s="1"/>
  <c r="EM33" i="9" s="1"/>
  <c r="ES33" i="9" s="1"/>
  <c r="BY33" i="9"/>
  <c r="CG33" i="9" s="1"/>
  <c r="CM33" i="9" s="1"/>
  <c r="CS33" i="9" s="1"/>
  <c r="AY33" i="9"/>
  <c r="BG33" i="9" s="1"/>
  <c r="BM33" i="9" s="1"/>
  <c r="BS33" i="9" s="1"/>
  <c r="Q33" i="9"/>
  <c r="Y33" i="9" s="1"/>
  <c r="AE33" i="9" s="1"/>
  <c r="AK33" i="9" s="1"/>
  <c r="AS33" i="9" s="1"/>
  <c r="K33" i="9"/>
  <c r="AK32" i="9"/>
  <c r="AS32" i="9" s="1"/>
  <c r="AY32" i="9" s="1"/>
  <c r="BG32" i="9" s="1"/>
  <c r="BM32" i="9" s="1"/>
  <c r="BS32" i="9" s="1"/>
  <c r="BY32" i="9" s="1"/>
  <c r="CG32" i="9" s="1"/>
  <c r="CM32" i="9" s="1"/>
  <c r="CS32" i="9" s="1"/>
  <c r="K32" i="9"/>
  <c r="Q32" i="9" s="1"/>
  <c r="Y32" i="9" s="1"/>
  <c r="AE32" i="9" s="1"/>
  <c r="ES31" i="9"/>
  <c r="DM31" i="9"/>
  <c r="DS31" i="9" s="1"/>
  <c r="EA31" i="9" s="1"/>
  <c r="EG31" i="9" s="1"/>
  <c r="EM31" i="9" s="1"/>
  <c r="BS31" i="9"/>
  <c r="BY31" i="9" s="1"/>
  <c r="CG31" i="9" s="1"/>
  <c r="CM31" i="9" s="1"/>
  <c r="CS31" i="9" s="1"/>
  <c r="AS31" i="9"/>
  <c r="AY31" i="9" s="1"/>
  <c r="BG31" i="9" s="1"/>
  <c r="BM31" i="9" s="1"/>
  <c r="K31" i="9"/>
  <c r="Q31" i="9" s="1"/>
  <c r="Y31" i="9" s="1"/>
  <c r="AE31" i="9" s="1"/>
  <c r="AK31" i="9" s="1"/>
  <c r="AK29" i="9"/>
  <c r="EG28" i="9"/>
  <c r="EM28" i="9" s="1"/>
  <c r="ES28" i="9" s="1"/>
  <c r="CM28" i="9"/>
  <c r="CS28" i="9" s="1"/>
  <c r="DG28" i="9" s="1"/>
  <c r="DM28" i="9" s="1"/>
  <c r="DS28" i="9" s="1"/>
  <c r="EA28" i="9" s="1"/>
  <c r="BM28" i="9"/>
  <c r="BS28" i="9" s="1"/>
  <c r="BY28" i="9" s="1"/>
  <c r="CG28" i="9" s="1"/>
  <c r="AE28" i="9"/>
  <c r="AK28" i="9" s="1"/>
  <c r="AS28" i="9" s="1"/>
  <c r="AY28" i="9" s="1"/>
  <c r="BG28" i="9" s="1"/>
  <c r="K28" i="9"/>
  <c r="Q28" i="9" s="1"/>
  <c r="Y28" i="9" s="1"/>
  <c r="K27" i="9"/>
  <c r="Q27" i="9" s="1"/>
  <c r="Y27" i="9" s="1"/>
  <c r="AE27" i="9" s="1"/>
  <c r="AK27" i="9" s="1"/>
  <c r="AS27" i="9" s="1"/>
  <c r="AY27" i="9" s="1"/>
  <c r="BG27" i="9" s="1"/>
  <c r="BM27" i="9" s="1"/>
  <c r="BS27" i="9" s="1"/>
  <c r="BY27" i="9" s="1"/>
  <c r="CG27" i="9" s="1"/>
  <c r="CM27" i="9" s="1"/>
  <c r="CS27" i="9" s="1"/>
  <c r="DS26" i="9"/>
  <c r="EA26" i="9" s="1"/>
  <c r="EG26" i="9" s="1"/>
  <c r="EM26" i="9" s="1"/>
  <c r="ES26" i="9" s="1"/>
  <c r="CG26" i="9"/>
  <c r="CM26" i="9" s="1"/>
  <c r="CS26" i="9" s="1"/>
  <c r="AY26" i="9"/>
  <c r="BG26" i="9" s="1"/>
  <c r="BM26" i="9" s="1"/>
  <c r="BS26" i="9" s="1"/>
  <c r="BY26" i="9" s="1"/>
  <c r="Q26" i="9"/>
  <c r="Y26" i="9" s="1"/>
  <c r="AE26" i="9" s="1"/>
  <c r="AK26" i="9" s="1"/>
  <c r="AS26" i="9" s="1"/>
  <c r="K26" i="9"/>
  <c r="K25" i="9"/>
  <c r="Q25" i="9" s="1"/>
  <c r="Y25" i="9" s="1"/>
  <c r="AE25" i="9" s="1"/>
  <c r="AK25" i="9" s="1"/>
  <c r="AS25" i="9" s="1"/>
  <c r="AY25" i="9" s="1"/>
  <c r="BG25" i="9" s="1"/>
  <c r="BM25" i="9" s="1"/>
  <c r="BS25" i="9" s="1"/>
  <c r="BY25" i="9" s="1"/>
  <c r="CG25" i="9" s="1"/>
  <c r="CM25" i="9" s="1"/>
  <c r="CS25" i="9" s="1"/>
  <c r="ES24" i="9"/>
  <c r="DM24" i="9"/>
  <c r="DS24" i="9" s="1"/>
  <c r="EA24" i="9" s="1"/>
  <c r="EG24" i="9" s="1"/>
  <c r="EM24" i="9" s="1"/>
  <c r="BY24" i="9"/>
  <c r="CG24" i="9" s="1"/>
  <c r="CM24" i="9" s="1"/>
  <c r="CS24" i="9" s="1"/>
  <c r="AS24" i="9"/>
  <c r="AY24" i="9" s="1"/>
  <c r="BG24" i="9" s="1"/>
  <c r="BM24" i="9" s="1"/>
  <c r="BS24" i="9" s="1"/>
  <c r="Q24" i="9"/>
  <c r="Y24" i="9" s="1"/>
  <c r="AE24" i="9" s="1"/>
  <c r="AK24" i="9" s="1"/>
  <c r="K24" i="9"/>
  <c r="K23" i="9"/>
  <c r="Q23" i="9" s="1"/>
  <c r="Y23" i="9" s="1"/>
  <c r="AE23" i="9" s="1"/>
  <c r="AK23" i="9" s="1"/>
  <c r="AS23" i="9" s="1"/>
  <c r="AY23" i="9" s="1"/>
  <c r="BG23" i="9" s="1"/>
  <c r="BM23" i="9" s="1"/>
  <c r="BS23" i="9" s="1"/>
  <c r="BY23" i="9" s="1"/>
  <c r="CG23" i="9" s="1"/>
  <c r="CM23" i="9" s="1"/>
  <c r="CS23" i="9" s="1"/>
  <c r="EM22" i="9"/>
  <c r="ES22" i="9" s="1"/>
  <c r="CS22" i="9"/>
  <c r="CY22" i="9" s="1"/>
  <c r="BS22" i="9"/>
  <c r="BY22" i="9" s="1"/>
  <c r="CG22" i="9" s="1"/>
  <c r="CM22" i="9" s="1"/>
  <c r="AK22" i="9"/>
  <c r="AS22" i="9" s="1"/>
  <c r="AY22" i="9" s="1"/>
  <c r="BG22" i="9" s="1"/>
  <c r="BM22" i="9" s="1"/>
  <c r="K22" i="9"/>
  <c r="Q22" i="9" s="1"/>
  <c r="Y22" i="9" s="1"/>
  <c r="AE22" i="9" s="1"/>
  <c r="K21" i="9"/>
  <c r="Q21" i="9" s="1"/>
  <c r="Y21" i="9" s="1"/>
  <c r="AE21" i="9" s="1"/>
  <c r="AK21" i="9" s="1"/>
  <c r="AS21" i="9" s="1"/>
  <c r="AY21" i="9" s="1"/>
  <c r="BG21" i="9" s="1"/>
  <c r="BM21" i="9" s="1"/>
  <c r="BS21" i="9" s="1"/>
  <c r="BY21" i="9" s="1"/>
  <c r="CG21" i="9" s="1"/>
  <c r="CM21" i="9" s="1"/>
  <c r="CS21" i="9" s="1"/>
  <c r="CY21" i="9" s="1"/>
  <c r="FO89" i="11"/>
  <c r="EO89" i="11"/>
  <c r="DU89" i="11"/>
  <c r="CU89" i="11"/>
  <c r="FO79" i="11"/>
  <c r="EO79" i="11"/>
  <c r="DU79" i="11"/>
  <c r="CU79" i="11"/>
  <c r="BJ79" i="11"/>
  <c r="AP79" i="11"/>
  <c r="AJ79" i="11"/>
  <c r="V79" i="11"/>
  <c r="P79" i="11"/>
  <c r="FO69" i="11"/>
  <c r="EO69" i="11"/>
  <c r="DU69" i="11"/>
  <c r="CU69" i="11"/>
  <c r="FO59" i="11"/>
  <c r="EO59" i="11"/>
  <c r="DU59" i="11"/>
  <c r="CU59" i="11"/>
  <c r="FO49" i="11"/>
  <c r="EO49" i="11"/>
  <c r="DU49" i="11"/>
  <c r="CU49" i="11"/>
  <c r="FO39" i="11"/>
  <c r="EO39" i="11"/>
  <c r="DU39" i="11"/>
  <c r="CU39" i="11"/>
  <c r="FO29" i="11"/>
  <c r="EO29" i="11"/>
  <c r="DU29" i="11"/>
  <c r="CU29" i="11"/>
  <c r="FO19" i="11"/>
  <c r="EO19" i="11"/>
  <c r="DU19" i="11"/>
  <c r="CU19" i="11"/>
  <c r="FN18" i="11"/>
  <c r="FH18" i="11"/>
  <c r="FB18" i="11"/>
  <c r="EV18" i="11"/>
  <c r="EN18" i="11"/>
  <c r="EH18" i="11"/>
  <c r="EB18" i="11"/>
  <c r="DT18" i="11"/>
  <c r="DN18" i="11"/>
  <c r="DH18" i="11"/>
  <c r="DB18" i="11"/>
  <c r="CT18" i="11"/>
  <c r="CN18" i="11"/>
  <c r="CH18" i="11"/>
  <c r="CB18" i="11"/>
  <c r="BN18" i="11"/>
  <c r="BH18" i="11"/>
  <c r="AT18" i="11"/>
  <c r="AN18" i="11"/>
  <c r="Z18" i="11"/>
  <c r="T18" i="11"/>
  <c r="F18" i="11"/>
  <c r="C15" i="11"/>
  <c r="CR14" i="11"/>
  <c r="F13" i="11"/>
  <c r="F12" i="11"/>
  <c r="F11" i="11"/>
  <c r="F10" i="11"/>
  <c r="F9" i="11"/>
  <c r="F8" i="11"/>
  <c r="F7" i="11"/>
  <c r="F6" i="11"/>
  <c r="E3" i="11"/>
  <c r="H1" i="11"/>
  <c r="H2" i="11" s="1"/>
  <c r="AA13" i="11" s="1"/>
  <c r="D21" i="9"/>
  <c r="E21" i="9" s="1"/>
  <c r="I3" i="9"/>
  <c r="G3" i="9"/>
  <c r="E3" i="9"/>
  <c r="F3" i="9"/>
  <c r="O6" i="9"/>
  <c r="EW89" i="9"/>
  <c r="EW79" i="9"/>
  <c r="EW69" i="9"/>
  <c r="EW59" i="9"/>
  <c r="EW49" i="9"/>
  <c r="EW39" i="9"/>
  <c r="EW29" i="9"/>
  <c r="EW19" i="9"/>
  <c r="EV18" i="9"/>
  <c r="CC89" i="9"/>
  <c r="CC79" i="9"/>
  <c r="CC69" i="9"/>
  <c r="CC59" i="9"/>
  <c r="CC49" i="9"/>
  <c r="CC39" i="9"/>
  <c r="CC29" i="9"/>
  <c r="CC19" i="9"/>
  <c r="BZ14" i="9"/>
  <c r="CB18" i="9"/>
  <c r="BF79" i="9"/>
  <c r="DC89" i="9"/>
  <c r="DC79" i="9"/>
  <c r="DC69" i="9"/>
  <c r="DC59" i="9"/>
  <c r="DC49" i="9"/>
  <c r="DC39" i="9"/>
  <c r="DC29" i="9"/>
  <c r="DC19" i="9"/>
  <c r="DB18" i="9"/>
  <c r="CV18" i="9"/>
  <c r="CP18" i="9"/>
  <c r="CJ18" i="9"/>
  <c r="DV18" i="9"/>
  <c r="DP18" i="9"/>
  <c r="DJ18" i="9"/>
  <c r="BV18" i="9"/>
  <c r="BP18" i="9"/>
  <c r="EP18" i="9"/>
  <c r="EJ18" i="9"/>
  <c r="ED18" i="9"/>
  <c r="DW89" i="9"/>
  <c r="DW79" i="9"/>
  <c r="DW69" i="9"/>
  <c r="DW59" i="9"/>
  <c r="DW49" i="9"/>
  <c r="DW39" i="9"/>
  <c r="DW29" i="9"/>
  <c r="DW19" i="9"/>
  <c r="AX79" i="9"/>
  <c r="AR79" i="9"/>
  <c r="AJ79" i="9"/>
  <c r="AD79" i="9"/>
  <c r="X79" i="9"/>
  <c r="P79" i="9"/>
  <c r="J79" i="9"/>
  <c r="U49" i="9"/>
  <c r="G49" i="9"/>
  <c r="U59" i="9"/>
  <c r="C98" i="10"/>
  <c r="K98" i="10" s="1"/>
  <c r="Q98" i="10" s="1"/>
  <c r="C97" i="10"/>
  <c r="K97" i="10" s="1"/>
  <c r="C96" i="10"/>
  <c r="K96" i="10" s="1"/>
  <c r="AE95" i="10"/>
  <c r="AK95" i="10" s="1"/>
  <c r="AS95" i="10" s="1"/>
  <c r="C95" i="10"/>
  <c r="C94" i="10"/>
  <c r="K94" i="10" s="1"/>
  <c r="Q94" i="10" s="1"/>
  <c r="C93" i="10"/>
  <c r="K93" i="10" s="1"/>
  <c r="C92" i="10"/>
  <c r="K92" i="10" s="1"/>
  <c r="K91" i="10"/>
  <c r="Q91" i="10" s="1"/>
  <c r="CC89" i="10"/>
  <c r="BX89" i="10"/>
  <c r="BI89" i="10"/>
  <c r="AO89" i="10"/>
  <c r="AK89" i="10"/>
  <c r="U89" i="10"/>
  <c r="G89" i="10"/>
  <c r="H18" i="10" s="1"/>
  <c r="AE88" i="10"/>
  <c r="AK88" i="10" s="1"/>
  <c r="C88" i="10"/>
  <c r="K88" i="10" s="1"/>
  <c r="C87" i="10"/>
  <c r="K87" i="10" s="1"/>
  <c r="C86" i="10"/>
  <c r="K86" i="10" s="1"/>
  <c r="C85" i="10"/>
  <c r="K85" i="10" s="1"/>
  <c r="Q85" i="10" s="1"/>
  <c r="C84" i="10"/>
  <c r="K84" i="10" s="1"/>
  <c r="C83" i="10"/>
  <c r="K83" i="10" s="1"/>
  <c r="C82" i="10"/>
  <c r="K82" i="10" s="1"/>
  <c r="K81" i="10"/>
  <c r="Q81" i="10" s="1"/>
  <c r="CC79" i="10"/>
  <c r="BX79" i="10"/>
  <c r="BR79" i="10"/>
  <c r="BL79" i="10"/>
  <c r="BI79" i="10"/>
  <c r="BD79" i="10"/>
  <c r="AX79" i="10"/>
  <c r="AR79" i="10"/>
  <c r="AO79" i="10"/>
  <c r="AK79" i="10"/>
  <c r="AJ79" i="10"/>
  <c r="AD79" i="10"/>
  <c r="X79" i="10"/>
  <c r="U79" i="10"/>
  <c r="P79" i="10"/>
  <c r="J79" i="10"/>
  <c r="G79" i="10"/>
  <c r="C78" i="10"/>
  <c r="K78" i="10" s="1"/>
  <c r="Q78" i="10" s="1"/>
  <c r="C77" i="10"/>
  <c r="K77" i="10" s="1"/>
  <c r="C76" i="10"/>
  <c r="K76" i="10" s="1"/>
  <c r="K75" i="10"/>
  <c r="Q75" i="10" s="1"/>
  <c r="C75" i="10"/>
  <c r="C74" i="10"/>
  <c r="K74" i="10" s="1"/>
  <c r="C73" i="10"/>
  <c r="K73" i="10" s="1"/>
  <c r="C72" i="10"/>
  <c r="K72" i="10" s="1"/>
  <c r="K71" i="10"/>
  <c r="Q71" i="10" s="1"/>
  <c r="CC69" i="10"/>
  <c r="BX69" i="10"/>
  <c r="BR69" i="10"/>
  <c r="BL69" i="10"/>
  <c r="BI69" i="10"/>
  <c r="BD69" i="10"/>
  <c r="AX69" i="10"/>
  <c r="AR69" i="10"/>
  <c r="AO69" i="10"/>
  <c r="AK69" i="10"/>
  <c r="AJ69" i="10"/>
  <c r="AD69" i="10"/>
  <c r="X69" i="10"/>
  <c r="U69" i="10"/>
  <c r="P69" i="10"/>
  <c r="J69" i="10"/>
  <c r="G69" i="10"/>
  <c r="Q68" i="10"/>
  <c r="Y68" i="10" s="1"/>
  <c r="AE68" i="10" s="1"/>
  <c r="K68" i="10"/>
  <c r="C68" i="10"/>
  <c r="C67" i="10"/>
  <c r="K67" i="10" s="1"/>
  <c r="C66" i="10"/>
  <c r="K66" i="10" s="1"/>
  <c r="C65" i="10"/>
  <c r="K65" i="10" s="1"/>
  <c r="Q65" i="10" s="1"/>
  <c r="C64" i="10"/>
  <c r="K64" i="10" s="1"/>
  <c r="AE63" i="10"/>
  <c r="AK63" i="10" s="1"/>
  <c r="C63" i="10"/>
  <c r="K63" i="10" s="1"/>
  <c r="C62" i="10"/>
  <c r="K62" i="10" s="1"/>
  <c r="K61" i="10"/>
  <c r="Q61" i="10" s="1"/>
  <c r="CC59" i="10"/>
  <c r="BX59" i="10"/>
  <c r="BR59" i="10"/>
  <c r="BL59" i="10"/>
  <c r="BI59" i="10"/>
  <c r="BD59" i="10"/>
  <c r="AX59" i="10"/>
  <c r="AR59" i="10"/>
  <c r="AO59" i="10"/>
  <c r="AK59" i="10"/>
  <c r="AJ59" i="10"/>
  <c r="AD59" i="10"/>
  <c r="X59" i="10"/>
  <c r="U59" i="10"/>
  <c r="P59" i="10"/>
  <c r="J59" i="10"/>
  <c r="G59" i="10"/>
  <c r="C58" i="10"/>
  <c r="K58" i="10" s="1"/>
  <c r="C57" i="10"/>
  <c r="K57" i="10" s="1"/>
  <c r="C56" i="10"/>
  <c r="K56" i="10" s="1"/>
  <c r="C55" i="10"/>
  <c r="K55" i="10" s="1"/>
  <c r="Q55" i="10" s="1"/>
  <c r="K54" i="10"/>
  <c r="Q54" i="10" s="1"/>
  <c r="C54" i="10"/>
  <c r="K53" i="10"/>
  <c r="C53" i="10"/>
  <c r="C52" i="10"/>
  <c r="K52" i="10" s="1"/>
  <c r="K51" i="10"/>
  <c r="Q51" i="10" s="1"/>
  <c r="CC49" i="10"/>
  <c r="BX49" i="10"/>
  <c r="BR49" i="10"/>
  <c r="BL49" i="10"/>
  <c r="BI49" i="10"/>
  <c r="BD49" i="10"/>
  <c r="AX49" i="10"/>
  <c r="AR49" i="10"/>
  <c r="AO49" i="10"/>
  <c r="AK49" i="10"/>
  <c r="AJ49" i="10"/>
  <c r="AD49" i="10"/>
  <c r="X49" i="10"/>
  <c r="U49" i="10"/>
  <c r="P49" i="10"/>
  <c r="J49" i="10"/>
  <c r="G49" i="10"/>
  <c r="Y48" i="10"/>
  <c r="AE48" i="10" s="1"/>
  <c r="C48" i="10"/>
  <c r="K48" i="10" s="1"/>
  <c r="C47" i="10"/>
  <c r="K47" i="10" s="1"/>
  <c r="K46" i="10"/>
  <c r="Q46" i="10" s="1"/>
  <c r="C46" i="10"/>
  <c r="Q45" i="10"/>
  <c r="Y45" i="10" s="1"/>
  <c r="C45" i="10"/>
  <c r="K45" i="10" s="1"/>
  <c r="C44" i="10"/>
  <c r="K44" i="10" s="1"/>
  <c r="C43" i="10"/>
  <c r="K43" i="10" s="1"/>
  <c r="C42" i="10"/>
  <c r="K42" i="10" s="1"/>
  <c r="AE41" i="10"/>
  <c r="AK41" i="10" s="1"/>
  <c r="K41" i="10"/>
  <c r="Q41" i="10" s="1"/>
  <c r="CC39" i="10"/>
  <c r="BX39" i="10"/>
  <c r="BR39" i="10"/>
  <c r="BL39" i="10"/>
  <c r="BI39" i="10"/>
  <c r="BD39" i="10"/>
  <c r="AX39" i="10"/>
  <c r="AR39" i="10"/>
  <c r="AO39" i="10"/>
  <c r="AK39" i="10"/>
  <c r="AJ39" i="10"/>
  <c r="AD39" i="10"/>
  <c r="X39" i="10"/>
  <c r="U39" i="10"/>
  <c r="P39" i="10"/>
  <c r="G39" i="10"/>
  <c r="C38" i="10"/>
  <c r="K38" i="10" s="1"/>
  <c r="AK37" i="10"/>
  <c r="AS37" i="10" s="1"/>
  <c r="AE37" i="10"/>
  <c r="C37" i="10"/>
  <c r="K37" i="10" s="1"/>
  <c r="C36" i="10"/>
  <c r="K36" i="10" s="1"/>
  <c r="C35" i="10"/>
  <c r="K35" i="10" s="1"/>
  <c r="Q35" i="10" s="1"/>
  <c r="C34" i="10"/>
  <c r="K34" i="10" s="1"/>
  <c r="Y33" i="10"/>
  <c r="AE33" i="10" s="1"/>
  <c r="AK33" i="10" s="1"/>
  <c r="C33" i="10"/>
  <c r="K33" i="10" s="1"/>
  <c r="AK32" i="10"/>
  <c r="AS32" i="10" s="1"/>
  <c r="C32" i="10"/>
  <c r="K32" i="10" s="1"/>
  <c r="K31" i="10"/>
  <c r="Q31" i="10" s="1"/>
  <c r="CC29" i="10"/>
  <c r="BX29" i="10"/>
  <c r="BR29" i="10"/>
  <c r="BL29" i="10"/>
  <c r="BI29" i="10"/>
  <c r="BD29" i="10"/>
  <c r="AX29" i="10"/>
  <c r="AR29" i="10"/>
  <c r="AO29" i="10"/>
  <c r="AK29" i="10"/>
  <c r="AJ29" i="10"/>
  <c r="AD29" i="10"/>
  <c r="X29" i="10"/>
  <c r="U29" i="10"/>
  <c r="P29" i="10"/>
  <c r="J29" i="10"/>
  <c r="G29" i="10"/>
  <c r="AK28" i="10"/>
  <c r="AS28" i="10" s="1"/>
  <c r="C28" i="10"/>
  <c r="K28" i="10" s="1"/>
  <c r="C27" i="10"/>
  <c r="K27" i="10" s="1"/>
  <c r="Y26" i="10"/>
  <c r="AE26" i="10" s="1"/>
  <c r="C26" i="10"/>
  <c r="K26" i="10" s="1"/>
  <c r="AE25" i="10"/>
  <c r="AK25" i="10" s="1"/>
  <c r="C25" i="10"/>
  <c r="K25" i="10" s="1"/>
  <c r="K24" i="10"/>
  <c r="Q24" i="10" s="1"/>
  <c r="C24" i="10"/>
  <c r="Q23" i="10"/>
  <c r="Y23" i="10" s="1"/>
  <c r="C23" i="10"/>
  <c r="K23" i="10" s="1"/>
  <c r="AY22" i="10"/>
  <c r="BE22" i="10" s="1"/>
  <c r="C22" i="10"/>
  <c r="K22" i="10" s="1"/>
  <c r="Q21" i="10"/>
  <c r="Y21" i="10" s="1"/>
  <c r="K21" i="10"/>
  <c r="CC19" i="10"/>
  <c r="BI19" i="10"/>
  <c r="BJ18" i="10" s="1"/>
  <c r="AO19" i="10"/>
  <c r="AP18" i="10" s="1"/>
  <c r="U19" i="10"/>
  <c r="G19" i="10"/>
  <c r="CD18" i="10"/>
  <c r="CC18" i="10"/>
  <c r="CB18" i="10"/>
  <c r="BV18" i="10"/>
  <c r="BP18" i="10"/>
  <c r="BH18" i="10"/>
  <c r="BB18" i="10"/>
  <c r="AV18" i="10"/>
  <c r="AN18" i="10"/>
  <c r="AH18" i="10"/>
  <c r="AB18" i="10"/>
  <c r="T18" i="10"/>
  <c r="N18" i="10"/>
  <c r="F18" i="10"/>
  <c r="C15" i="10"/>
  <c r="F13" i="10"/>
  <c r="F12" i="10"/>
  <c r="F11" i="10"/>
  <c r="F10" i="10"/>
  <c r="F9" i="10"/>
  <c r="F8" i="10"/>
  <c r="F7" i="10"/>
  <c r="F6" i="10"/>
  <c r="F3" i="10"/>
  <c r="G1" i="10"/>
  <c r="G2" i="10" s="1"/>
  <c r="G1" i="9"/>
  <c r="G2" i="9" s="1"/>
  <c r="U19" i="9"/>
  <c r="U89" i="9"/>
  <c r="U79" i="9"/>
  <c r="U69" i="9"/>
  <c r="U39" i="9"/>
  <c r="U29" i="9"/>
  <c r="AO79" i="9"/>
  <c r="G19" i="9"/>
  <c r="L21" i="8"/>
  <c r="M21" i="8"/>
  <c r="E21" i="8"/>
  <c r="L32" i="8"/>
  <c r="AB18" i="9"/>
  <c r="AH18" i="9"/>
  <c r="AN18" i="9"/>
  <c r="C15" i="9"/>
  <c r="BC89" i="9"/>
  <c r="AO89" i="9"/>
  <c r="G89" i="9"/>
  <c r="BC79" i="9"/>
  <c r="G79" i="9"/>
  <c r="BC69" i="9"/>
  <c r="AO69" i="9"/>
  <c r="G69" i="9"/>
  <c r="BC59" i="9"/>
  <c r="AO59" i="9"/>
  <c r="G59" i="9"/>
  <c r="BC49" i="9"/>
  <c r="AO49" i="9"/>
  <c r="BC39" i="9"/>
  <c r="AO39" i="9"/>
  <c r="G39" i="9"/>
  <c r="BC29" i="9"/>
  <c r="AO29" i="9"/>
  <c r="G29" i="9"/>
  <c r="BC19" i="9"/>
  <c r="AO19" i="9"/>
  <c r="BJ18" i="9"/>
  <c r="BB18" i="9"/>
  <c r="AV18" i="9"/>
  <c r="T18" i="9"/>
  <c r="N18" i="9"/>
  <c r="F18" i="9"/>
  <c r="F13" i="9"/>
  <c r="F12" i="9"/>
  <c r="F11" i="9"/>
  <c r="F10" i="9"/>
  <c r="F9" i="9"/>
  <c r="F8" i="9"/>
  <c r="F7" i="9"/>
  <c r="F6" i="9"/>
  <c r="CC89" i="8"/>
  <c r="CC79" i="8"/>
  <c r="CC69" i="8"/>
  <c r="CC59" i="8"/>
  <c r="CC49" i="8"/>
  <c r="CC39" i="8"/>
  <c r="CC29" i="8"/>
  <c r="CC19" i="8"/>
  <c r="BM94" i="8"/>
  <c r="BI89" i="8"/>
  <c r="BI79" i="8"/>
  <c r="BI69" i="8"/>
  <c r="BI59" i="8"/>
  <c r="BI49" i="8"/>
  <c r="BI39" i="8"/>
  <c r="BI29" i="8"/>
  <c r="BI19" i="8"/>
  <c r="AO89" i="8"/>
  <c r="AO79" i="8"/>
  <c r="AO69" i="8"/>
  <c r="AO59" i="8"/>
  <c r="AO49" i="8"/>
  <c r="AO39" i="8"/>
  <c r="AO29" i="8"/>
  <c r="AO19" i="8"/>
  <c r="U19" i="8"/>
  <c r="U79" i="8"/>
  <c r="U89" i="8"/>
  <c r="G89" i="8"/>
  <c r="G69" i="8"/>
  <c r="G59" i="8"/>
  <c r="G49" i="8"/>
  <c r="G39" i="8"/>
  <c r="G29" i="8"/>
  <c r="G79" i="8"/>
  <c r="G19" i="8"/>
  <c r="U69" i="8"/>
  <c r="U59" i="8"/>
  <c r="U49" i="8"/>
  <c r="U39" i="8"/>
  <c r="U29" i="8"/>
  <c r="BH18" i="8"/>
  <c r="AE61" i="8"/>
  <c r="Y94" i="8"/>
  <c r="Y45" i="8"/>
  <c r="Y28" i="8"/>
  <c r="Q92" i="8"/>
  <c r="R92" i="8" s="1"/>
  <c r="Q81" i="8"/>
  <c r="R81" i="8" s="1"/>
  <c r="Q78" i="8"/>
  <c r="R78" i="8" s="1"/>
  <c r="Q37" i="8"/>
  <c r="R37" i="8" s="1"/>
  <c r="Q26" i="8"/>
  <c r="Y26" i="8" s="1"/>
  <c r="K31" i="8"/>
  <c r="Q31" i="8" s="1"/>
  <c r="AK29" i="8"/>
  <c r="AK30" i="8"/>
  <c r="AK39" i="8"/>
  <c r="AK40" i="8"/>
  <c r="AK49" i="8"/>
  <c r="AK50" i="8"/>
  <c r="AK59" i="8"/>
  <c r="AK60" i="8"/>
  <c r="AK69" i="8"/>
  <c r="AK70" i="8"/>
  <c r="AK79" i="8"/>
  <c r="AK80" i="8"/>
  <c r="AK89" i="8"/>
  <c r="AK90" i="8"/>
  <c r="BS94" i="8"/>
  <c r="BY94" i="8" s="1"/>
  <c r="BS28" i="8"/>
  <c r="BY28" i="8" s="1"/>
  <c r="AS26" i="8"/>
  <c r="AT26" i="8" s="1"/>
  <c r="K21" i="8"/>
  <c r="Q21" i="8" s="1"/>
  <c r="Y21" i="8" s="1"/>
  <c r="AE21" i="8" s="1"/>
  <c r="CB18" i="8"/>
  <c r="BV18" i="8"/>
  <c r="BP18" i="8"/>
  <c r="BB18" i="8"/>
  <c r="AV18" i="8"/>
  <c r="AN18" i="8"/>
  <c r="AH18" i="8"/>
  <c r="AB18" i="8"/>
  <c r="AQ55" i="11" l="1"/>
  <c r="AQ75" i="11"/>
  <c r="AC34" i="11"/>
  <c r="AK34" i="11" s="1"/>
  <c r="AQ34" i="11" s="1"/>
  <c r="AQ42" i="11"/>
  <c r="BA18" i="11"/>
  <c r="AQ21" i="11"/>
  <c r="BY21" i="11" s="1"/>
  <c r="CE21" i="11" s="1"/>
  <c r="CK21" i="11" s="1"/>
  <c r="CQ21" i="11" s="1"/>
  <c r="CY21" i="11" s="1"/>
  <c r="DE21" i="11" s="1"/>
  <c r="DK21" i="11" s="1"/>
  <c r="DY21" i="11" s="1"/>
  <c r="EE21" i="11" s="1"/>
  <c r="EK21" i="11" s="1"/>
  <c r="ES21" i="11" s="1"/>
  <c r="EY21" i="11" s="1"/>
  <c r="FE21" i="11" s="1"/>
  <c r="FK21" i="11" s="1"/>
  <c r="AQ76" i="11"/>
  <c r="AQ27" i="11"/>
  <c r="AC35" i="11"/>
  <c r="AK35" i="11" s="1"/>
  <c r="AQ35" i="11" s="1"/>
  <c r="AC42" i="11"/>
  <c r="AK42" i="11" s="1"/>
  <c r="AC47" i="11"/>
  <c r="AK47" i="11" s="1"/>
  <c r="AQ47" i="11" s="1"/>
  <c r="AC62" i="11"/>
  <c r="AK62" i="11" s="1"/>
  <c r="AQ62" i="11" s="1"/>
  <c r="AC67" i="11"/>
  <c r="AK67" i="11" s="1"/>
  <c r="AQ67" i="11" s="1"/>
  <c r="AC74" i="11"/>
  <c r="AK74" i="11" s="1"/>
  <c r="AQ74" i="11" s="1"/>
  <c r="AC81" i="11"/>
  <c r="AK81" i="11" s="1"/>
  <c r="AQ81" i="11" s="1"/>
  <c r="AC94" i="11"/>
  <c r="AK94" i="11" s="1"/>
  <c r="AQ94" i="11" s="1"/>
  <c r="AC22" i="11"/>
  <c r="AK22" i="11" s="1"/>
  <c r="AQ22" i="11" s="1"/>
  <c r="AC55" i="11"/>
  <c r="AK55" i="11" s="1"/>
  <c r="AC75" i="11"/>
  <c r="AK75" i="11" s="1"/>
  <c r="AC28" i="11"/>
  <c r="AK28" i="11" s="1"/>
  <c r="AQ28" i="11" s="1"/>
  <c r="AC48" i="11"/>
  <c r="AK48" i="11" s="1"/>
  <c r="AQ48" i="11" s="1"/>
  <c r="AW48" i="11" s="1"/>
  <c r="BE48" i="11" s="1"/>
  <c r="BK48" i="11" s="1"/>
  <c r="AC68" i="11"/>
  <c r="AK68" i="11" s="1"/>
  <c r="AQ68" i="11" s="1"/>
  <c r="AC95" i="11"/>
  <c r="AK95" i="11" s="1"/>
  <c r="AQ95" i="11" s="1"/>
  <c r="AC23" i="11"/>
  <c r="AK23" i="11" s="1"/>
  <c r="AQ23" i="11" s="1"/>
  <c r="AC43" i="11"/>
  <c r="AK43" i="11" s="1"/>
  <c r="AQ43" i="11" s="1"/>
  <c r="BK43" i="11" s="1"/>
  <c r="AC63" i="11"/>
  <c r="AK63" i="11" s="1"/>
  <c r="AQ63" i="11" s="1"/>
  <c r="AC88" i="11"/>
  <c r="AK88" i="11" s="1"/>
  <c r="AQ88" i="11" s="1"/>
  <c r="AA6" i="11"/>
  <c r="AC36" i="11"/>
  <c r="AK36" i="11" s="1"/>
  <c r="AQ36" i="11" s="1"/>
  <c r="AC56" i="11"/>
  <c r="AK56" i="11" s="1"/>
  <c r="AQ56" i="11" s="1"/>
  <c r="AC83" i="11"/>
  <c r="AK83" i="11" s="1"/>
  <c r="AQ83" i="11" s="1"/>
  <c r="AA7" i="11"/>
  <c r="AC31" i="11"/>
  <c r="AK31" i="11" s="1"/>
  <c r="AQ31" i="11" s="1"/>
  <c r="AC51" i="11"/>
  <c r="AK51" i="11" s="1"/>
  <c r="AQ51" i="11" s="1"/>
  <c r="AC71" i="11"/>
  <c r="AK71" i="11" s="1"/>
  <c r="AQ71" i="11" s="1"/>
  <c r="AC96" i="11"/>
  <c r="AK96" i="11" s="1"/>
  <c r="AQ96" i="11" s="1"/>
  <c r="AA8" i="11"/>
  <c r="AC24" i="11"/>
  <c r="AK24" i="11" s="1"/>
  <c r="AQ24" i="11" s="1"/>
  <c r="AC44" i="11"/>
  <c r="AK44" i="11" s="1"/>
  <c r="AQ44" i="11" s="1"/>
  <c r="AW44" i="11" s="1"/>
  <c r="BE44" i="11" s="1"/>
  <c r="AC64" i="11"/>
  <c r="AK64" i="11" s="1"/>
  <c r="AQ64" i="11" s="1"/>
  <c r="AC91" i="11"/>
  <c r="AK91" i="11" s="1"/>
  <c r="AQ91" i="11" s="1"/>
  <c r="AA9" i="11"/>
  <c r="AC37" i="11"/>
  <c r="AK37" i="11" s="1"/>
  <c r="AQ37" i="11" s="1"/>
  <c r="AC57" i="11"/>
  <c r="AK57" i="11" s="1"/>
  <c r="AQ57" i="11" s="1"/>
  <c r="AC77" i="11"/>
  <c r="AK77" i="11" s="1"/>
  <c r="AQ77" i="11" s="1"/>
  <c r="AA10" i="11"/>
  <c r="AC32" i="11"/>
  <c r="AC52" i="11"/>
  <c r="AK52" i="11" s="1"/>
  <c r="AQ52" i="11" s="1"/>
  <c r="AC72" i="11"/>
  <c r="AK72" i="11" s="1"/>
  <c r="AQ72" i="11" s="1"/>
  <c r="AA11" i="11"/>
  <c r="AC25" i="11"/>
  <c r="AK25" i="11" s="1"/>
  <c r="AQ25" i="11" s="1"/>
  <c r="AC45" i="11"/>
  <c r="AK45" i="11" s="1"/>
  <c r="AQ45" i="11" s="1"/>
  <c r="AC65" i="11"/>
  <c r="AK65" i="11" s="1"/>
  <c r="AC92" i="11"/>
  <c r="AK92" i="11" s="1"/>
  <c r="AQ92" i="11" s="1"/>
  <c r="AW92" i="11" s="1"/>
  <c r="BE92" i="11" s="1"/>
  <c r="AA12" i="11"/>
  <c r="AC38" i="11"/>
  <c r="AK38" i="11" s="1"/>
  <c r="AQ38" i="11" s="1"/>
  <c r="AC58" i="11"/>
  <c r="AK58" i="11" s="1"/>
  <c r="AQ58" i="11" s="1"/>
  <c r="AC78" i="11"/>
  <c r="AK78" i="11" s="1"/>
  <c r="AQ78" i="11" s="1"/>
  <c r="AC33" i="11"/>
  <c r="AK33" i="11" s="1"/>
  <c r="AQ33" i="11" s="1"/>
  <c r="AC53" i="11"/>
  <c r="AK53" i="11" s="1"/>
  <c r="AQ53" i="11" s="1"/>
  <c r="AC73" i="11"/>
  <c r="AK73" i="11" s="1"/>
  <c r="AQ73" i="11" s="1"/>
  <c r="AC26" i="11"/>
  <c r="AK26" i="11" s="1"/>
  <c r="AQ26" i="11" s="1"/>
  <c r="AC46" i="11"/>
  <c r="AK46" i="11" s="1"/>
  <c r="AQ46" i="11" s="1"/>
  <c r="AW46" i="11" s="1"/>
  <c r="BE46" i="11" s="1"/>
  <c r="AC66" i="11"/>
  <c r="AK66" i="11" s="1"/>
  <c r="AQ66" i="11" s="1"/>
  <c r="AC93" i="11"/>
  <c r="AK93" i="11" s="1"/>
  <c r="AQ93" i="11" s="1"/>
  <c r="AC41" i="11"/>
  <c r="AK41" i="11" s="1"/>
  <c r="AQ41" i="11" s="1"/>
  <c r="AC61" i="11"/>
  <c r="AK61" i="11" s="1"/>
  <c r="AQ61" i="11" s="1"/>
  <c r="BK65" i="11"/>
  <c r="BQ65" i="11" s="1"/>
  <c r="BY65" i="11" s="1"/>
  <c r="CE65" i="11" s="1"/>
  <c r="CK65" i="11" s="1"/>
  <c r="CQ65" i="11" s="1"/>
  <c r="CY65" i="11" s="1"/>
  <c r="DE65" i="11" s="1"/>
  <c r="DK65" i="11" s="1"/>
  <c r="DY65" i="11" s="1"/>
  <c r="EE65" i="11" s="1"/>
  <c r="EK65" i="11" s="1"/>
  <c r="ES65" i="11" s="1"/>
  <c r="EY65" i="11" s="1"/>
  <c r="FE65" i="11" s="1"/>
  <c r="FK65" i="11" s="1"/>
  <c r="BK87" i="11"/>
  <c r="BQ87" i="11" s="1"/>
  <c r="BY87" i="11" s="1"/>
  <c r="BK54" i="11"/>
  <c r="Q82" i="11"/>
  <c r="W82" i="11" s="1"/>
  <c r="BK98" i="11"/>
  <c r="BQ98" i="11" s="1"/>
  <c r="BY98" i="11" s="1"/>
  <c r="CE98" i="11" s="1"/>
  <c r="CK98" i="11" s="1"/>
  <c r="CQ98" i="11" s="1"/>
  <c r="CY98" i="11" s="1"/>
  <c r="DE98" i="11" s="1"/>
  <c r="DK98" i="11" s="1"/>
  <c r="BK76" i="11"/>
  <c r="BK32" i="11"/>
  <c r="FO17" i="11"/>
  <c r="EO17" i="11"/>
  <c r="Q97" i="11"/>
  <c r="W97" i="11" s="1"/>
  <c r="M18" i="11"/>
  <c r="M17" i="11"/>
  <c r="G11" i="11"/>
  <c r="CU17" i="11"/>
  <c r="G6" i="11"/>
  <c r="I83" i="11"/>
  <c r="Q86" i="11"/>
  <c r="W86" i="11" s="1"/>
  <c r="G7" i="11"/>
  <c r="Q85" i="11"/>
  <c r="W85" i="11" s="1"/>
  <c r="G8" i="11"/>
  <c r="Q84" i="11"/>
  <c r="W84" i="11" s="1"/>
  <c r="G9" i="11"/>
  <c r="G10" i="11"/>
  <c r="G12" i="11"/>
  <c r="G13" i="11"/>
  <c r="BA17" i="11"/>
  <c r="AG17" i="11"/>
  <c r="AG18" i="11"/>
  <c r="CY63" i="9"/>
  <c r="CY28" i="9"/>
  <c r="CY83" i="9"/>
  <c r="DG22" i="9"/>
  <c r="DM22" i="9" s="1"/>
  <c r="DS22" i="9" s="1"/>
  <c r="EA22" i="9" s="1"/>
  <c r="EG22" i="9" s="1"/>
  <c r="DU18" i="11"/>
  <c r="CU18" i="11"/>
  <c r="BU18" i="11"/>
  <c r="DG23" i="9"/>
  <c r="DM23" i="9" s="1"/>
  <c r="DS23" i="9" s="1"/>
  <c r="EA23" i="9" s="1"/>
  <c r="EG23" i="9" s="1"/>
  <c r="EM23" i="9" s="1"/>
  <c r="ES23" i="9" s="1"/>
  <c r="CY23" i="9"/>
  <c r="DG73" i="9"/>
  <c r="DM73" i="9" s="1"/>
  <c r="DS73" i="9" s="1"/>
  <c r="EA73" i="9" s="1"/>
  <c r="EG73" i="9" s="1"/>
  <c r="EM73" i="9" s="1"/>
  <c r="ES73" i="9" s="1"/>
  <c r="CY73" i="9"/>
  <c r="DG54" i="9"/>
  <c r="DM54" i="9" s="1"/>
  <c r="DS54" i="9" s="1"/>
  <c r="EA54" i="9" s="1"/>
  <c r="EG54" i="9" s="1"/>
  <c r="EM54" i="9" s="1"/>
  <c r="ES54" i="9" s="1"/>
  <c r="CY54" i="9"/>
  <c r="DG62" i="9"/>
  <c r="DM62" i="9" s="1"/>
  <c r="DS62" i="9" s="1"/>
  <c r="EA62" i="9" s="1"/>
  <c r="EG62" i="9" s="1"/>
  <c r="EM62" i="9" s="1"/>
  <c r="ES62" i="9" s="1"/>
  <c r="CY62" i="9"/>
  <c r="DG27" i="9"/>
  <c r="DM27" i="9" s="1"/>
  <c r="DS27" i="9" s="1"/>
  <c r="EA27" i="9" s="1"/>
  <c r="EG27" i="9" s="1"/>
  <c r="EM27" i="9" s="1"/>
  <c r="ES27" i="9" s="1"/>
  <c r="CY27" i="9"/>
  <c r="DG44" i="9"/>
  <c r="DM44" i="9" s="1"/>
  <c r="DS44" i="9" s="1"/>
  <c r="EA44" i="9" s="1"/>
  <c r="EG44" i="9" s="1"/>
  <c r="EM44" i="9" s="1"/>
  <c r="ES44" i="9" s="1"/>
  <c r="CY44" i="9"/>
  <c r="DG45" i="9"/>
  <c r="DM45" i="9" s="1"/>
  <c r="DS45" i="9" s="1"/>
  <c r="EA45" i="9" s="1"/>
  <c r="EG45" i="9" s="1"/>
  <c r="EM45" i="9" s="1"/>
  <c r="ES45" i="9" s="1"/>
  <c r="CY45" i="9"/>
  <c r="DG56" i="9"/>
  <c r="DM56" i="9" s="1"/>
  <c r="DS56" i="9" s="1"/>
  <c r="EA56" i="9" s="1"/>
  <c r="EG56" i="9" s="1"/>
  <c r="EM56" i="9" s="1"/>
  <c r="ES56" i="9" s="1"/>
  <c r="CY56" i="9"/>
  <c r="DG76" i="9"/>
  <c r="DM76" i="9" s="1"/>
  <c r="DS76" i="9" s="1"/>
  <c r="EA76" i="9" s="1"/>
  <c r="EG76" i="9" s="1"/>
  <c r="EM76" i="9" s="1"/>
  <c r="ES76" i="9" s="1"/>
  <c r="CY76" i="9"/>
  <c r="DG51" i="9"/>
  <c r="DM51" i="9" s="1"/>
  <c r="DS51" i="9" s="1"/>
  <c r="EA51" i="9" s="1"/>
  <c r="EG51" i="9" s="1"/>
  <c r="EM51" i="9" s="1"/>
  <c r="ES51" i="9" s="1"/>
  <c r="CY51" i="9"/>
  <c r="DG77" i="9"/>
  <c r="DM77" i="9" s="1"/>
  <c r="DS77" i="9" s="1"/>
  <c r="EA77" i="9" s="1"/>
  <c r="EG77" i="9" s="1"/>
  <c r="EM77" i="9" s="1"/>
  <c r="ES77" i="9" s="1"/>
  <c r="CY77" i="9"/>
  <c r="DG38" i="9"/>
  <c r="DM38" i="9" s="1"/>
  <c r="DS38" i="9" s="1"/>
  <c r="EA38" i="9" s="1"/>
  <c r="EG38" i="9" s="1"/>
  <c r="EM38" i="9" s="1"/>
  <c r="ES38" i="9" s="1"/>
  <c r="CY38" i="9"/>
  <c r="DG57" i="9"/>
  <c r="CY57" i="9"/>
  <c r="DG64" i="9"/>
  <c r="DM64" i="9" s="1"/>
  <c r="DS64" i="9" s="1"/>
  <c r="EA64" i="9" s="1"/>
  <c r="EG64" i="9" s="1"/>
  <c r="EM64" i="9" s="1"/>
  <c r="ES64" i="9" s="1"/>
  <c r="CY64" i="9"/>
  <c r="DG34" i="9"/>
  <c r="DM34" i="9" s="1"/>
  <c r="DS34" i="9" s="1"/>
  <c r="EA34" i="9" s="1"/>
  <c r="EG34" i="9" s="1"/>
  <c r="EM34" i="9" s="1"/>
  <c r="ES34" i="9" s="1"/>
  <c r="CY34" i="9"/>
  <c r="DG84" i="9"/>
  <c r="DM84" i="9" s="1"/>
  <c r="DS84" i="9" s="1"/>
  <c r="EA84" i="9" s="1"/>
  <c r="EG84" i="9" s="1"/>
  <c r="EM84" i="9" s="1"/>
  <c r="ES84" i="9" s="1"/>
  <c r="CY84" i="9"/>
  <c r="DG47" i="9"/>
  <c r="DM47" i="9" s="1"/>
  <c r="DS47" i="9" s="1"/>
  <c r="EA47" i="9" s="1"/>
  <c r="EG47" i="9" s="1"/>
  <c r="EM47" i="9" s="1"/>
  <c r="ES47" i="9" s="1"/>
  <c r="CY47" i="9"/>
  <c r="DG66" i="9"/>
  <c r="DM66" i="9" s="1"/>
  <c r="DS66" i="9" s="1"/>
  <c r="EA66" i="9" s="1"/>
  <c r="EG66" i="9" s="1"/>
  <c r="EM66" i="9" s="1"/>
  <c r="ES66" i="9" s="1"/>
  <c r="CY66" i="9"/>
  <c r="DG33" i="9"/>
  <c r="DM33" i="9" s="1"/>
  <c r="CY33" i="9"/>
  <c r="DG42" i="9"/>
  <c r="DM42" i="9" s="1"/>
  <c r="CY42" i="9"/>
  <c r="DG55" i="9"/>
  <c r="DM55" i="9" s="1"/>
  <c r="DS55" i="9" s="1"/>
  <c r="EA55" i="9" s="1"/>
  <c r="EG55" i="9" s="1"/>
  <c r="EM55" i="9" s="1"/>
  <c r="ES55" i="9" s="1"/>
  <c r="CY55" i="9"/>
  <c r="DG71" i="9"/>
  <c r="DM71" i="9" s="1"/>
  <c r="DS71" i="9" s="1"/>
  <c r="EA71" i="9" s="1"/>
  <c r="EG71" i="9" s="1"/>
  <c r="EM71" i="9" s="1"/>
  <c r="ES71" i="9" s="1"/>
  <c r="CY71" i="9"/>
  <c r="DG82" i="9"/>
  <c r="CY82" i="9"/>
  <c r="DG31" i="9"/>
  <c r="CY31" i="9"/>
  <c r="DG52" i="9"/>
  <c r="DM52" i="9" s="1"/>
  <c r="DS52" i="9" s="1"/>
  <c r="EA52" i="9" s="1"/>
  <c r="EG52" i="9" s="1"/>
  <c r="EM52" i="9" s="1"/>
  <c r="CY52" i="9"/>
  <c r="DG72" i="9"/>
  <c r="DM72" i="9" s="1"/>
  <c r="CY72" i="9"/>
  <c r="DG94" i="9"/>
  <c r="DM94" i="9" s="1"/>
  <c r="DS94" i="9" s="1"/>
  <c r="CY94" i="9"/>
  <c r="DG26" i="9"/>
  <c r="DM26" i="9" s="1"/>
  <c r="CY26" i="9"/>
  <c r="DG43" i="9"/>
  <c r="DM43" i="9" s="1"/>
  <c r="DS43" i="9" s="1"/>
  <c r="EA43" i="9" s="1"/>
  <c r="EG43" i="9" s="1"/>
  <c r="EM43" i="9" s="1"/>
  <c r="ES43" i="9" s="1"/>
  <c r="CY43" i="9"/>
  <c r="DG91" i="9"/>
  <c r="DM91" i="9" s="1"/>
  <c r="DS91" i="9" s="1"/>
  <c r="EA91" i="9" s="1"/>
  <c r="EG91" i="9" s="1"/>
  <c r="EM91" i="9" s="1"/>
  <c r="ES91" i="9" s="1"/>
  <c r="CY91" i="9"/>
  <c r="DG67" i="9"/>
  <c r="DM67" i="9" s="1"/>
  <c r="DS67" i="9" s="1"/>
  <c r="EA67" i="9" s="1"/>
  <c r="CY67" i="9"/>
  <c r="DG24" i="9"/>
  <c r="CY24" i="9"/>
  <c r="DG32" i="9"/>
  <c r="DM32" i="9" s="1"/>
  <c r="DS32" i="9" s="1"/>
  <c r="EA32" i="9" s="1"/>
  <c r="EG32" i="9" s="1"/>
  <c r="EM32" i="9" s="1"/>
  <c r="ES32" i="9" s="1"/>
  <c r="CY32" i="9"/>
  <c r="DG53" i="9"/>
  <c r="DM53" i="9" s="1"/>
  <c r="DS53" i="9" s="1"/>
  <c r="EA53" i="9" s="1"/>
  <c r="EG53" i="9" s="1"/>
  <c r="EM53" i="9" s="1"/>
  <c r="ES53" i="9" s="1"/>
  <c r="CY53" i="9"/>
  <c r="DG58" i="9"/>
  <c r="DM58" i="9" s="1"/>
  <c r="DS58" i="9" s="1"/>
  <c r="EA58" i="9" s="1"/>
  <c r="EG58" i="9" s="1"/>
  <c r="EM58" i="9" s="1"/>
  <c r="ES58" i="9" s="1"/>
  <c r="CY58" i="9"/>
  <c r="DG21" i="9"/>
  <c r="DM21" i="9" s="1"/>
  <c r="DS21" i="9" s="1"/>
  <c r="EA21" i="9" s="1"/>
  <c r="EG21" i="9" s="1"/>
  <c r="EM21" i="9" s="1"/>
  <c r="ES21" i="9" s="1"/>
  <c r="DG96" i="9"/>
  <c r="DM96" i="9" s="1"/>
  <c r="DS96" i="9" s="1"/>
  <c r="EA96" i="9" s="1"/>
  <c r="EG96" i="9" s="1"/>
  <c r="EM96" i="9" s="1"/>
  <c r="ES96" i="9" s="1"/>
  <c r="CY96" i="9"/>
  <c r="DG41" i="9"/>
  <c r="DM41" i="9" s="1"/>
  <c r="DS41" i="9" s="1"/>
  <c r="EA41" i="9" s="1"/>
  <c r="EG41" i="9" s="1"/>
  <c r="DG74" i="9"/>
  <c r="DM74" i="9" s="1"/>
  <c r="DS74" i="9" s="1"/>
  <c r="EA74" i="9" s="1"/>
  <c r="EG74" i="9" s="1"/>
  <c r="EM74" i="9" s="1"/>
  <c r="ES74" i="9" s="1"/>
  <c r="CY74" i="9"/>
  <c r="CY68" i="9"/>
  <c r="DG85" i="9"/>
  <c r="DM85" i="9" s="1"/>
  <c r="DS85" i="9" s="1"/>
  <c r="EA85" i="9" s="1"/>
  <c r="EG85" i="9" s="1"/>
  <c r="EM85" i="9" s="1"/>
  <c r="ES85" i="9" s="1"/>
  <c r="CY85" i="9"/>
  <c r="DG81" i="9"/>
  <c r="DM81" i="9" s="1"/>
  <c r="DS81" i="9" s="1"/>
  <c r="EA81" i="9" s="1"/>
  <c r="DG86" i="9"/>
  <c r="DM86" i="9" s="1"/>
  <c r="DS86" i="9" s="1"/>
  <c r="EA86" i="9" s="1"/>
  <c r="EG86" i="9" s="1"/>
  <c r="EM86" i="9" s="1"/>
  <c r="ES86" i="9" s="1"/>
  <c r="CY86" i="9"/>
  <c r="DG25" i="9"/>
  <c r="DM25" i="9" s="1"/>
  <c r="DS25" i="9" s="1"/>
  <c r="EA25" i="9" s="1"/>
  <c r="EG25" i="9" s="1"/>
  <c r="EM25" i="9" s="1"/>
  <c r="ES25" i="9" s="1"/>
  <c r="CY25" i="9"/>
  <c r="DG36" i="9"/>
  <c r="DM36" i="9" s="1"/>
  <c r="DS36" i="9" s="1"/>
  <c r="EA36" i="9" s="1"/>
  <c r="EG36" i="9" s="1"/>
  <c r="EM36" i="9" s="1"/>
  <c r="ES36" i="9" s="1"/>
  <c r="CY36" i="9"/>
  <c r="DG65" i="9"/>
  <c r="DM65" i="9" s="1"/>
  <c r="DS65" i="9" s="1"/>
  <c r="EA65" i="9" s="1"/>
  <c r="EG65" i="9" s="1"/>
  <c r="EM65" i="9" s="1"/>
  <c r="ES65" i="9" s="1"/>
  <c r="CY65" i="9"/>
  <c r="DG87" i="9"/>
  <c r="DM87" i="9" s="1"/>
  <c r="DS87" i="9" s="1"/>
  <c r="EA87" i="9" s="1"/>
  <c r="EG87" i="9" s="1"/>
  <c r="EM87" i="9" s="1"/>
  <c r="ES87" i="9" s="1"/>
  <c r="CY87" i="9"/>
  <c r="DG61" i="9"/>
  <c r="DM61" i="9" s="1"/>
  <c r="DS61" i="9" s="1"/>
  <c r="EA61" i="9" s="1"/>
  <c r="EG61" i="9" s="1"/>
  <c r="EM61" i="9" s="1"/>
  <c r="ES61" i="9" s="1"/>
  <c r="DG75" i="9"/>
  <c r="DM75" i="9" s="1"/>
  <c r="DS75" i="9" s="1"/>
  <c r="EA75" i="9" s="1"/>
  <c r="EG75" i="9" s="1"/>
  <c r="EM75" i="9" s="1"/>
  <c r="ES75" i="9" s="1"/>
  <c r="CY75" i="9"/>
  <c r="DG93" i="9"/>
  <c r="DM93" i="9" s="1"/>
  <c r="DS93" i="9" s="1"/>
  <c r="EA93" i="9" s="1"/>
  <c r="EG93" i="9" s="1"/>
  <c r="EM93" i="9" s="1"/>
  <c r="ES93" i="9" s="1"/>
  <c r="CY93" i="9"/>
  <c r="DG98" i="9"/>
  <c r="DM98" i="9" s="1"/>
  <c r="DS98" i="9" s="1"/>
  <c r="EA98" i="9" s="1"/>
  <c r="EG98" i="9" s="1"/>
  <c r="EM98" i="9" s="1"/>
  <c r="ES98" i="9" s="1"/>
  <c r="CY98" i="9"/>
  <c r="CY97" i="9"/>
  <c r="CY46" i="9"/>
  <c r="CY35" i="9"/>
  <c r="CY95" i="9"/>
  <c r="CY78" i="9"/>
  <c r="U7" i="11"/>
  <c r="B29" i="11" s="1"/>
  <c r="U13" i="11"/>
  <c r="B89" i="11" s="1"/>
  <c r="AX98" i="11" s="1"/>
  <c r="AY98" i="11" s="1"/>
  <c r="U12" i="11"/>
  <c r="B79" i="11" s="1"/>
  <c r="B39" i="11"/>
  <c r="U6" i="11"/>
  <c r="B19" i="11" s="1"/>
  <c r="U11" i="11"/>
  <c r="H8" i="11"/>
  <c r="J3" i="11"/>
  <c r="U10" i="11"/>
  <c r="B59" i="11" s="1"/>
  <c r="F3" i="11"/>
  <c r="H3" i="11" s="1"/>
  <c r="R14" i="11" s="1"/>
  <c r="U9" i="11"/>
  <c r="B49" i="11" s="1"/>
  <c r="AX54" i="11" s="1"/>
  <c r="AY54" i="11" s="1"/>
  <c r="H13" i="11"/>
  <c r="H9" i="11"/>
  <c r="EO18" i="11"/>
  <c r="H10" i="11"/>
  <c r="BU17" i="11"/>
  <c r="H11" i="11"/>
  <c r="DU17" i="11"/>
  <c r="H6" i="11"/>
  <c r="FO18" i="11"/>
  <c r="H12" i="11"/>
  <c r="H7" i="11"/>
  <c r="U17" i="9"/>
  <c r="AO17" i="9"/>
  <c r="DW18" i="9"/>
  <c r="CC18" i="9"/>
  <c r="CC17" i="9"/>
  <c r="EW18" i="9"/>
  <c r="EW17" i="9"/>
  <c r="BC17" i="9"/>
  <c r="DW17" i="9"/>
  <c r="DC17" i="9"/>
  <c r="DC18" i="9"/>
  <c r="L14" i="9"/>
  <c r="V18" i="10"/>
  <c r="BI18" i="10"/>
  <c r="Q26" i="10"/>
  <c r="Q37" i="10"/>
  <c r="AK48" i="10"/>
  <c r="AS25" i="10"/>
  <c r="Q27" i="10"/>
  <c r="L27" i="10"/>
  <c r="Q52" i="10"/>
  <c r="L52" i="10"/>
  <c r="Q36" i="10"/>
  <c r="L36" i="10"/>
  <c r="M36" i="10" s="1"/>
  <c r="Y41" i="10"/>
  <c r="Z41" i="10" s="1"/>
  <c r="AA41" i="10" s="1"/>
  <c r="AS41" i="10"/>
  <c r="Q42" i="10"/>
  <c r="Y31" i="10"/>
  <c r="AE21" i="10"/>
  <c r="Q32" i="10"/>
  <c r="Q43" i="10"/>
  <c r="Y78" i="10"/>
  <c r="R78" i="10"/>
  <c r="AY28" i="10"/>
  <c r="Q33" i="10"/>
  <c r="Q56" i="10"/>
  <c r="AY32" i="10"/>
  <c r="Z33" i="10"/>
  <c r="AA33" i="10" s="1"/>
  <c r="AK26" i="10"/>
  <c r="AF26" i="10"/>
  <c r="AY37" i="10"/>
  <c r="Q28" i="10"/>
  <c r="Q22" i="10"/>
  <c r="Q44" i="10"/>
  <c r="AS33" i="10"/>
  <c r="AE45" i="10"/>
  <c r="BM22" i="10"/>
  <c r="BF22" i="10"/>
  <c r="Q34" i="10"/>
  <c r="L34" i="10"/>
  <c r="M34" i="10" s="1"/>
  <c r="D46" i="10"/>
  <c r="E46" i="10" s="1"/>
  <c r="Y51" i="10"/>
  <c r="R51" i="10"/>
  <c r="S51" i="10" s="1"/>
  <c r="D53" i="10"/>
  <c r="E53" i="10" s="1"/>
  <c r="O8" i="10"/>
  <c r="B39" i="10" s="1"/>
  <c r="O13" i="10"/>
  <c r="O7" i="10"/>
  <c r="B29" i="10" s="1"/>
  <c r="O12" i="10"/>
  <c r="B79" i="10" s="1"/>
  <c r="O6" i="10"/>
  <c r="B19" i="10" s="1"/>
  <c r="L43" i="10" s="1"/>
  <c r="M43" i="10" s="1"/>
  <c r="O11" i="10"/>
  <c r="B69" i="10" s="1"/>
  <c r="G3" i="10"/>
  <c r="L14" i="10" s="1"/>
  <c r="O10" i="10"/>
  <c r="B59" i="10" s="1"/>
  <c r="O9" i="10"/>
  <c r="B49" i="10" s="1"/>
  <c r="L23" i="10"/>
  <c r="Y46" i="10"/>
  <c r="R46" i="10"/>
  <c r="Y61" i="10"/>
  <c r="Q48" i="10"/>
  <c r="Q38" i="10"/>
  <c r="Y55" i="10"/>
  <c r="R55" i="10"/>
  <c r="S55" i="10" s="1"/>
  <c r="AE23" i="10"/>
  <c r="Y24" i="10"/>
  <c r="L25" i="10"/>
  <c r="M25" i="10" s="1"/>
  <c r="Q25" i="10"/>
  <c r="Y35" i="10"/>
  <c r="Q47" i="10"/>
  <c r="Q62" i="10"/>
  <c r="Y94" i="10"/>
  <c r="R94" i="10"/>
  <c r="G9" i="10"/>
  <c r="D22" i="10"/>
  <c r="E22" i="10" s="1"/>
  <c r="D26" i="10"/>
  <c r="E26" i="10" s="1"/>
  <c r="L31" i="10"/>
  <c r="M31" i="10" s="1"/>
  <c r="AS63" i="10"/>
  <c r="G18" i="10"/>
  <c r="R21" i="10"/>
  <c r="L51" i="10"/>
  <c r="Q74" i="10"/>
  <c r="Y85" i="10"/>
  <c r="K95" i="10"/>
  <c r="L78" i="10"/>
  <c r="M78" i="10" s="1"/>
  <c r="G10" i="10"/>
  <c r="S21" i="10"/>
  <c r="Z48" i="10"/>
  <c r="AA48" i="10" s="1"/>
  <c r="M51" i="10"/>
  <c r="D52" i="10"/>
  <c r="E52" i="10" s="1"/>
  <c r="Y54" i="10"/>
  <c r="D62" i="10"/>
  <c r="E62" i="10" s="1"/>
  <c r="AY95" i="10"/>
  <c r="D23" i="10"/>
  <c r="D27" i="10"/>
  <c r="R45" i="10"/>
  <c r="S45" i="10" s="1"/>
  <c r="AK68" i="10"/>
  <c r="AF68" i="10"/>
  <c r="AG68" i="10" s="1"/>
  <c r="Y81" i="10"/>
  <c r="AL95" i="10"/>
  <c r="AM95" i="10" s="1"/>
  <c r="M96" i="10"/>
  <c r="M86" i="10"/>
  <c r="U18" i="10"/>
  <c r="AZ22" i="10"/>
  <c r="BA22" i="10" s="1"/>
  <c r="E23" i="10"/>
  <c r="E27" i="10"/>
  <c r="D33" i="10"/>
  <c r="E33" i="10" s="1"/>
  <c r="L55" i="10"/>
  <c r="M55" i="10" s="1"/>
  <c r="Q66" i="10"/>
  <c r="Q86" i="10"/>
  <c r="L86" i="10"/>
  <c r="S91" i="10"/>
  <c r="G11" i="10"/>
  <c r="Q57" i="10"/>
  <c r="L57" i="10"/>
  <c r="M57" i="10" s="1"/>
  <c r="Q58" i="10"/>
  <c r="L58" i="10"/>
  <c r="M58" i="10" s="1"/>
  <c r="Q64" i="10"/>
  <c r="L64" i="10"/>
  <c r="D66" i="10"/>
  <c r="E66" i="10" s="1"/>
  <c r="Y75" i="10"/>
  <c r="R75" i="10"/>
  <c r="S75" i="10" s="1"/>
  <c r="Y91" i="10"/>
  <c r="R91" i="10"/>
  <c r="Q96" i="10"/>
  <c r="L96" i="10"/>
  <c r="G6" i="10"/>
  <c r="AL28" i="10"/>
  <c r="AM28" i="10" s="1"/>
  <c r="M52" i="10"/>
  <c r="D57" i="10"/>
  <c r="E57" i="10" s="1"/>
  <c r="Q82" i="10"/>
  <c r="L82" i="10"/>
  <c r="M82" i="10" s="1"/>
  <c r="M97" i="10"/>
  <c r="M87" i="10"/>
  <c r="M23" i="10"/>
  <c r="M27" i="10"/>
  <c r="Q53" i="10"/>
  <c r="L53" i="10"/>
  <c r="M53" i="10" s="1"/>
  <c r="Y71" i="10"/>
  <c r="R71" i="10"/>
  <c r="S71" i="10" s="1"/>
  <c r="Q87" i="10"/>
  <c r="L87" i="10"/>
  <c r="E92" i="10"/>
  <c r="G12" i="10"/>
  <c r="BG22" i="10"/>
  <c r="Z26" i="10"/>
  <c r="AA26" i="10" s="1"/>
  <c r="D34" i="10"/>
  <c r="E34" i="10" s="1"/>
  <c r="D38" i="10"/>
  <c r="S46" i="10"/>
  <c r="Q76" i="10"/>
  <c r="L76" i="10"/>
  <c r="M76" i="10" s="1"/>
  <c r="Q92" i="10"/>
  <c r="L92" i="10"/>
  <c r="M92" i="10" s="1"/>
  <c r="Q97" i="10"/>
  <c r="L97" i="10"/>
  <c r="G7" i="10"/>
  <c r="AO18" i="10"/>
  <c r="R23" i="10"/>
  <c r="S23" i="10" s="1"/>
  <c r="E38" i="10"/>
  <c r="AF41" i="10"/>
  <c r="AG41" i="10" s="1"/>
  <c r="D44" i="10"/>
  <c r="E44" i="10" s="1"/>
  <c r="D48" i="10"/>
  <c r="E48" i="10" s="1"/>
  <c r="Q83" i="10"/>
  <c r="L83" i="10"/>
  <c r="M83" i="10" s="1"/>
  <c r="S78" i="10"/>
  <c r="L24" i="10"/>
  <c r="M24" i="10" s="1"/>
  <c r="Q72" i="10"/>
  <c r="L72" i="10"/>
  <c r="M72" i="10" s="1"/>
  <c r="L88" i="10"/>
  <c r="M88" i="10" s="1"/>
  <c r="Q88" i="10"/>
  <c r="M73" i="10"/>
  <c r="G13" i="10"/>
  <c r="Q67" i="10"/>
  <c r="L67" i="10"/>
  <c r="M67" i="10" s="1"/>
  <c r="Q77" i="10"/>
  <c r="L77" i="10"/>
  <c r="M77" i="10" s="1"/>
  <c r="Q93" i="10"/>
  <c r="L93" i="10"/>
  <c r="M93" i="10" s="1"/>
  <c r="Y98" i="10"/>
  <c r="R98" i="10"/>
  <c r="S98" i="10" s="1"/>
  <c r="M64" i="10"/>
  <c r="S94" i="10"/>
  <c r="G8" i="10"/>
  <c r="AG26" i="10"/>
  <c r="L84" i="10"/>
  <c r="Q84" i="10"/>
  <c r="AS88" i="10"/>
  <c r="AL88" i="10"/>
  <c r="AM88" i="10" s="1"/>
  <c r="L98" i="10"/>
  <c r="M98" i="10" s="1"/>
  <c r="Q63" i="10"/>
  <c r="L63" i="10"/>
  <c r="M63" i="10" s="1"/>
  <c r="Y65" i="10"/>
  <c r="R65" i="10"/>
  <c r="S65" i="10" s="1"/>
  <c r="Q73" i="10"/>
  <c r="L73" i="10"/>
  <c r="M84" i="10"/>
  <c r="Z68" i="10"/>
  <c r="AA68" i="10" s="1"/>
  <c r="D72" i="10"/>
  <c r="E72" i="10" s="1"/>
  <c r="D76" i="10"/>
  <c r="E76" i="10" s="1"/>
  <c r="D82" i="10"/>
  <c r="E82" i="10" s="1"/>
  <c r="D86" i="10"/>
  <c r="E86" i="10" s="1"/>
  <c r="D92" i="10"/>
  <c r="D96" i="10"/>
  <c r="E96" i="10" s="1"/>
  <c r="D63" i="10"/>
  <c r="E63" i="10" s="1"/>
  <c r="D67" i="10"/>
  <c r="E67" i="10" s="1"/>
  <c r="D83" i="10"/>
  <c r="E83" i="10" s="1"/>
  <c r="D87" i="10"/>
  <c r="E87" i="10" s="1"/>
  <c r="AF88" i="10"/>
  <c r="AG88" i="10" s="1"/>
  <c r="D93" i="10"/>
  <c r="E93" i="10" s="1"/>
  <c r="D97" i="10"/>
  <c r="E97" i="10" s="1"/>
  <c r="D64" i="10"/>
  <c r="E64" i="10" s="1"/>
  <c r="L54" i="10"/>
  <c r="M54" i="10" s="1"/>
  <c r="D94" i="10"/>
  <c r="E94" i="10" s="1"/>
  <c r="AF95" i="10"/>
  <c r="AG95" i="10" s="1"/>
  <c r="D98" i="10"/>
  <c r="E98" i="10" s="1"/>
  <c r="O13" i="9"/>
  <c r="O11" i="9"/>
  <c r="B69" i="9" s="1"/>
  <c r="CH75" i="9" s="1"/>
  <c r="CI75" i="9" s="1"/>
  <c r="G9" i="9"/>
  <c r="O7" i="9"/>
  <c r="B29" i="9" s="1"/>
  <c r="BZ33" i="9" s="1"/>
  <c r="CA33" i="9" s="1"/>
  <c r="O8" i="9"/>
  <c r="B39" i="9" s="1"/>
  <c r="BZ41" i="9" s="1"/>
  <c r="CA41" i="9" s="1"/>
  <c r="B19" i="9"/>
  <c r="BZ24" i="9" s="1"/>
  <c r="CA24" i="9" s="1"/>
  <c r="O10" i="9"/>
  <c r="B59" i="9" s="1"/>
  <c r="CH67" i="9" s="1"/>
  <c r="CI67" i="9" s="1"/>
  <c r="O12" i="9"/>
  <c r="B79" i="9" s="1"/>
  <c r="BZ81" i="9" s="1"/>
  <c r="CA81" i="9" s="1"/>
  <c r="O9" i="9"/>
  <c r="B49" i="9" s="1"/>
  <c r="BZ55" i="9" s="1"/>
  <c r="CA55" i="9" s="1"/>
  <c r="U18" i="9"/>
  <c r="G17" i="9"/>
  <c r="G18" i="9"/>
  <c r="BC18" i="9"/>
  <c r="AO18" i="9"/>
  <c r="G10" i="9"/>
  <c r="G11" i="9"/>
  <c r="G6" i="9"/>
  <c r="G12" i="9"/>
  <c r="G7" i="9"/>
  <c r="G13" i="9"/>
  <c r="G8" i="9"/>
  <c r="CC18" i="8"/>
  <c r="U18" i="8"/>
  <c r="AO18" i="8"/>
  <c r="BI18" i="8"/>
  <c r="G18" i="8"/>
  <c r="Y78" i="8"/>
  <c r="R26" i="8"/>
  <c r="R31" i="8"/>
  <c r="Y31" i="8"/>
  <c r="Y37" i="8"/>
  <c r="AE37" i="8" s="1"/>
  <c r="Y81" i="8"/>
  <c r="Y67" i="8"/>
  <c r="Y92" i="8"/>
  <c r="AE92" i="8" s="1"/>
  <c r="AK92" i="8" s="1"/>
  <c r="R21" i="8"/>
  <c r="AY26" i="8"/>
  <c r="AE45" i="8"/>
  <c r="AE94" i="8"/>
  <c r="K94" i="8"/>
  <c r="K91" i="8"/>
  <c r="Q91" i="8" s="1"/>
  <c r="K83" i="8"/>
  <c r="K81" i="8"/>
  <c r="K72" i="8"/>
  <c r="K71" i="8"/>
  <c r="K61" i="8"/>
  <c r="Q61" i="8" s="1"/>
  <c r="Y61" i="8" s="1"/>
  <c r="K46" i="8"/>
  <c r="K41" i="8"/>
  <c r="Q41" i="8" s="1"/>
  <c r="K35" i="8"/>
  <c r="AE26" i="8"/>
  <c r="AK26" i="8" s="1"/>
  <c r="AE28" i="8"/>
  <c r="K28" i="8"/>
  <c r="Q28" i="8" s="1"/>
  <c r="R28" i="8" s="1"/>
  <c r="K57" i="8"/>
  <c r="K51" i="8"/>
  <c r="T18" i="8"/>
  <c r="N18" i="8"/>
  <c r="F18" i="8"/>
  <c r="C98" i="8"/>
  <c r="K98" i="8" s="1"/>
  <c r="Q98" i="8" s="1"/>
  <c r="C97" i="8"/>
  <c r="K97" i="8" s="1"/>
  <c r="Q97" i="8" s="1"/>
  <c r="C96" i="8"/>
  <c r="C95" i="8"/>
  <c r="C94" i="8"/>
  <c r="C93" i="8"/>
  <c r="K93" i="8" s="1"/>
  <c r="Q93" i="8" s="1"/>
  <c r="C92" i="8"/>
  <c r="K92" i="8" s="1"/>
  <c r="C88" i="8"/>
  <c r="K88" i="8" s="1"/>
  <c r="C87" i="8"/>
  <c r="K87" i="8" s="1"/>
  <c r="Q87" i="8" s="1"/>
  <c r="C86" i="8"/>
  <c r="K86" i="8" s="1"/>
  <c r="Q86" i="8" s="1"/>
  <c r="C85" i="8"/>
  <c r="K85" i="8" s="1"/>
  <c r="Q85" i="8" s="1"/>
  <c r="C84" i="8"/>
  <c r="K84" i="8" s="1"/>
  <c r="Q84" i="8" s="1"/>
  <c r="C83" i="8"/>
  <c r="C82" i="8"/>
  <c r="K82" i="8" s="1"/>
  <c r="Q82" i="8" s="1"/>
  <c r="C78" i="8"/>
  <c r="C77" i="8"/>
  <c r="C76" i="8"/>
  <c r="K76" i="8" s="1"/>
  <c r="Q76" i="8" s="1"/>
  <c r="C75" i="8"/>
  <c r="C74" i="8"/>
  <c r="K74" i="8" s="1"/>
  <c r="Q74" i="8" s="1"/>
  <c r="C73" i="8"/>
  <c r="C72" i="8"/>
  <c r="C68" i="8"/>
  <c r="K68" i="8" s="1"/>
  <c r="Q68" i="8" s="1"/>
  <c r="C67" i="8"/>
  <c r="C66" i="8"/>
  <c r="K66" i="8" s="1"/>
  <c r="Q66" i="8" s="1"/>
  <c r="C65" i="8"/>
  <c r="K65" i="8" s="1"/>
  <c r="Q65" i="8" s="1"/>
  <c r="C64" i="8"/>
  <c r="K64" i="8" s="1"/>
  <c r="Q64" i="8" s="1"/>
  <c r="C63" i="8"/>
  <c r="K63" i="8" s="1"/>
  <c r="Q63" i="8" s="1"/>
  <c r="C62" i="8"/>
  <c r="K62" i="8" s="1"/>
  <c r="Q62" i="8" s="1"/>
  <c r="C58" i="8"/>
  <c r="K58" i="8" s="1"/>
  <c r="C57" i="8"/>
  <c r="C56" i="8"/>
  <c r="K56" i="8" s="1"/>
  <c r="C55" i="8"/>
  <c r="K55" i="8" s="1"/>
  <c r="Q55" i="8" s="1"/>
  <c r="C54" i="8"/>
  <c r="K54" i="8" s="1"/>
  <c r="Q54" i="8" s="1"/>
  <c r="C53" i="8"/>
  <c r="K53" i="8" s="1"/>
  <c r="C52" i="8"/>
  <c r="K52" i="8" s="1"/>
  <c r="C48" i="8"/>
  <c r="K48" i="8" s="1"/>
  <c r="Q48" i="8" s="1"/>
  <c r="C47" i="8"/>
  <c r="C46" i="8"/>
  <c r="C45" i="8"/>
  <c r="C44" i="8"/>
  <c r="C43" i="8"/>
  <c r="K43" i="8" s="1"/>
  <c r="Q43" i="8" s="1"/>
  <c r="C42" i="8"/>
  <c r="K42" i="8" s="1"/>
  <c r="AD62" i="11" l="1"/>
  <c r="AE62" i="11" s="1"/>
  <c r="AX43" i="11"/>
  <c r="AY43" i="11" s="1"/>
  <c r="AX87" i="11"/>
  <c r="AY87" i="11" s="1"/>
  <c r="AX46" i="11"/>
  <c r="AY46" i="11" s="1"/>
  <c r="J22" i="11"/>
  <c r="D21" i="11"/>
  <c r="J21" i="11"/>
  <c r="AW25" i="11"/>
  <c r="AW66" i="11"/>
  <c r="AW52" i="11"/>
  <c r="AW94" i="11"/>
  <c r="AW71" i="11"/>
  <c r="BE71" i="11" s="1"/>
  <c r="BK71" i="11"/>
  <c r="AW83" i="11"/>
  <c r="AW81" i="11"/>
  <c r="AW51" i="11"/>
  <c r="AW22" i="11"/>
  <c r="AW67" i="11"/>
  <c r="AW53" i="11"/>
  <c r="AW57" i="11"/>
  <c r="AW62" i="11"/>
  <c r="AW34" i="11"/>
  <c r="AW63" i="11"/>
  <c r="AW72" i="11"/>
  <c r="AW36" i="11"/>
  <c r="AW37" i="11"/>
  <c r="AW38" i="11"/>
  <c r="AW56" i="11"/>
  <c r="AW95" i="11"/>
  <c r="AW31" i="11"/>
  <c r="AW77" i="11"/>
  <c r="BE77" i="11" s="1"/>
  <c r="BK77" i="11" s="1"/>
  <c r="BQ77" i="11" s="1"/>
  <c r="BY77" i="11" s="1"/>
  <c r="CE77" i="11" s="1"/>
  <c r="CK77" i="11" s="1"/>
  <c r="CQ77" i="11" s="1"/>
  <c r="CY77" i="11" s="1"/>
  <c r="DE77" i="11" s="1"/>
  <c r="DK77" i="11" s="1"/>
  <c r="AW47" i="11"/>
  <c r="AW35" i="11"/>
  <c r="AW24" i="11"/>
  <c r="AW61" i="11"/>
  <c r="AW91" i="11"/>
  <c r="AW93" i="11"/>
  <c r="AW73" i="11"/>
  <c r="BE73" i="11" s="1"/>
  <c r="BK73" i="11" s="1"/>
  <c r="BQ73" i="11" s="1"/>
  <c r="BY73" i="11" s="1"/>
  <c r="CE73" i="11" s="1"/>
  <c r="CK73" i="11" s="1"/>
  <c r="CQ73" i="11" s="1"/>
  <c r="CY73" i="11" s="1"/>
  <c r="DE73" i="11" s="1"/>
  <c r="DK73" i="11" s="1"/>
  <c r="DY73" i="11" s="1"/>
  <c r="EE73" i="11" s="1"/>
  <c r="EK73" i="11" s="1"/>
  <c r="ES73" i="11" s="1"/>
  <c r="EY73" i="11" s="1"/>
  <c r="FE73" i="11" s="1"/>
  <c r="FK73" i="11" s="1"/>
  <c r="AW88" i="11"/>
  <c r="AW58" i="11"/>
  <c r="AW45" i="11"/>
  <c r="AW28" i="11"/>
  <c r="AX44" i="11"/>
  <c r="AY44" i="11" s="1"/>
  <c r="AX92" i="11"/>
  <c r="AY92" i="11" s="1"/>
  <c r="AW27" i="11"/>
  <c r="AW64" i="11"/>
  <c r="AW42" i="11"/>
  <c r="AW75" i="11"/>
  <c r="BE75" i="11" s="1"/>
  <c r="BK75" i="11" s="1"/>
  <c r="BQ75" i="11" s="1"/>
  <c r="BY75" i="11" s="1"/>
  <c r="CE75" i="11" s="1"/>
  <c r="CK75" i="11" s="1"/>
  <c r="CQ75" i="11" s="1"/>
  <c r="CY75" i="11" s="1"/>
  <c r="DE75" i="11" s="1"/>
  <c r="DK75" i="11" s="1"/>
  <c r="AW41" i="11"/>
  <c r="AX48" i="11"/>
  <c r="AY48" i="11" s="1"/>
  <c r="BK92" i="11"/>
  <c r="BQ92" i="11" s="1"/>
  <c r="AW68" i="11"/>
  <c r="AW23" i="11"/>
  <c r="AW96" i="11"/>
  <c r="AW55" i="11"/>
  <c r="AX65" i="11"/>
  <c r="AY65" i="11" s="1"/>
  <c r="AW33" i="11"/>
  <c r="AW78" i="11"/>
  <c r="BE78" i="11" s="1"/>
  <c r="BK78" i="11" s="1"/>
  <c r="BQ78" i="11" s="1"/>
  <c r="BY78" i="11" s="1"/>
  <c r="CE78" i="11" s="1"/>
  <c r="CK78" i="11" s="1"/>
  <c r="CQ78" i="11" s="1"/>
  <c r="CY78" i="11" s="1"/>
  <c r="DE78" i="11" s="1"/>
  <c r="DK78" i="11" s="1"/>
  <c r="BK46" i="11"/>
  <c r="AX21" i="11"/>
  <c r="AY21" i="11" s="1"/>
  <c r="AD21" i="11"/>
  <c r="AW74" i="11"/>
  <c r="BE74" i="11" s="1"/>
  <c r="BK74" i="11" s="1"/>
  <c r="BQ74" i="11" s="1"/>
  <c r="BY74" i="11" s="1"/>
  <c r="CE74" i="11" s="1"/>
  <c r="CK74" i="11" s="1"/>
  <c r="CQ74" i="11" s="1"/>
  <c r="CY74" i="11" s="1"/>
  <c r="DE74" i="11" s="1"/>
  <c r="DK74" i="11" s="1"/>
  <c r="AW26" i="11"/>
  <c r="AD35" i="11"/>
  <c r="AE35" i="11" s="1"/>
  <c r="AX32" i="11"/>
  <c r="AY32" i="11" s="1"/>
  <c r="AD51" i="11"/>
  <c r="AE51" i="11" s="1"/>
  <c r="AD46" i="11"/>
  <c r="AE46" i="11" s="1"/>
  <c r="AD55" i="11"/>
  <c r="AE55" i="11" s="1"/>
  <c r="AD54" i="11"/>
  <c r="AE54" i="11" s="1"/>
  <c r="AD57" i="11"/>
  <c r="AE57" i="11" s="1"/>
  <c r="AD67" i="11"/>
  <c r="AE67" i="11" s="1"/>
  <c r="AD37" i="11"/>
  <c r="AE37" i="11" s="1"/>
  <c r="AD88" i="11"/>
  <c r="AE88" i="11" s="1"/>
  <c r="AD63" i="11"/>
  <c r="AE63" i="11" s="1"/>
  <c r="AE21" i="11"/>
  <c r="AD42" i="11"/>
  <c r="AE42" i="11" s="1"/>
  <c r="AD92" i="11"/>
  <c r="AE92" i="11" s="1"/>
  <c r="AD81" i="11"/>
  <c r="AE81" i="11" s="1"/>
  <c r="AD65" i="11"/>
  <c r="AE65" i="11" s="1"/>
  <c r="AD98" i="11"/>
  <c r="AE98" i="11" s="1"/>
  <c r="AD45" i="11"/>
  <c r="AE45" i="11" s="1"/>
  <c r="AC82" i="11"/>
  <c r="AD53" i="11"/>
  <c r="AE53" i="11" s="1"/>
  <c r="AD31" i="11"/>
  <c r="AE31" i="11" s="1"/>
  <c r="AD43" i="11"/>
  <c r="AE43" i="11" s="1"/>
  <c r="AC97" i="11"/>
  <c r="AD25" i="11"/>
  <c r="AE25" i="11" s="1"/>
  <c r="AD91" i="11"/>
  <c r="AE91" i="11" s="1"/>
  <c r="AD33" i="11"/>
  <c r="AE33" i="11" s="1"/>
  <c r="AD23" i="11"/>
  <c r="AE23" i="11" s="1"/>
  <c r="AD61" i="11"/>
  <c r="AE61" i="11" s="1"/>
  <c r="AD95" i="11"/>
  <c r="AE95" i="11" s="1"/>
  <c r="AD64" i="11"/>
  <c r="AE64" i="11" s="1"/>
  <c r="AD83" i="11"/>
  <c r="AE83" i="11" s="1"/>
  <c r="AD34" i="11"/>
  <c r="AE34" i="11" s="1"/>
  <c r="AD41" i="11"/>
  <c r="AE41" i="11" s="1"/>
  <c r="AD52" i="11"/>
  <c r="AE52" i="11" s="1"/>
  <c r="AD68" i="11"/>
  <c r="AE68" i="11" s="1"/>
  <c r="AD22" i="11"/>
  <c r="AE22" i="11" s="1"/>
  <c r="AD47" i="11"/>
  <c r="AE47" i="11" s="1"/>
  <c r="AD26" i="11"/>
  <c r="AE26" i="11" s="1"/>
  <c r="AC84" i="11"/>
  <c r="AD58" i="11"/>
  <c r="AE58" i="11" s="1"/>
  <c r="AD44" i="11"/>
  <c r="AE44" i="11" s="1"/>
  <c r="AD56" i="11"/>
  <c r="AE56" i="11" s="1"/>
  <c r="AD94" i="11"/>
  <c r="AE94" i="11" s="1"/>
  <c r="AD27" i="11"/>
  <c r="AE27" i="11" s="1"/>
  <c r="AD93" i="11"/>
  <c r="AE93" i="11" s="1"/>
  <c r="AD32" i="11"/>
  <c r="AE32" i="11" s="1"/>
  <c r="AD48" i="11"/>
  <c r="AE48" i="11" s="1"/>
  <c r="AC85" i="11"/>
  <c r="AD38" i="11"/>
  <c r="AE38" i="11" s="1"/>
  <c r="AD24" i="11"/>
  <c r="AE24" i="11" s="1"/>
  <c r="AD36" i="11"/>
  <c r="AE36" i="11" s="1"/>
  <c r="AD87" i="11"/>
  <c r="AE87" i="11" s="1"/>
  <c r="AD66" i="11"/>
  <c r="AE66" i="11" s="1"/>
  <c r="AD28" i="11"/>
  <c r="AE28" i="11" s="1"/>
  <c r="AC86" i="11"/>
  <c r="AD96" i="11"/>
  <c r="AE96" i="11" s="1"/>
  <c r="DY98" i="11"/>
  <c r="EE98" i="11" s="1"/>
  <c r="EK98" i="11" s="1"/>
  <c r="ES98" i="11" s="1"/>
  <c r="EY98" i="11" s="1"/>
  <c r="FE98" i="11" s="1"/>
  <c r="FK98" i="11" s="1"/>
  <c r="FL98" i="11" s="1"/>
  <c r="FM98" i="11" s="1"/>
  <c r="DQ98" i="11"/>
  <c r="DR98" i="11" s="1"/>
  <c r="DS98" i="11" s="1"/>
  <c r="BQ43" i="11"/>
  <c r="BY43" i="11" s="1"/>
  <c r="CE43" i="11" s="1"/>
  <c r="CK43" i="11" s="1"/>
  <c r="CQ43" i="11" s="1"/>
  <c r="CY43" i="11" s="1"/>
  <c r="DE43" i="11" s="1"/>
  <c r="DK43" i="11" s="1"/>
  <c r="J46" i="11"/>
  <c r="K46" i="11" s="1"/>
  <c r="D38" i="11"/>
  <c r="E38" i="11" s="1"/>
  <c r="J86" i="11"/>
  <c r="K86" i="11" s="1"/>
  <c r="CE87" i="11"/>
  <c r="CK87" i="11" s="1"/>
  <c r="CQ87" i="11" s="1"/>
  <c r="CY87" i="11" s="1"/>
  <c r="DE87" i="11" s="1"/>
  <c r="DK87" i="11" s="1"/>
  <c r="BQ54" i="11"/>
  <c r="BY54" i="11" s="1"/>
  <c r="CE54" i="11" s="1"/>
  <c r="CK54" i="11" s="1"/>
  <c r="CQ54" i="11" s="1"/>
  <c r="CY54" i="11" s="1"/>
  <c r="DE54" i="11" s="1"/>
  <c r="DK54" i="11" s="1"/>
  <c r="BZ65" i="11"/>
  <c r="CA65" i="11" s="1"/>
  <c r="X53" i="11"/>
  <c r="Y53" i="11" s="1"/>
  <c r="BR65" i="11"/>
  <c r="BS65" i="11" s="1"/>
  <c r="X52" i="11"/>
  <c r="Y52" i="11" s="1"/>
  <c r="DQ65" i="11"/>
  <c r="DQ21" i="11"/>
  <c r="DR21" i="11" s="1"/>
  <c r="DS21" i="11" s="1"/>
  <c r="J97" i="11"/>
  <c r="K97" i="11" s="1"/>
  <c r="BZ21" i="11"/>
  <c r="CA21" i="11" s="1"/>
  <c r="J38" i="11"/>
  <c r="K38" i="11" s="1"/>
  <c r="R54" i="11"/>
  <c r="S54" i="11" s="1"/>
  <c r="BF65" i="11"/>
  <c r="BG65" i="11" s="1"/>
  <c r="R57" i="11"/>
  <c r="S57" i="11" s="1"/>
  <c r="BR98" i="11"/>
  <c r="BS98" i="11" s="1"/>
  <c r="BZ87" i="11"/>
  <c r="CA87" i="11" s="1"/>
  <c r="BZ98" i="11"/>
  <c r="CA98" i="11" s="1"/>
  <c r="BQ48" i="11"/>
  <c r="BQ32" i="11"/>
  <c r="BF54" i="11"/>
  <c r="BR87" i="11"/>
  <c r="BS87" i="11" s="1"/>
  <c r="BQ76" i="11"/>
  <c r="BY76" i="11" s="1"/>
  <c r="CE76" i="11" s="1"/>
  <c r="CK76" i="11" s="1"/>
  <c r="CQ76" i="11" s="1"/>
  <c r="CY76" i="11" s="1"/>
  <c r="DE76" i="11" s="1"/>
  <c r="DK76" i="11" s="1"/>
  <c r="X45" i="11"/>
  <c r="Y45" i="11" s="1"/>
  <c r="D54" i="11"/>
  <c r="E54" i="11" s="1"/>
  <c r="BF43" i="11"/>
  <c r="AL57" i="11"/>
  <c r="AM57" i="11" s="1"/>
  <c r="BQ71" i="11"/>
  <c r="BY71" i="11" s="1"/>
  <c r="CE71" i="11" s="1"/>
  <c r="CK71" i="11" s="1"/>
  <c r="CQ71" i="11" s="1"/>
  <c r="CY71" i="11" s="1"/>
  <c r="DE71" i="11" s="1"/>
  <c r="DK71" i="11" s="1"/>
  <c r="BF87" i="11"/>
  <c r="R65" i="11"/>
  <c r="S65" i="11" s="1"/>
  <c r="R44" i="11"/>
  <c r="S44" i="11" s="1"/>
  <c r="R56" i="11"/>
  <c r="S56" i="11" s="1"/>
  <c r="X23" i="11"/>
  <c r="Y23" i="11" s="1"/>
  <c r="BF98" i="11"/>
  <c r="BG98" i="11" s="1"/>
  <c r="BF44" i="11"/>
  <c r="D57" i="11"/>
  <c r="E57" i="11" s="1"/>
  <c r="X21" i="11"/>
  <c r="Y21" i="11" s="1"/>
  <c r="BF32" i="11"/>
  <c r="BG32" i="11" s="1"/>
  <c r="BF92" i="11"/>
  <c r="BK44" i="11"/>
  <c r="BF48" i="11"/>
  <c r="D58" i="11"/>
  <c r="E58" i="11" s="1"/>
  <c r="R58" i="11"/>
  <c r="S58" i="11" s="1"/>
  <c r="J24" i="11"/>
  <c r="K24" i="11" s="1"/>
  <c r="BF21" i="11"/>
  <c r="BG21" i="11" s="1"/>
  <c r="BR21" i="11"/>
  <c r="BS21" i="11" s="1"/>
  <c r="D82" i="11"/>
  <c r="E82" i="11" s="1"/>
  <c r="D85" i="11"/>
  <c r="E85" i="11" s="1"/>
  <c r="X88" i="11"/>
  <c r="Y88" i="11" s="1"/>
  <c r="R86" i="11"/>
  <c r="S86" i="11" s="1"/>
  <c r="D84" i="11"/>
  <c r="E84" i="11" s="1"/>
  <c r="AL88" i="11"/>
  <c r="AM88" i="11" s="1"/>
  <c r="X82" i="11"/>
  <c r="Y82" i="11" s="1"/>
  <c r="D93" i="11"/>
  <c r="E93" i="11" s="1"/>
  <c r="X92" i="11"/>
  <c r="Y92" i="11" s="1"/>
  <c r="R35" i="11"/>
  <c r="S35" i="11" s="1"/>
  <c r="R98" i="11"/>
  <c r="S98" i="11" s="1"/>
  <c r="R34" i="11"/>
  <c r="S34" i="11" s="1"/>
  <c r="D98" i="11"/>
  <c r="E98" i="11" s="1"/>
  <c r="X95" i="11"/>
  <c r="Y95" i="11" s="1"/>
  <c r="R91" i="11"/>
  <c r="S91" i="11" s="1"/>
  <c r="R37" i="11"/>
  <c r="S37" i="11" s="1"/>
  <c r="D95" i="11"/>
  <c r="E95" i="11" s="1"/>
  <c r="EZ21" i="11"/>
  <c r="FA21" i="11" s="1"/>
  <c r="AR98" i="11"/>
  <c r="AS98" i="11" s="1"/>
  <c r="D96" i="11"/>
  <c r="E96" i="11" s="1"/>
  <c r="J56" i="11"/>
  <c r="K56" i="11" s="1"/>
  <c r="J98" i="11"/>
  <c r="K98" i="11" s="1"/>
  <c r="R97" i="11"/>
  <c r="S97" i="11" s="1"/>
  <c r="D94" i="11"/>
  <c r="E94" i="11" s="1"/>
  <c r="X91" i="11"/>
  <c r="Y91" i="11" s="1"/>
  <c r="D35" i="11"/>
  <c r="E35" i="11" s="1"/>
  <c r="D92" i="11"/>
  <c r="E92" i="11" s="1"/>
  <c r="J61" i="11"/>
  <c r="K61" i="11" s="1"/>
  <c r="R93" i="11"/>
  <c r="S93" i="11" s="1"/>
  <c r="R55" i="11"/>
  <c r="S55" i="11" s="1"/>
  <c r="AL48" i="11"/>
  <c r="AM48" i="11" s="1"/>
  <c r="AL51" i="11"/>
  <c r="AM51" i="11" s="1"/>
  <c r="J32" i="11"/>
  <c r="K32" i="11" s="1"/>
  <c r="J91" i="11"/>
  <c r="K91" i="11" s="1"/>
  <c r="R94" i="11"/>
  <c r="S94" i="11" s="1"/>
  <c r="R52" i="11"/>
  <c r="S52" i="11" s="1"/>
  <c r="D48" i="11"/>
  <c r="E48" i="11" s="1"/>
  <c r="J53" i="11"/>
  <c r="K53" i="11" s="1"/>
  <c r="X98" i="11"/>
  <c r="Y98" i="11" s="1"/>
  <c r="R45" i="11"/>
  <c r="S45" i="11" s="1"/>
  <c r="X51" i="11"/>
  <c r="Y51" i="11" s="1"/>
  <c r="K21" i="11"/>
  <c r="J51" i="11"/>
  <c r="K51" i="11" s="1"/>
  <c r="X93" i="11"/>
  <c r="Y93" i="11" s="1"/>
  <c r="R92" i="11"/>
  <c r="S92" i="11" s="1"/>
  <c r="AL56" i="11"/>
  <c r="AM56" i="11" s="1"/>
  <c r="R36" i="11"/>
  <c r="S36" i="11" s="1"/>
  <c r="J41" i="11"/>
  <c r="K41" i="11" s="1"/>
  <c r="D83" i="11"/>
  <c r="E83" i="11" s="1"/>
  <c r="AR54" i="11"/>
  <c r="AS54" i="11" s="1"/>
  <c r="J82" i="11"/>
  <c r="K82" i="11" s="1"/>
  <c r="AR65" i="11"/>
  <c r="AS65" i="11" s="1"/>
  <c r="AL87" i="11"/>
  <c r="AM87" i="11" s="1"/>
  <c r="FF65" i="11"/>
  <c r="FG65" i="11" s="1"/>
  <c r="R43" i="11"/>
  <c r="S43" i="11" s="1"/>
  <c r="X32" i="11"/>
  <c r="Y32" i="11" s="1"/>
  <c r="B69" i="11"/>
  <c r="H79" i="11"/>
  <c r="J26" i="11"/>
  <c r="K26" i="11" s="1"/>
  <c r="J63" i="11"/>
  <c r="K63" i="11" s="1"/>
  <c r="J68" i="11"/>
  <c r="K68" i="11" s="1"/>
  <c r="J55" i="11"/>
  <c r="K55" i="11" s="1"/>
  <c r="D67" i="11"/>
  <c r="E67" i="11" s="1"/>
  <c r="FL65" i="11"/>
  <c r="FM65" i="11" s="1"/>
  <c r="R68" i="11"/>
  <c r="S68" i="11" s="1"/>
  <c r="J93" i="11"/>
  <c r="K93" i="11" s="1"/>
  <c r="J43" i="11"/>
  <c r="K43" i="11" s="1"/>
  <c r="J81" i="11"/>
  <c r="K81" i="11" s="1"/>
  <c r="J35" i="11"/>
  <c r="K35" i="11" s="1"/>
  <c r="J23" i="11"/>
  <c r="K23" i="11" s="1"/>
  <c r="J85" i="11"/>
  <c r="K85" i="11" s="1"/>
  <c r="R62" i="11"/>
  <c r="S62" i="11" s="1"/>
  <c r="X62" i="11"/>
  <c r="Y62" i="11" s="1"/>
  <c r="D43" i="11"/>
  <c r="E43" i="11" s="1"/>
  <c r="J96" i="11"/>
  <c r="K96" i="11" s="1"/>
  <c r="J88" i="11"/>
  <c r="K88" i="11" s="1"/>
  <c r="J54" i="11"/>
  <c r="K54" i="11" s="1"/>
  <c r="X81" i="11"/>
  <c r="Y81" i="11" s="1"/>
  <c r="X87" i="11"/>
  <c r="Y87" i="11" s="1"/>
  <c r="R46" i="11"/>
  <c r="S46" i="11" s="1"/>
  <c r="X31" i="11"/>
  <c r="Y31" i="11" s="1"/>
  <c r="AL42" i="11"/>
  <c r="AM42" i="11" s="1"/>
  <c r="R32" i="11"/>
  <c r="S32" i="11" s="1"/>
  <c r="R41" i="11"/>
  <c r="S41" i="11" s="1"/>
  <c r="J31" i="11"/>
  <c r="K31" i="11" s="1"/>
  <c r="J33" i="11"/>
  <c r="K33" i="11" s="1"/>
  <c r="R21" i="11"/>
  <c r="S21" i="11" s="1"/>
  <c r="J34" i="11"/>
  <c r="K34" i="11" s="1"/>
  <c r="R66" i="11"/>
  <c r="S66" i="11" s="1"/>
  <c r="EZ65" i="11"/>
  <c r="FA65" i="11" s="1"/>
  <c r="R25" i="11"/>
  <c r="S25" i="11" s="1"/>
  <c r="X25" i="11"/>
  <c r="Y25" i="11" s="1"/>
  <c r="AL23" i="11"/>
  <c r="AM23" i="11" s="1"/>
  <c r="J28" i="11"/>
  <c r="K28" i="11" s="1"/>
  <c r="J84" i="11"/>
  <c r="K84" i="11" s="1"/>
  <c r="D62" i="11"/>
  <c r="E62" i="11" s="1"/>
  <c r="R61" i="11"/>
  <c r="S61" i="11" s="1"/>
  <c r="DL21" i="11"/>
  <c r="DM21" i="11" s="1"/>
  <c r="AR42" i="11"/>
  <c r="AS42" i="11" s="1"/>
  <c r="J95" i="11"/>
  <c r="K95" i="11" s="1"/>
  <c r="X66" i="11"/>
  <c r="Y66" i="11" s="1"/>
  <c r="D64" i="11"/>
  <c r="E64" i="11" s="1"/>
  <c r="AL41" i="11"/>
  <c r="AM41" i="11" s="1"/>
  <c r="J65" i="11"/>
  <c r="K65" i="11" s="1"/>
  <c r="J48" i="11"/>
  <c r="K48" i="11" s="1"/>
  <c r="J57" i="11"/>
  <c r="K57" i="11" s="1"/>
  <c r="J66" i="11"/>
  <c r="K66" i="11" s="1"/>
  <c r="D87" i="11"/>
  <c r="E87" i="11" s="1"/>
  <c r="X48" i="11"/>
  <c r="Y48" i="11" s="1"/>
  <c r="D37" i="11"/>
  <c r="E37" i="11" s="1"/>
  <c r="AL61" i="11"/>
  <c r="AM61" i="11" s="1"/>
  <c r="X54" i="11"/>
  <c r="Y54" i="11" s="1"/>
  <c r="J45" i="11"/>
  <c r="K45" i="11" s="1"/>
  <c r="J87" i="11"/>
  <c r="K87" i="11" s="1"/>
  <c r="J37" i="11"/>
  <c r="K37" i="11" s="1"/>
  <c r="J67" i="11"/>
  <c r="K67" i="11" s="1"/>
  <c r="D68" i="11"/>
  <c r="E68" i="11" s="1"/>
  <c r="D66" i="11"/>
  <c r="E66" i="11" s="1"/>
  <c r="R88" i="11"/>
  <c r="S88" i="11" s="1"/>
  <c r="X43" i="11"/>
  <c r="Y43" i="11" s="1"/>
  <c r="X85" i="11"/>
  <c r="Y85" i="11" s="1"/>
  <c r="AL43" i="11"/>
  <c r="AM43" i="11" s="1"/>
  <c r="D32" i="11"/>
  <c r="E32" i="11" s="1"/>
  <c r="J25" i="11"/>
  <c r="K25" i="11" s="1"/>
  <c r="J62" i="11"/>
  <c r="K62" i="11" s="1"/>
  <c r="J47" i="11"/>
  <c r="K47" i="11" s="1"/>
  <c r="AR87" i="11"/>
  <c r="AS87" i="11" s="1"/>
  <c r="D44" i="11"/>
  <c r="E44" i="11" s="1"/>
  <c r="D52" i="11"/>
  <c r="E52" i="11" s="1"/>
  <c r="X57" i="11"/>
  <c r="Y57" i="11" s="1"/>
  <c r="AR32" i="11"/>
  <c r="AS32" i="11" s="1"/>
  <c r="AR21" i="11"/>
  <c r="AS21" i="11" s="1"/>
  <c r="J83" i="11"/>
  <c r="K83" i="11" s="1"/>
  <c r="J94" i="11"/>
  <c r="K94" i="11" s="1"/>
  <c r="J42" i="11"/>
  <c r="K42" i="11" s="1"/>
  <c r="J27" i="11"/>
  <c r="K27" i="11" s="1"/>
  <c r="R67" i="11"/>
  <c r="S67" i="11" s="1"/>
  <c r="R87" i="11"/>
  <c r="S87" i="11" s="1"/>
  <c r="R84" i="11"/>
  <c r="S84" i="11" s="1"/>
  <c r="R85" i="11"/>
  <c r="S85" i="11" s="1"/>
  <c r="X65" i="11"/>
  <c r="Y65" i="11" s="1"/>
  <c r="X46" i="11"/>
  <c r="Y46" i="11" s="1"/>
  <c r="AL31" i="11"/>
  <c r="AM31" i="11" s="1"/>
  <c r="R38" i="11"/>
  <c r="S38" i="11" s="1"/>
  <c r="J58" i="11"/>
  <c r="K58" i="11" s="1"/>
  <c r="J52" i="11"/>
  <c r="K52" i="11" s="1"/>
  <c r="J64" i="11"/>
  <c r="K64" i="11" s="1"/>
  <c r="K22" i="11"/>
  <c r="J36" i="11"/>
  <c r="K36" i="11" s="1"/>
  <c r="J92" i="11"/>
  <c r="K92" i="11" s="1"/>
  <c r="X63" i="11"/>
  <c r="Y63" i="11" s="1"/>
  <c r="X61" i="11"/>
  <c r="Y61" i="11" s="1"/>
  <c r="D26" i="11"/>
  <c r="E26" i="11" s="1"/>
  <c r="R48" i="11"/>
  <c r="S48" i="11" s="1"/>
  <c r="X33" i="11"/>
  <c r="Y33" i="11" s="1"/>
  <c r="D34" i="11"/>
  <c r="E34" i="11" s="1"/>
  <c r="J44" i="11"/>
  <c r="K44" i="11" s="1"/>
  <c r="AR43" i="11"/>
  <c r="AS43" i="11" s="1"/>
  <c r="AL33" i="11"/>
  <c r="AM33" i="11" s="1"/>
  <c r="AR56" i="11"/>
  <c r="AS56" i="11" s="1"/>
  <c r="AR88" i="11"/>
  <c r="AS88" i="11" s="1"/>
  <c r="X27" i="11"/>
  <c r="Y27" i="11" s="1"/>
  <c r="AR23" i="11"/>
  <c r="AS23" i="11" s="1"/>
  <c r="AL81" i="11"/>
  <c r="AM81" i="11" s="1"/>
  <c r="X35" i="11"/>
  <c r="Y35" i="11" s="1"/>
  <c r="AL66" i="11"/>
  <c r="AM66" i="11" s="1"/>
  <c r="R96" i="11"/>
  <c r="S96" i="11" s="1"/>
  <c r="AR61" i="11"/>
  <c r="AS61" i="11" s="1"/>
  <c r="X67" i="11"/>
  <c r="Y67" i="11" s="1"/>
  <c r="X68" i="11"/>
  <c r="Y68" i="11" s="1"/>
  <c r="AL95" i="11"/>
  <c r="AM95" i="11" s="1"/>
  <c r="X94" i="11"/>
  <c r="Y94" i="11" s="1"/>
  <c r="AL46" i="11"/>
  <c r="AM46" i="11" s="1"/>
  <c r="AL62" i="11"/>
  <c r="AM62" i="11" s="1"/>
  <c r="X55" i="11"/>
  <c r="Y55" i="11" s="1"/>
  <c r="AR48" i="11"/>
  <c r="AS48" i="11" s="1"/>
  <c r="AR41" i="11"/>
  <c r="AS41" i="11" s="1"/>
  <c r="AR57" i="11"/>
  <c r="AS57" i="11" s="1"/>
  <c r="AL25" i="11"/>
  <c r="AM25" i="11" s="1"/>
  <c r="AR51" i="11"/>
  <c r="AS51" i="11" s="1"/>
  <c r="D25" i="11"/>
  <c r="E25" i="11" s="1"/>
  <c r="CZ21" i="11"/>
  <c r="DA21" i="11" s="1"/>
  <c r="D24" i="11"/>
  <c r="E24" i="11" s="1"/>
  <c r="D27" i="11"/>
  <c r="E27" i="11" s="1"/>
  <c r="R23" i="11"/>
  <c r="S23" i="11" s="1"/>
  <c r="FL21" i="11"/>
  <c r="FM21" i="11" s="1"/>
  <c r="E21" i="11"/>
  <c r="D28" i="11"/>
  <c r="E28" i="11" s="1"/>
  <c r="D23" i="11"/>
  <c r="E23" i="11" s="1"/>
  <c r="R26" i="11"/>
  <c r="S26" i="11" s="1"/>
  <c r="BL21" i="11"/>
  <c r="BM21" i="11" s="1"/>
  <c r="R27" i="11"/>
  <c r="S27" i="11" s="1"/>
  <c r="DZ21" i="11"/>
  <c r="EA21" i="11" s="1"/>
  <c r="R24" i="11"/>
  <c r="S24" i="11" s="1"/>
  <c r="FF21" i="11"/>
  <c r="FG21" i="11" s="1"/>
  <c r="EF21" i="11"/>
  <c r="EG21" i="11" s="1"/>
  <c r="AL21" i="11"/>
  <c r="AM21" i="11" s="1"/>
  <c r="CL21" i="11"/>
  <c r="CM21" i="11" s="1"/>
  <c r="CR21" i="11"/>
  <c r="CS21" i="11" s="1"/>
  <c r="EL21" i="11"/>
  <c r="EM21" i="11" s="1"/>
  <c r="D22" i="11"/>
  <c r="E22" i="11" s="1"/>
  <c r="R28" i="11"/>
  <c r="S28" i="11" s="1"/>
  <c r="DF21" i="11"/>
  <c r="DG21" i="11" s="1"/>
  <c r="R64" i="11"/>
  <c r="S64" i="11" s="1"/>
  <c r="X86" i="11"/>
  <c r="Y86" i="11" s="1"/>
  <c r="AL45" i="11"/>
  <c r="AM45" i="11" s="1"/>
  <c r="AL53" i="11"/>
  <c r="AM53" i="11" s="1"/>
  <c r="D41" i="11"/>
  <c r="E41" i="11" s="1"/>
  <c r="D47" i="11"/>
  <c r="E47" i="11" s="1"/>
  <c r="D45" i="11"/>
  <c r="E45" i="11" s="1"/>
  <c r="D46" i="11"/>
  <c r="E46" i="11" s="1"/>
  <c r="X42" i="11"/>
  <c r="Y42" i="11" s="1"/>
  <c r="R42" i="11"/>
  <c r="S42" i="11" s="1"/>
  <c r="X41" i="11"/>
  <c r="Y41" i="11" s="1"/>
  <c r="R47" i="11"/>
  <c r="S47" i="11" s="1"/>
  <c r="D42" i="11"/>
  <c r="E42" i="11" s="1"/>
  <c r="AL91" i="11"/>
  <c r="AM91" i="11" s="1"/>
  <c r="X84" i="11"/>
  <c r="Y84" i="11" s="1"/>
  <c r="X97" i="11"/>
  <c r="Y97" i="11" s="1"/>
  <c r="X26" i="11"/>
  <c r="Y26" i="11" s="1"/>
  <c r="D88" i="11"/>
  <c r="E88" i="11" s="1"/>
  <c r="R81" i="11"/>
  <c r="S81" i="11" s="1"/>
  <c r="D81" i="11"/>
  <c r="E81" i="11" s="1"/>
  <c r="D86" i="11"/>
  <c r="E86" i="11" s="1"/>
  <c r="R82" i="11"/>
  <c r="S82" i="11" s="1"/>
  <c r="AL63" i="11"/>
  <c r="AM63" i="11" s="1"/>
  <c r="AL52" i="11"/>
  <c r="AM52" i="11" s="1"/>
  <c r="CF21" i="11"/>
  <c r="CG21" i="11" s="1"/>
  <c r="R83" i="11"/>
  <c r="S83" i="11" s="1"/>
  <c r="X58" i="11"/>
  <c r="Y58" i="11" s="1"/>
  <c r="AL92" i="11"/>
  <c r="AM92" i="11" s="1"/>
  <c r="X47" i="11"/>
  <c r="Y47" i="11" s="1"/>
  <c r="X38" i="11"/>
  <c r="Y38" i="11" s="1"/>
  <c r="AL93" i="11"/>
  <c r="AM93" i="11" s="1"/>
  <c r="AR31" i="11"/>
  <c r="AS31" i="11" s="1"/>
  <c r="D91" i="11"/>
  <c r="E91" i="11" s="1"/>
  <c r="D97" i="11"/>
  <c r="E97" i="11" s="1"/>
  <c r="AL98" i="11"/>
  <c r="AM98" i="11" s="1"/>
  <c r="R95" i="11"/>
  <c r="S95" i="11" s="1"/>
  <c r="X28" i="11"/>
  <c r="Y28" i="11" s="1"/>
  <c r="R22" i="11"/>
  <c r="S22" i="11" s="1"/>
  <c r="X37" i="11"/>
  <c r="Y37" i="11" s="1"/>
  <c r="D33" i="11"/>
  <c r="E33" i="11" s="1"/>
  <c r="BL32" i="11"/>
  <c r="BM32" i="11" s="1"/>
  <c r="D36" i="11"/>
  <c r="E36" i="11" s="1"/>
  <c r="R31" i="11"/>
  <c r="S31" i="11" s="1"/>
  <c r="D31" i="11"/>
  <c r="E31" i="11" s="1"/>
  <c r="R33" i="11"/>
  <c r="S33" i="11" s="1"/>
  <c r="AL32" i="11"/>
  <c r="AM32" i="11" s="1"/>
  <c r="ET21" i="11"/>
  <c r="EU21" i="11" s="1"/>
  <c r="X36" i="11"/>
  <c r="Y36" i="11" s="1"/>
  <c r="AL36" i="11"/>
  <c r="AM36" i="11" s="1"/>
  <c r="X24" i="11"/>
  <c r="Y24" i="11" s="1"/>
  <c r="D56" i="11"/>
  <c r="E56" i="11" s="1"/>
  <c r="D51" i="11"/>
  <c r="E51" i="11" s="1"/>
  <c r="R53" i="11"/>
  <c r="S53" i="11" s="1"/>
  <c r="D53" i="11"/>
  <c r="E53" i="11" s="1"/>
  <c r="R51" i="11"/>
  <c r="S51" i="11" s="1"/>
  <c r="D55" i="11"/>
  <c r="E55" i="11" s="1"/>
  <c r="X56" i="11"/>
  <c r="Y56" i="11" s="1"/>
  <c r="AL54" i="11"/>
  <c r="AM54" i="11" s="1"/>
  <c r="X34" i="11"/>
  <c r="Y34" i="11" s="1"/>
  <c r="D63" i="11"/>
  <c r="E63" i="11" s="1"/>
  <c r="D65" i="11"/>
  <c r="E65" i="11" s="1"/>
  <c r="D61" i="11"/>
  <c r="E61" i="11" s="1"/>
  <c r="AL65" i="11"/>
  <c r="AM65" i="11" s="1"/>
  <c r="ET65" i="11"/>
  <c r="EU65" i="11" s="1"/>
  <c r="R63" i="11"/>
  <c r="S63" i="11" s="1"/>
  <c r="X44" i="11"/>
  <c r="Y44" i="11" s="1"/>
  <c r="ET31" i="9"/>
  <c r="EU31" i="9" s="1"/>
  <c r="ET24" i="9"/>
  <c r="EU24" i="9" s="1"/>
  <c r="CH81" i="9"/>
  <c r="CI81" i="9" s="1"/>
  <c r="BZ82" i="9"/>
  <c r="CA82" i="9" s="1"/>
  <c r="CH26" i="9"/>
  <c r="CI26" i="9" s="1"/>
  <c r="CH55" i="9"/>
  <c r="CI55" i="9" s="1"/>
  <c r="CH41" i="9"/>
  <c r="CI41" i="9" s="1"/>
  <c r="CH33" i="9"/>
  <c r="CI33" i="9" s="1"/>
  <c r="ET52" i="9"/>
  <c r="EU52" i="9" s="1"/>
  <c r="CH24" i="9"/>
  <c r="CI24" i="9" s="1"/>
  <c r="BH35" i="9"/>
  <c r="BI35" i="9" s="1"/>
  <c r="BZ67" i="9"/>
  <c r="CA67" i="9" s="1"/>
  <c r="BH68" i="9"/>
  <c r="BI68" i="9" s="1"/>
  <c r="Z21" i="9"/>
  <c r="AA21" i="9" s="1"/>
  <c r="BT82" i="9"/>
  <c r="BU82" i="9" s="1"/>
  <c r="BN82" i="9"/>
  <c r="BO82" i="9" s="1"/>
  <c r="D81" i="9"/>
  <c r="E81" i="9" s="1"/>
  <c r="Z88" i="9"/>
  <c r="AA88" i="9" s="1"/>
  <c r="R88" i="9"/>
  <c r="S88" i="9" s="1"/>
  <c r="L88" i="9"/>
  <c r="M88" i="9" s="1"/>
  <c r="R87" i="9"/>
  <c r="S87" i="9" s="1"/>
  <c r="L87" i="9"/>
  <c r="M87" i="9" s="1"/>
  <c r="D88" i="9"/>
  <c r="E88" i="9" s="1"/>
  <c r="R86" i="9"/>
  <c r="S86" i="9" s="1"/>
  <c r="L86" i="9"/>
  <c r="M86" i="9" s="1"/>
  <c r="D87" i="9"/>
  <c r="E87" i="9" s="1"/>
  <c r="R85" i="9"/>
  <c r="S85" i="9" s="1"/>
  <c r="L85" i="9"/>
  <c r="D86" i="9"/>
  <c r="E86" i="9" s="1"/>
  <c r="R84" i="9"/>
  <c r="S84" i="9" s="1"/>
  <c r="L84" i="9"/>
  <c r="M84" i="9" s="1"/>
  <c r="D85" i="9"/>
  <c r="E85" i="9" s="1"/>
  <c r="R83" i="9"/>
  <c r="S83" i="9" s="1"/>
  <c r="L83" i="9"/>
  <c r="M83" i="9" s="1"/>
  <c r="D84" i="9"/>
  <c r="E84" i="9" s="1"/>
  <c r="R82" i="9"/>
  <c r="S82" i="9" s="1"/>
  <c r="L82" i="9"/>
  <c r="M82" i="9" s="1"/>
  <c r="D83" i="9"/>
  <c r="E83" i="9" s="1"/>
  <c r="R81" i="9"/>
  <c r="S81" i="9" s="1"/>
  <c r="L81" i="9"/>
  <c r="M81" i="9" s="1"/>
  <c r="D82" i="9"/>
  <c r="E82" i="9" s="1"/>
  <c r="D61" i="9"/>
  <c r="E61" i="9" s="1"/>
  <c r="R68" i="9"/>
  <c r="S68" i="9" s="1"/>
  <c r="L68" i="9"/>
  <c r="Z67" i="9"/>
  <c r="AA67" i="9" s="1"/>
  <c r="R67" i="9"/>
  <c r="S67" i="9" s="1"/>
  <c r="L67" i="9"/>
  <c r="M67" i="9" s="1"/>
  <c r="D68" i="9"/>
  <c r="E68" i="9" s="1"/>
  <c r="R66" i="9"/>
  <c r="S66" i="9" s="1"/>
  <c r="L66" i="9"/>
  <c r="M66" i="9" s="1"/>
  <c r="D67" i="9"/>
  <c r="E67" i="9" s="1"/>
  <c r="R65" i="9"/>
  <c r="S65" i="9" s="1"/>
  <c r="L65" i="9"/>
  <c r="M65" i="9" s="1"/>
  <c r="D66" i="9"/>
  <c r="E66" i="9" s="1"/>
  <c r="Z64" i="9"/>
  <c r="AA64" i="9" s="1"/>
  <c r="R64" i="9"/>
  <c r="S64" i="9" s="1"/>
  <c r="L64" i="9"/>
  <c r="M64" i="9" s="1"/>
  <c r="D65" i="9"/>
  <c r="E65" i="9" s="1"/>
  <c r="R63" i="9"/>
  <c r="S63" i="9" s="1"/>
  <c r="L63" i="9"/>
  <c r="D64" i="9"/>
  <c r="Z62" i="9"/>
  <c r="AA62" i="9" s="1"/>
  <c r="R62" i="9"/>
  <c r="S62" i="9" s="1"/>
  <c r="L62" i="9"/>
  <c r="M62" i="9" s="1"/>
  <c r="D63" i="9"/>
  <c r="E63" i="9" s="1"/>
  <c r="R61" i="9"/>
  <c r="S61" i="9" s="1"/>
  <c r="L61" i="9"/>
  <c r="M61" i="9" s="1"/>
  <c r="D62" i="9"/>
  <c r="E62" i="9" s="1"/>
  <c r="AL28" i="9"/>
  <c r="AM28" i="9" s="1"/>
  <c r="AF28" i="9"/>
  <c r="AG28" i="9" s="1"/>
  <c r="Z28" i="9"/>
  <c r="AA28" i="9" s="1"/>
  <c r="R28" i="9"/>
  <c r="S28" i="9" s="1"/>
  <c r="L28" i="9"/>
  <c r="M28" i="9" s="1"/>
  <c r="R27" i="9"/>
  <c r="S27" i="9" s="1"/>
  <c r="L27" i="9"/>
  <c r="M27" i="9" s="1"/>
  <c r="R26" i="9"/>
  <c r="S26" i="9" s="1"/>
  <c r="L26" i="9"/>
  <c r="M26" i="9" s="1"/>
  <c r="R25" i="9"/>
  <c r="S25" i="9" s="1"/>
  <c r="L25" i="9"/>
  <c r="M25" i="9" s="1"/>
  <c r="R24" i="9"/>
  <c r="S24" i="9" s="1"/>
  <c r="L24" i="9"/>
  <c r="M24" i="9" s="1"/>
  <c r="R23" i="9"/>
  <c r="S23" i="9" s="1"/>
  <c r="L23" i="9"/>
  <c r="M23" i="9" s="1"/>
  <c r="Z22" i="9"/>
  <c r="AA22" i="9" s="1"/>
  <c r="R22" i="9"/>
  <c r="S22" i="9" s="1"/>
  <c r="L22" i="9"/>
  <c r="M22" i="9" s="1"/>
  <c r="R21" i="9"/>
  <c r="S21" i="9" s="1"/>
  <c r="L21" i="9"/>
  <c r="M21" i="9" s="1"/>
  <c r="D41" i="9"/>
  <c r="E41" i="9" s="1"/>
  <c r="Z48" i="9"/>
  <c r="AA48" i="9" s="1"/>
  <c r="R48" i="9"/>
  <c r="S48" i="9" s="1"/>
  <c r="L48" i="9"/>
  <c r="M48" i="9" s="1"/>
  <c r="R47" i="9"/>
  <c r="S47" i="9" s="1"/>
  <c r="L47" i="9"/>
  <c r="M47" i="9" s="1"/>
  <c r="D48" i="9"/>
  <c r="E48" i="9" s="1"/>
  <c r="Z46" i="9"/>
  <c r="AA46" i="9" s="1"/>
  <c r="R46" i="9"/>
  <c r="S46" i="9" s="1"/>
  <c r="L46" i="9"/>
  <c r="M46" i="9" s="1"/>
  <c r="D47" i="9"/>
  <c r="E47" i="9" s="1"/>
  <c r="R45" i="9"/>
  <c r="S45" i="9" s="1"/>
  <c r="L45" i="9"/>
  <c r="M45" i="9" s="1"/>
  <c r="D46" i="9"/>
  <c r="E46" i="9" s="1"/>
  <c r="R44" i="9"/>
  <c r="S44" i="9" s="1"/>
  <c r="L44" i="9"/>
  <c r="M44" i="9" s="1"/>
  <c r="D45" i="9"/>
  <c r="E45" i="9" s="1"/>
  <c r="R43" i="9"/>
  <c r="S43" i="9" s="1"/>
  <c r="L43" i="9"/>
  <c r="M43" i="9" s="1"/>
  <c r="D44" i="9"/>
  <c r="E44" i="9" s="1"/>
  <c r="R42" i="9"/>
  <c r="S42" i="9" s="1"/>
  <c r="L42" i="9"/>
  <c r="M42" i="9" s="1"/>
  <c r="D43" i="9"/>
  <c r="E43" i="9" s="1"/>
  <c r="Z41" i="9"/>
  <c r="AA41" i="9" s="1"/>
  <c r="R41" i="9"/>
  <c r="S41" i="9" s="1"/>
  <c r="L41" i="9"/>
  <c r="M41" i="9" s="1"/>
  <c r="D42" i="9"/>
  <c r="E42" i="9" s="1"/>
  <c r="R38" i="9"/>
  <c r="S38" i="9" s="1"/>
  <c r="L38" i="9"/>
  <c r="M38" i="9" s="1"/>
  <c r="R37" i="9"/>
  <c r="S37" i="9" s="1"/>
  <c r="L37" i="9"/>
  <c r="M37" i="9" s="1"/>
  <c r="D31" i="9"/>
  <c r="E31" i="9" s="1"/>
  <c r="R36" i="9"/>
  <c r="S36" i="9" s="1"/>
  <c r="L36" i="9"/>
  <c r="M36" i="9" s="1"/>
  <c r="D38" i="9"/>
  <c r="E38" i="9" s="1"/>
  <c r="Z35" i="9"/>
  <c r="AA35" i="9" s="1"/>
  <c r="R35" i="9"/>
  <c r="S35" i="9" s="1"/>
  <c r="L35" i="9"/>
  <c r="M35" i="9" s="1"/>
  <c r="D37" i="9"/>
  <c r="E37" i="9" s="1"/>
  <c r="R34" i="9"/>
  <c r="S34" i="9" s="1"/>
  <c r="L34" i="9"/>
  <c r="M34" i="9" s="1"/>
  <c r="D36" i="9"/>
  <c r="E36" i="9" s="1"/>
  <c r="R33" i="9"/>
  <c r="S33" i="9" s="1"/>
  <c r="L33" i="9"/>
  <c r="M33" i="9" s="1"/>
  <c r="D35" i="9"/>
  <c r="E35" i="9" s="1"/>
  <c r="R32" i="9"/>
  <c r="S32" i="9" s="1"/>
  <c r="L32" i="9"/>
  <c r="M32" i="9" s="1"/>
  <c r="D34" i="9"/>
  <c r="E34" i="9" s="1"/>
  <c r="R31" i="9"/>
  <c r="S31" i="9" s="1"/>
  <c r="L31" i="9"/>
  <c r="M31" i="9" s="1"/>
  <c r="D33" i="9"/>
  <c r="E33" i="9" s="1"/>
  <c r="D32" i="9"/>
  <c r="E32" i="9" s="1"/>
  <c r="R78" i="9"/>
  <c r="S78" i="9" s="1"/>
  <c r="L78" i="9"/>
  <c r="M78" i="9" s="1"/>
  <c r="R77" i="9"/>
  <c r="S77" i="9" s="1"/>
  <c r="L77" i="9"/>
  <c r="M77" i="9" s="1"/>
  <c r="D78" i="9"/>
  <c r="E78" i="9" s="1"/>
  <c r="Z76" i="9"/>
  <c r="AA76" i="9" s="1"/>
  <c r="R76" i="9"/>
  <c r="S76" i="9" s="1"/>
  <c r="L76" i="9"/>
  <c r="M76" i="9" s="1"/>
  <c r="D77" i="9"/>
  <c r="E77" i="9" s="1"/>
  <c r="R75" i="9"/>
  <c r="S75" i="9" s="1"/>
  <c r="L75" i="9"/>
  <c r="M75" i="9" s="1"/>
  <c r="D76" i="9"/>
  <c r="E76" i="9" s="1"/>
  <c r="R74" i="9"/>
  <c r="S74" i="9" s="1"/>
  <c r="L74" i="9"/>
  <c r="M74" i="9" s="1"/>
  <c r="D75" i="9"/>
  <c r="E75" i="9" s="1"/>
  <c r="R73" i="9"/>
  <c r="S73" i="9" s="1"/>
  <c r="L73" i="9"/>
  <c r="M73" i="9" s="1"/>
  <c r="D74" i="9"/>
  <c r="E74" i="9" s="1"/>
  <c r="Z72" i="9"/>
  <c r="AA72" i="9" s="1"/>
  <c r="R72" i="9"/>
  <c r="S72" i="9" s="1"/>
  <c r="L72" i="9"/>
  <c r="M72" i="9" s="1"/>
  <c r="D73" i="9"/>
  <c r="E73" i="9" s="1"/>
  <c r="Z71" i="9"/>
  <c r="AA71" i="9" s="1"/>
  <c r="R71" i="9"/>
  <c r="S71" i="9" s="1"/>
  <c r="L71" i="9"/>
  <c r="M71" i="9" s="1"/>
  <c r="D72" i="9"/>
  <c r="E72" i="9" s="1"/>
  <c r="D71" i="9"/>
  <c r="E71" i="9" s="1"/>
  <c r="R58" i="9"/>
  <c r="S58" i="9" s="1"/>
  <c r="L58" i="9"/>
  <c r="M58" i="9" s="1"/>
  <c r="Z57" i="9"/>
  <c r="AA57" i="9" s="1"/>
  <c r="R57" i="9"/>
  <c r="S57" i="9" s="1"/>
  <c r="L57" i="9"/>
  <c r="M57" i="9" s="1"/>
  <c r="D58" i="9"/>
  <c r="E58" i="9" s="1"/>
  <c r="R56" i="9"/>
  <c r="S56" i="9" s="1"/>
  <c r="L56" i="9"/>
  <c r="M56" i="9" s="1"/>
  <c r="D57" i="9"/>
  <c r="E57" i="9" s="1"/>
  <c r="Z55" i="9"/>
  <c r="AA55" i="9" s="1"/>
  <c r="R55" i="9"/>
  <c r="S55" i="9" s="1"/>
  <c r="L55" i="9"/>
  <c r="M55" i="9" s="1"/>
  <c r="D56" i="9"/>
  <c r="E56" i="9" s="1"/>
  <c r="AF54" i="9"/>
  <c r="AG54" i="9" s="1"/>
  <c r="Z54" i="9"/>
  <c r="AA54" i="9" s="1"/>
  <c r="R54" i="9"/>
  <c r="S54" i="9" s="1"/>
  <c r="L54" i="9"/>
  <c r="M54" i="9" s="1"/>
  <c r="D55" i="9"/>
  <c r="E55" i="9" s="1"/>
  <c r="Z53" i="9"/>
  <c r="AA53" i="9" s="1"/>
  <c r="R53" i="9"/>
  <c r="S53" i="9" s="1"/>
  <c r="L53" i="9"/>
  <c r="M53" i="9" s="1"/>
  <c r="D54" i="9"/>
  <c r="E54" i="9" s="1"/>
  <c r="R52" i="9"/>
  <c r="S52" i="9" s="1"/>
  <c r="L52" i="9"/>
  <c r="M52" i="9" s="1"/>
  <c r="D53" i="9"/>
  <c r="E53" i="9" s="1"/>
  <c r="R51" i="9"/>
  <c r="S51" i="9" s="1"/>
  <c r="L51" i="9"/>
  <c r="M51" i="9" s="1"/>
  <c r="D52" i="9"/>
  <c r="E52" i="9" s="1"/>
  <c r="D51" i="9"/>
  <c r="E51" i="9" s="1"/>
  <c r="B89" i="9"/>
  <c r="BH92" i="9" s="1"/>
  <c r="BI92" i="9" s="1"/>
  <c r="R24" i="10"/>
  <c r="S24" i="10" s="1"/>
  <c r="AF48" i="10"/>
  <c r="AG48" i="10" s="1"/>
  <c r="L32" i="10"/>
  <c r="M32" i="10" s="1"/>
  <c r="L94" i="10"/>
  <c r="M94" i="10" s="1"/>
  <c r="Z23" i="10"/>
  <c r="AA23" i="10" s="1"/>
  <c r="L28" i="10"/>
  <c r="M28" i="10" s="1"/>
  <c r="D68" i="10"/>
  <c r="E68" i="10" s="1"/>
  <c r="Z21" i="10"/>
  <c r="AA21" i="10" s="1"/>
  <c r="D45" i="10"/>
  <c r="E45" i="10" s="1"/>
  <c r="AT37" i="10"/>
  <c r="AU37" i="10" s="1"/>
  <c r="R87" i="10"/>
  <c r="S87" i="10" s="1"/>
  <c r="Y87" i="10"/>
  <c r="R83" i="10"/>
  <c r="S83" i="10" s="1"/>
  <c r="Y83" i="10"/>
  <c r="AE75" i="10"/>
  <c r="Z75" i="10"/>
  <c r="AA75" i="10" s="1"/>
  <c r="AS68" i="10"/>
  <c r="AL68" i="10"/>
  <c r="AM68" i="10" s="1"/>
  <c r="Y74" i="10"/>
  <c r="R74" i="10"/>
  <c r="S74" i="10" s="1"/>
  <c r="Y92" i="10"/>
  <c r="R92" i="10"/>
  <c r="S92" i="10" s="1"/>
  <c r="AE71" i="10"/>
  <c r="Z71" i="10"/>
  <c r="AA71" i="10" s="1"/>
  <c r="Y82" i="10"/>
  <c r="R82" i="10"/>
  <c r="S82" i="10" s="1"/>
  <c r="AE54" i="10"/>
  <c r="Z54" i="10"/>
  <c r="AA54" i="10" s="1"/>
  <c r="AE46" i="10"/>
  <c r="Z46" i="10"/>
  <c r="AA46" i="10" s="1"/>
  <c r="AE51" i="10"/>
  <c r="Z51" i="10"/>
  <c r="AA51" i="10" s="1"/>
  <c r="R28" i="10"/>
  <c r="S28" i="10" s="1"/>
  <c r="Y28" i="10"/>
  <c r="AE78" i="10"/>
  <c r="Z78" i="10"/>
  <c r="AA78" i="10" s="1"/>
  <c r="Y36" i="10"/>
  <c r="R36" i="10"/>
  <c r="S36" i="10" s="1"/>
  <c r="AE98" i="10"/>
  <c r="Z98" i="10"/>
  <c r="AA98" i="10" s="1"/>
  <c r="Y72" i="10"/>
  <c r="R72" i="10"/>
  <c r="S72" i="10" s="1"/>
  <c r="AE24" i="10"/>
  <c r="Z24" i="10"/>
  <c r="AA24" i="10" s="1"/>
  <c r="Y88" i="10"/>
  <c r="Z88" i="10" s="1"/>
  <c r="AA88" i="10" s="1"/>
  <c r="R88" i="10"/>
  <c r="S88" i="10" s="1"/>
  <c r="Y25" i="10"/>
  <c r="Z25" i="10" s="1"/>
  <c r="AA25" i="10" s="1"/>
  <c r="R25" i="10"/>
  <c r="S25" i="10" s="1"/>
  <c r="Y64" i="10"/>
  <c r="R64" i="10"/>
  <c r="S64" i="10" s="1"/>
  <c r="BE37" i="10"/>
  <c r="AZ37" i="10"/>
  <c r="BA37" i="10" s="1"/>
  <c r="Y43" i="10"/>
  <c r="R43" i="10"/>
  <c r="S43" i="10" s="1"/>
  <c r="Y52" i="10"/>
  <c r="R52" i="10"/>
  <c r="S52" i="10" s="1"/>
  <c r="AZ28" i="10"/>
  <c r="BA28" i="10" s="1"/>
  <c r="BE28" i="10"/>
  <c r="R93" i="10"/>
  <c r="S93" i="10" s="1"/>
  <c r="Y93" i="10"/>
  <c r="Y76" i="10"/>
  <c r="R76" i="10"/>
  <c r="S76" i="10" s="1"/>
  <c r="R34" i="10"/>
  <c r="S34" i="10" s="1"/>
  <c r="Y34" i="10"/>
  <c r="AT88" i="10"/>
  <c r="AU88" i="10" s="1"/>
  <c r="AY88" i="10"/>
  <c r="R58" i="10"/>
  <c r="S58" i="10" s="1"/>
  <c r="Y58" i="10"/>
  <c r="AL26" i="10"/>
  <c r="AM26" i="10" s="1"/>
  <c r="AS26" i="10"/>
  <c r="Y32" i="10"/>
  <c r="R32" i="10"/>
  <c r="S32" i="10" s="1"/>
  <c r="Y73" i="10"/>
  <c r="R73" i="10"/>
  <c r="S73" i="10" s="1"/>
  <c r="Y84" i="10"/>
  <c r="R84" i="10"/>
  <c r="S84" i="10" s="1"/>
  <c r="AK23" i="10"/>
  <c r="AF23" i="10"/>
  <c r="AG23" i="10" s="1"/>
  <c r="BS22" i="10"/>
  <c r="BN22" i="10"/>
  <c r="BO22" i="10" s="1"/>
  <c r="Y27" i="10"/>
  <c r="R27" i="10"/>
  <c r="S27" i="10" s="1"/>
  <c r="R97" i="10"/>
  <c r="S97" i="10" s="1"/>
  <c r="Y97" i="10"/>
  <c r="AE65" i="10"/>
  <c r="Z65" i="10"/>
  <c r="AA65" i="10" s="1"/>
  <c r="Y77" i="10"/>
  <c r="R77" i="10"/>
  <c r="S77" i="10" s="1"/>
  <c r="R53" i="10"/>
  <c r="S53" i="10" s="1"/>
  <c r="Y53" i="10"/>
  <c r="Y57" i="10"/>
  <c r="R57" i="10"/>
  <c r="S57" i="10" s="1"/>
  <c r="J89" i="10" s="1"/>
  <c r="Z45" i="10"/>
  <c r="AA45" i="10" s="1"/>
  <c r="AK21" i="10"/>
  <c r="AF21" i="10"/>
  <c r="AG21" i="10" s="1"/>
  <c r="AL25" i="10"/>
  <c r="AM25" i="10" s="1"/>
  <c r="AE94" i="10"/>
  <c r="Z94" i="10"/>
  <c r="AA94" i="10" s="1"/>
  <c r="AK45" i="10"/>
  <c r="AF45" i="10"/>
  <c r="AG45" i="10" s="1"/>
  <c r="AT32" i="10"/>
  <c r="AU32" i="10" s="1"/>
  <c r="R31" i="10"/>
  <c r="S31" i="10" s="1"/>
  <c r="AT25" i="10"/>
  <c r="AU25" i="10" s="1"/>
  <c r="AY25" i="10"/>
  <c r="AE61" i="10"/>
  <c r="Z61" i="10"/>
  <c r="AA61" i="10" s="1"/>
  <c r="L62" i="10"/>
  <c r="M62" i="10" s="1"/>
  <c r="AE55" i="10"/>
  <c r="Z55" i="10"/>
  <c r="AA55" i="10" s="1"/>
  <c r="AL33" i="10"/>
  <c r="AM33" i="10" s="1"/>
  <c r="BE32" i="10"/>
  <c r="AZ32" i="10"/>
  <c r="BA32" i="10" s="1"/>
  <c r="AE31" i="10"/>
  <c r="Z31" i="10"/>
  <c r="AA31" i="10" s="1"/>
  <c r="Y67" i="10"/>
  <c r="R67" i="10"/>
  <c r="S67" i="10" s="1"/>
  <c r="Y86" i="10"/>
  <c r="R86" i="10"/>
  <c r="S86" i="10" s="1"/>
  <c r="AL63" i="10"/>
  <c r="AM63" i="10" s="1"/>
  <c r="L35" i="10"/>
  <c r="M35" i="10" s="1"/>
  <c r="Y62" i="10"/>
  <c r="R62" i="10"/>
  <c r="S62" i="10" s="1"/>
  <c r="L38" i="10"/>
  <c r="M38" i="10" s="1"/>
  <c r="D75" i="10"/>
  <c r="E75" i="10" s="1"/>
  <c r="D71" i="10"/>
  <c r="E71" i="10" s="1"/>
  <c r="D65" i="10"/>
  <c r="E65" i="10" s="1"/>
  <c r="D61" i="10"/>
  <c r="E61" i="10" s="1"/>
  <c r="D88" i="10"/>
  <c r="E88" i="10" s="1"/>
  <c r="D84" i="10"/>
  <c r="E84" i="10" s="1"/>
  <c r="D78" i="10"/>
  <c r="E78" i="10" s="1"/>
  <c r="D74" i="10"/>
  <c r="E74" i="10" s="1"/>
  <c r="D77" i="10"/>
  <c r="E77" i="10" s="1"/>
  <c r="D73" i="10"/>
  <c r="E73" i="10" s="1"/>
  <c r="L91" i="10"/>
  <c r="M91" i="10" s="1"/>
  <c r="L85" i="10"/>
  <c r="M85" i="10" s="1"/>
  <c r="L81" i="10"/>
  <c r="M81" i="10" s="1"/>
  <c r="L75" i="10"/>
  <c r="M75" i="10" s="1"/>
  <c r="L71" i="10"/>
  <c r="M71" i="10" s="1"/>
  <c r="D91" i="10"/>
  <c r="E91" i="10" s="1"/>
  <c r="D41" i="10"/>
  <c r="E41" i="10" s="1"/>
  <c r="L21" i="10"/>
  <c r="M21" i="10" s="1"/>
  <c r="D35" i="10"/>
  <c r="E35" i="10" s="1"/>
  <c r="D31" i="10"/>
  <c r="E31" i="10" s="1"/>
  <c r="D25" i="10"/>
  <c r="E25" i="10" s="1"/>
  <c r="D21" i="10"/>
  <c r="E21" i="10" s="1"/>
  <c r="D54" i="10"/>
  <c r="E54" i="10" s="1"/>
  <c r="L65" i="10"/>
  <c r="M65" i="10" s="1"/>
  <c r="L61" i="10"/>
  <c r="M61" i="10" s="1"/>
  <c r="D28" i="10"/>
  <c r="E28" i="10" s="1"/>
  <c r="AF25" i="10"/>
  <c r="AG25" i="10" s="1"/>
  <c r="D24" i="10"/>
  <c r="E24" i="10" s="1"/>
  <c r="D58" i="10"/>
  <c r="E58" i="10" s="1"/>
  <c r="D47" i="10"/>
  <c r="E47" i="10" s="1"/>
  <c r="D43" i="10"/>
  <c r="E43" i="10" s="1"/>
  <c r="D56" i="10"/>
  <c r="E56" i="10" s="1"/>
  <c r="L46" i="10"/>
  <c r="M46" i="10" s="1"/>
  <c r="D37" i="10"/>
  <c r="E37" i="10" s="1"/>
  <c r="D51" i="10"/>
  <c r="E51" i="10" s="1"/>
  <c r="D55" i="10"/>
  <c r="E55" i="10" s="1"/>
  <c r="D81" i="10"/>
  <c r="E81" i="10" s="1"/>
  <c r="R68" i="10"/>
  <c r="S68" i="10" s="1"/>
  <c r="D85" i="10"/>
  <c r="E85" i="10" s="1"/>
  <c r="L45" i="10"/>
  <c r="M45" i="10" s="1"/>
  <c r="L41" i="10"/>
  <c r="M41" i="10" s="1"/>
  <c r="AF37" i="10"/>
  <c r="AG37" i="10" s="1"/>
  <c r="D36" i="10"/>
  <c r="E36" i="10" s="1"/>
  <c r="AF33" i="10"/>
  <c r="AG33" i="10" s="1"/>
  <c r="D32" i="10"/>
  <c r="E32" i="10" s="1"/>
  <c r="AY33" i="10"/>
  <c r="AT33" i="10"/>
  <c r="AU33" i="10" s="1"/>
  <c r="L56" i="10"/>
  <c r="M56" i="10" s="1"/>
  <c r="L42" i="10"/>
  <c r="M42" i="10" s="1"/>
  <c r="AS48" i="10"/>
  <c r="AL48" i="10"/>
  <c r="AM48" i="10" s="1"/>
  <c r="D95" i="10"/>
  <c r="E95" i="10" s="1"/>
  <c r="D42" i="10"/>
  <c r="E42" i="10" s="1"/>
  <c r="L74" i="10"/>
  <c r="M74" i="10" s="1"/>
  <c r="AY63" i="10"/>
  <c r="AT63" i="10"/>
  <c r="AU63" i="10" s="1"/>
  <c r="L47" i="10"/>
  <c r="M47" i="10" s="1"/>
  <c r="R38" i="10"/>
  <c r="S38" i="10" s="1"/>
  <c r="Y38" i="10"/>
  <c r="Y44" i="10"/>
  <c r="R44" i="10"/>
  <c r="S44" i="10" s="1"/>
  <c r="R56" i="10"/>
  <c r="S56" i="10" s="1"/>
  <c r="Y56" i="10"/>
  <c r="Y42" i="10"/>
  <c r="R42" i="10"/>
  <c r="S42" i="10" s="1"/>
  <c r="L37" i="10"/>
  <c r="M37" i="10" s="1"/>
  <c r="Y96" i="10"/>
  <c r="R96" i="10"/>
  <c r="S96" i="10" s="1"/>
  <c r="AT95" i="10"/>
  <c r="AU95" i="10" s="1"/>
  <c r="Q95" i="10"/>
  <c r="L95" i="10"/>
  <c r="M95" i="10" s="1"/>
  <c r="L68" i="10"/>
  <c r="M68" i="10" s="1"/>
  <c r="Y47" i="10"/>
  <c r="R47" i="10"/>
  <c r="S47" i="10" s="1"/>
  <c r="R48" i="10"/>
  <c r="S48" i="10" s="1"/>
  <c r="L44" i="10"/>
  <c r="M44" i="10" s="1"/>
  <c r="L33" i="10"/>
  <c r="M33" i="10" s="1"/>
  <c r="AY41" i="10"/>
  <c r="AT41" i="10"/>
  <c r="AU41" i="10" s="1"/>
  <c r="Y37" i="10"/>
  <c r="Z37" i="10" s="1"/>
  <c r="AA37" i="10" s="1"/>
  <c r="R37" i="10"/>
  <c r="S37" i="10" s="1"/>
  <c r="L66" i="10"/>
  <c r="M66" i="10" s="1"/>
  <c r="R81" i="10"/>
  <c r="S81" i="10" s="1"/>
  <c r="BE95" i="10"/>
  <c r="AZ95" i="10"/>
  <c r="BA95" i="10" s="1"/>
  <c r="R85" i="10"/>
  <c r="S85" i="10" s="1"/>
  <c r="AF63" i="10"/>
  <c r="AG63" i="10" s="1"/>
  <c r="AL32" i="10"/>
  <c r="AM32" i="10" s="1"/>
  <c r="R35" i="10"/>
  <c r="S35" i="10" s="1"/>
  <c r="L48" i="10"/>
  <c r="M48" i="10" s="1"/>
  <c r="B89" i="10"/>
  <c r="J39" i="10"/>
  <c r="L22" i="10"/>
  <c r="M22" i="10" s="1"/>
  <c r="R33" i="10"/>
  <c r="S33" i="10" s="1"/>
  <c r="AL41" i="10"/>
  <c r="AM41" i="10" s="1"/>
  <c r="L26" i="10"/>
  <c r="M26" i="10" s="1"/>
  <c r="Y63" i="10"/>
  <c r="Z63" i="10" s="1"/>
  <c r="AA63" i="10" s="1"/>
  <c r="R63" i="10"/>
  <c r="S63" i="10" s="1"/>
  <c r="AE91" i="10"/>
  <c r="Z91" i="10"/>
  <c r="AA91" i="10" s="1"/>
  <c r="Y66" i="10"/>
  <c r="R66" i="10"/>
  <c r="S66" i="10" s="1"/>
  <c r="AE81" i="10"/>
  <c r="Z81" i="10"/>
  <c r="AA81" i="10" s="1"/>
  <c r="AL37" i="10"/>
  <c r="AM37" i="10" s="1"/>
  <c r="AE85" i="10"/>
  <c r="Z85" i="10"/>
  <c r="AA85" i="10" s="1"/>
  <c r="R54" i="10"/>
  <c r="S54" i="10" s="1"/>
  <c r="AE35" i="10"/>
  <c r="Z35" i="10"/>
  <c r="AA35" i="10" s="1"/>
  <c r="R61" i="10"/>
  <c r="S61" i="10" s="1"/>
  <c r="Y22" i="10"/>
  <c r="R22" i="10"/>
  <c r="S22" i="10" s="1"/>
  <c r="AT28" i="10"/>
  <c r="AU28" i="10" s="1"/>
  <c r="R41" i="10"/>
  <c r="S41" i="10" s="1"/>
  <c r="R26" i="10"/>
  <c r="S26" i="10" s="1"/>
  <c r="D26" i="9"/>
  <c r="E26" i="9" s="1"/>
  <c r="D22" i="9"/>
  <c r="E22" i="9" s="1"/>
  <c r="M63" i="9"/>
  <c r="M68" i="9"/>
  <c r="M85" i="9"/>
  <c r="D25" i="9"/>
  <c r="E25" i="9" s="1"/>
  <c r="D28" i="9"/>
  <c r="E28" i="9" s="1"/>
  <c r="D23" i="9"/>
  <c r="E23" i="9" s="1"/>
  <c r="D27" i="9"/>
  <c r="E27" i="9" s="1"/>
  <c r="D24" i="9"/>
  <c r="E24" i="9" s="1"/>
  <c r="E64" i="9"/>
  <c r="Z51" i="9"/>
  <c r="Z61" i="9"/>
  <c r="Z81" i="9"/>
  <c r="Z31" i="9"/>
  <c r="AF55" i="9"/>
  <c r="Z37" i="9"/>
  <c r="AF35" i="9"/>
  <c r="AF67" i="9"/>
  <c r="Z78" i="9"/>
  <c r="Z45" i="9"/>
  <c r="Z52" i="9"/>
  <c r="Z87" i="9"/>
  <c r="Z77" i="9"/>
  <c r="Z47" i="9"/>
  <c r="Z36" i="9"/>
  <c r="Z82" i="9"/>
  <c r="Z84" i="9"/>
  <c r="AF48" i="9"/>
  <c r="Z58" i="9"/>
  <c r="Z74" i="9"/>
  <c r="Z83" i="9"/>
  <c r="AF62" i="9"/>
  <c r="AF21" i="9"/>
  <c r="Z42" i="9"/>
  <c r="Z68" i="9"/>
  <c r="Z66" i="9"/>
  <c r="Z44" i="9"/>
  <c r="Z27" i="9"/>
  <c r="Z25" i="9"/>
  <c r="Z56" i="9"/>
  <c r="AF57" i="9"/>
  <c r="Z32" i="9"/>
  <c r="AF41" i="9"/>
  <c r="Z24" i="9"/>
  <c r="Z73" i="9"/>
  <c r="Z33" i="9"/>
  <c r="AS92" i="8"/>
  <c r="AT92" i="8" s="1"/>
  <c r="AK21" i="8"/>
  <c r="AS21" i="8" s="1"/>
  <c r="L52" i="8"/>
  <c r="Q52" i="8"/>
  <c r="AZ26" i="8"/>
  <c r="BE26" i="8"/>
  <c r="AY92" i="8"/>
  <c r="Y86" i="8"/>
  <c r="R86" i="8"/>
  <c r="L88" i="8"/>
  <c r="Q88" i="8"/>
  <c r="R43" i="8"/>
  <c r="Y43" i="8"/>
  <c r="AE43" i="8" s="1"/>
  <c r="R68" i="8"/>
  <c r="Y68" i="8"/>
  <c r="L71" i="8"/>
  <c r="Q71" i="8"/>
  <c r="R74" i="8"/>
  <c r="Y74" i="8"/>
  <c r="L53" i="8"/>
  <c r="Q53" i="8"/>
  <c r="R97" i="8"/>
  <c r="Y97" i="8"/>
  <c r="R84" i="8"/>
  <c r="Y84" i="8"/>
  <c r="R41" i="8"/>
  <c r="Y41" i="8"/>
  <c r="Z41" i="8" s="1"/>
  <c r="R93" i="8"/>
  <c r="Y93" i="8"/>
  <c r="R48" i="8"/>
  <c r="Y48" i="8"/>
  <c r="L72" i="8"/>
  <c r="Q72" i="8"/>
  <c r="R98" i="8"/>
  <c r="Y98" i="8"/>
  <c r="L83" i="8"/>
  <c r="Q83" i="8"/>
  <c r="B89" i="8"/>
  <c r="Q57" i="8"/>
  <c r="R65" i="8"/>
  <c r="Y65" i="8"/>
  <c r="Y66" i="8"/>
  <c r="R66" i="8"/>
  <c r="R91" i="8"/>
  <c r="Y91" i="8"/>
  <c r="R85" i="8"/>
  <c r="Y85" i="8"/>
  <c r="R76" i="8"/>
  <c r="Y76" i="8"/>
  <c r="L56" i="8"/>
  <c r="Q56" i="8"/>
  <c r="L94" i="8"/>
  <c r="Q94" i="8"/>
  <c r="R94" i="8" s="1"/>
  <c r="R64" i="8"/>
  <c r="Y64" i="8"/>
  <c r="Q46" i="8"/>
  <c r="R82" i="8"/>
  <c r="Y82" i="8"/>
  <c r="R62" i="8"/>
  <c r="Y62" i="8"/>
  <c r="R63" i="8"/>
  <c r="Y63" i="8"/>
  <c r="Q42" i="8"/>
  <c r="R87" i="8"/>
  <c r="Y87" i="8"/>
  <c r="L35" i="8"/>
  <c r="Q35" i="8"/>
  <c r="R61" i="8"/>
  <c r="R54" i="8"/>
  <c r="Y54" i="8"/>
  <c r="R55" i="8"/>
  <c r="Y55" i="8"/>
  <c r="L58" i="8"/>
  <c r="Q58" i="8"/>
  <c r="L51" i="8"/>
  <c r="Q51" i="8"/>
  <c r="AK94" i="8"/>
  <c r="AS94" i="8" s="1"/>
  <c r="AK28" i="8"/>
  <c r="AK45" i="8"/>
  <c r="AF37" i="8"/>
  <c r="AK37" i="8"/>
  <c r="L31" i="8"/>
  <c r="AE31" i="8"/>
  <c r="AK31" i="8" s="1"/>
  <c r="L46" i="8"/>
  <c r="L41" i="8"/>
  <c r="L48" i="8"/>
  <c r="Z37" i="8"/>
  <c r="L75" i="8"/>
  <c r="K67" i="8"/>
  <c r="AE35" i="8"/>
  <c r="K73" i="8"/>
  <c r="K44" i="8"/>
  <c r="Q44" i="8" s="1"/>
  <c r="L66" i="8"/>
  <c r="L68" i="8"/>
  <c r="L74" i="8"/>
  <c r="L84" i="8"/>
  <c r="K45" i="8"/>
  <c r="K75" i="8"/>
  <c r="Q75" i="8" s="1"/>
  <c r="K95" i="8"/>
  <c r="L93" i="8"/>
  <c r="K96" i="8"/>
  <c r="L85" i="8"/>
  <c r="L64" i="8"/>
  <c r="L86" i="8"/>
  <c r="K47" i="8"/>
  <c r="Q47" i="8" s="1"/>
  <c r="K77" i="8"/>
  <c r="L62" i="8"/>
  <c r="L63" i="8"/>
  <c r="K78" i="8"/>
  <c r="L78" i="8" s="1"/>
  <c r="Z45" i="8"/>
  <c r="L97" i="8"/>
  <c r="L82" i="8"/>
  <c r="L76" i="8"/>
  <c r="L65" i="8"/>
  <c r="L43" i="8"/>
  <c r="L54" i="8"/>
  <c r="L87" i="8"/>
  <c r="L98" i="8"/>
  <c r="L61" i="8"/>
  <c r="L81" i="8"/>
  <c r="L57" i="8"/>
  <c r="L55" i="8"/>
  <c r="L91" i="8"/>
  <c r="L92" i="8"/>
  <c r="L42" i="8"/>
  <c r="C38" i="8"/>
  <c r="C37" i="8"/>
  <c r="C36" i="8"/>
  <c r="C35" i="8"/>
  <c r="C34" i="8"/>
  <c r="C33" i="8"/>
  <c r="C32" i="8"/>
  <c r="K32" i="8" s="1"/>
  <c r="Q32" i="8" s="1"/>
  <c r="L28" i="8"/>
  <c r="C28" i="8"/>
  <c r="C27" i="8"/>
  <c r="K27" i="8" s="1"/>
  <c r="C26" i="8"/>
  <c r="K26" i="8" s="1"/>
  <c r="L26" i="8" s="1"/>
  <c r="C25" i="8"/>
  <c r="K25" i="8" s="1"/>
  <c r="C24" i="8"/>
  <c r="K24" i="8" s="1"/>
  <c r="C23" i="8"/>
  <c r="K23" i="8" s="1"/>
  <c r="C22" i="8"/>
  <c r="O12" i="8"/>
  <c r="F12" i="8"/>
  <c r="O11" i="8"/>
  <c r="B79" i="8" s="1"/>
  <c r="F11" i="8"/>
  <c r="O10" i="8"/>
  <c r="B69" i="8" s="1"/>
  <c r="F10" i="8"/>
  <c r="O9" i="8"/>
  <c r="B59" i="8" s="1"/>
  <c r="F9" i="8"/>
  <c r="O8" i="8"/>
  <c r="B49" i="8" s="1"/>
  <c r="F8" i="8"/>
  <c r="O7" i="8"/>
  <c r="F7" i="8"/>
  <c r="O6" i="8"/>
  <c r="B29" i="8" s="1"/>
  <c r="F6" i="8"/>
  <c r="O5" i="8"/>
  <c r="F5" i="8"/>
  <c r="AX41" i="11" l="1"/>
  <c r="AY41" i="11" s="1"/>
  <c r="BE41" i="11"/>
  <c r="BK41" i="11" s="1"/>
  <c r="BQ41" i="11" s="1"/>
  <c r="AX63" i="11"/>
  <c r="AY63" i="11" s="1"/>
  <c r="BE63" i="11"/>
  <c r="BK63" i="11" s="1"/>
  <c r="BQ63" i="11" s="1"/>
  <c r="AX88" i="11"/>
  <c r="AY88" i="11" s="1"/>
  <c r="BE88" i="11"/>
  <c r="BK88" i="11" s="1"/>
  <c r="BQ88" i="11" s="1"/>
  <c r="AX83" i="11"/>
  <c r="AY83" i="11" s="1"/>
  <c r="BE83" i="11"/>
  <c r="AX34" i="11"/>
  <c r="AY34" i="11" s="1"/>
  <c r="BE34" i="11"/>
  <c r="BK34" i="11" s="1"/>
  <c r="BQ34" i="11" s="1"/>
  <c r="AX33" i="11"/>
  <c r="AY33" i="11" s="1"/>
  <c r="BE33" i="11"/>
  <c r="AX31" i="11"/>
  <c r="AY31" i="11" s="1"/>
  <c r="BE31" i="11"/>
  <c r="AX42" i="11"/>
  <c r="AY42" i="11" s="1"/>
  <c r="BE42" i="11"/>
  <c r="AX95" i="11"/>
  <c r="AY95" i="11" s="1"/>
  <c r="BE95" i="11"/>
  <c r="AX62" i="11"/>
  <c r="AY62" i="11" s="1"/>
  <c r="BE62" i="11"/>
  <c r="AX94" i="11"/>
  <c r="AY94" i="11" s="1"/>
  <c r="BE94" i="11"/>
  <c r="AX81" i="11"/>
  <c r="AY81" i="11" s="1"/>
  <c r="BE81" i="11"/>
  <c r="AX55" i="11"/>
  <c r="AY55" i="11" s="1"/>
  <c r="BE55" i="11"/>
  <c r="AX64" i="11"/>
  <c r="AY64" i="11" s="1"/>
  <c r="BE64" i="11"/>
  <c r="AX93" i="11"/>
  <c r="AY93" i="11" s="1"/>
  <c r="BE93" i="11"/>
  <c r="AX56" i="11"/>
  <c r="AY56" i="11" s="1"/>
  <c r="BE56" i="11"/>
  <c r="AX57" i="11"/>
  <c r="AY57" i="11" s="1"/>
  <c r="BE57" i="11"/>
  <c r="AX91" i="11"/>
  <c r="AY91" i="11" s="1"/>
  <c r="BE91" i="11"/>
  <c r="AX52" i="11"/>
  <c r="AY52" i="11" s="1"/>
  <c r="BE52" i="11"/>
  <c r="AX96" i="11"/>
  <c r="AY96" i="11" s="1"/>
  <c r="BE96" i="11"/>
  <c r="AX27" i="11"/>
  <c r="AY27" i="11" s="1"/>
  <c r="BE27" i="11"/>
  <c r="AX38" i="11"/>
  <c r="AY38" i="11" s="1"/>
  <c r="BE38" i="11"/>
  <c r="AX53" i="11"/>
  <c r="AY53" i="11" s="1"/>
  <c r="BE53" i="11"/>
  <c r="AX61" i="11"/>
  <c r="AY61" i="11" s="1"/>
  <c r="BE61" i="11"/>
  <c r="AX66" i="11"/>
  <c r="AY66" i="11" s="1"/>
  <c r="BE66" i="11"/>
  <c r="AX58" i="11"/>
  <c r="AY58" i="11" s="1"/>
  <c r="BE58" i="11"/>
  <c r="BK58" i="11" s="1"/>
  <c r="BQ58" i="11" s="1"/>
  <c r="BR58" i="11" s="1"/>
  <c r="BS58" i="11" s="1"/>
  <c r="AX26" i="11"/>
  <c r="AY26" i="11" s="1"/>
  <c r="BE26" i="11"/>
  <c r="AX23" i="11"/>
  <c r="AY23" i="11" s="1"/>
  <c r="BE23" i="11"/>
  <c r="AX37" i="11"/>
  <c r="AY37" i="11" s="1"/>
  <c r="BE37" i="11"/>
  <c r="AX67" i="11"/>
  <c r="AY67" i="11" s="1"/>
  <c r="BE67" i="11"/>
  <c r="AX25" i="11"/>
  <c r="AY25" i="11" s="1"/>
  <c r="BE25" i="11"/>
  <c r="AX24" i="11"/>
  <c r="AY24" i="11" s="1"/>
  <c r="BE24" i="11"/>
  <c r="AX22" i="11"/>
  <c r="AY22" i="11" s="1"/>
  <c r="BE22" i="11"/>
  <c r="AX68" i="11"/>
  <c r="AY68" i="11" s="1"/>
  <c r="BE68" i="11"/>
  <c r="AX28" i="11"/>
  <c r="AY28" i="11" s="1"/>
  <c r="BE28" i="11"/>
  <c r="AX36" i="11"/>
  <c r="AY36" i="11" s="1"/>
  <c r="BE36" i="11"/>
  <c r="AX47" i="11"/>
  <c r="AY47" i="11" s="1"/>
  <c r="BE47" i="11"/>
  <c r="BK47" i="11" s="1"/>
  <c r="BQ47" i="11" s="1"/>
  <c r="AX45" i="11"/>
  <c r="AY45" i="11" s="1"/>
  <c r="BE45" i="11"/>
  <c r="AX35" i="11"/>
  <c r="AY35" i="11" s="1"/>
  <c r="BE35" i="11"/>
  <c r="AX72" i="11"/>
  <c r="AY72" i="11" s="1"/>
  <c r="BE72" i="11"/>
  <c r="BK72" i="11" s="1"/>
  <c r="BQ72" i="11" s="1"/>
  <c r="BY72" i="11" s="1"/>
  <c r="CE72" i="11" s="1"/>
  <c r="CK72" i="11" s="1"/>
  <c r="CQ72" i="11" s="1"/>
  <c r="CY72" i="11" s="1"/>
  <c r="DE72" i="11" s="1"/>
  <c r="DK72" i="11" s="1"/>
  <c r="AX51" i="11"/>
  <c r="AY51" i="11" s="1"/>
  <c r="BE51" i="11"/>
  <c r="BK51" i="11" s="1"/>
  <c r="BQ51" i="11" s="1"/>
  <c r="BY51" i="11" s="1"/>
  <c r="AX78" i="11"/>
  <c r="AY78" i="11" s="1"/>
  <c r="AX77" i="11"/>
  <c r="AY77" i="11" s="1"/>
  <c r="AX75" i="11"/>
  <c r="AY75" i="11" s="1"/>
  <c r="AD97" i="11"/>
  <c r="AE97" i="11" s="1"/>
  <c r="AK97" i="11"/>
  <c r="AQ97" i="11" s="1"/>
  <c r="AD73" i="11"/>
  <c r="AE73" i="11" s="1"/>
  <c r="AX76" i="11"/>
  <c r="AY76" i="11" s="1"/>
  <c r="AX73" i="11"/>
  <c r="AY73" i="11" s="1"/>
  <c r="BF88" i="11"/>
  <c r="AD85" i="11"/>
  <c r="AE85" i="11" s="1"/>
  <c r="AK85" i="11"/>
  <c r="AD82" i="11"/>
  <c r="AE82" i="11" s="1"/>
  <c r="AK82" i="11"/>
  <c r="AX71" i="11"/>
  <c r="AY71" i="11" s="1"/>
  <c r="BF41" i="11"/>
  <c r="BF46" i="11"/>
  <c r="BF34" i="11"/>
  <c r="AX74" i="11"/>
  <c r="AY74" i="11" s="1"/>
  <c r="BF51" i="11"/>
  <c r="BF47" i="11"/>
  <c r="AD86" i="11"/>
  <c r="AE86" i="11" s="1"/>
  <c r="AK86" i="11"/>
  <c r="AQ86" i="11" s="1"/>
  <c r="BF63" i="11"/>
  <c r="AD84" i="11"/>
  <c r="AE84" i="11" s="1"/>
  <c r="AK84" i="11"/>
  <c r="AQ84" i="11" s="1"/>
  <c r="BZ43" i="11"/>
  <c r="CA43" i="11" s="1"/>
  <c r="EL98" i="11"/>
  <c r="EM98" i="11" s="1"/>
  <c r="AD78" i="11"/>
  <c r="AE78" i="11" s="1"/>
  <c r="AD72" i="11"/>
  <c r="AE72" i="11" s="1"/>
  <c r="DZ98" i="11"/>
  <c r="EA98" i="11" s="1"/>
  <c r="AD75" i="11"/>
  <c r="AE75" i="11" s="1"/>
  <c r="ET98" i="11"/>
  <c r="EU98" i="11" s="1"/>
  <c r="FF98" i="11"/>
  <c r="FG98" i="11" s="1"/>
  <c r="EZ98" i="11"/>
  <c r="FA98" i="11" s="1"/>
  <c r="EF98" i="11"/>
  <c r="EG98" i="11" s="1"/>
  <c r="AD76" i="11"/>
  <c r="AE76" i="11" s="1"/>
  <c r="AD74" i="11"/>
  <c r="AE74" i="11" s="1"/>
  <c r="BR43" i="11"/>
  <c r="BS43" i="11" s="1"/>
  <c r="AD71" i="11"/>
  <c r="AE71" i="11" s="1"/>
  <c r="AD77" i="11"/>
  <c r="AE77" i="11" s="1"/>
  <c r="BZ54" i="11"/>
  <c r="CA54" i="11" s="1"/>
  <c r="DY43" i="11"/>
  <c r="DQ43" i="11"/>
  <c r="DR43" i="11" s="1"/>
  <c r="DS43" i="11" s="1"/>
  <c r="BR54" i="11"/>
  <c r="BS54" i="11" s="1"/>
  <c r="DY87" i="11"/>
  <c r="DQ87" i="11"/>
  <c r="DR87" i="11" s="1"/>
  <c r="DS87" i="11" s="1"/>
  <c r="DY54" i="11"/>
  <c r="EE54" i="11" s="1"/>
  <c r="DQ54" i="11"/>
  <c r="BR48" i="11"/>
  <c r="BS48" i="11" s="1"/>
  <c r="BY48" i="11"/>
  <c r="BR41" i="11"/>
  <c r="BS41" i="11" s="1"/>
  <c r="BY41" i="11"/>
  <c r="BR63" i="11"/>
  <c r="BS63" i="11" s="1"/>
  <c r="BY63" i="11"/>
  <c r="BR32" i="11"/>
  <c r="BS32" i="11" s="1"/>
  <c r="BY32" i="11"/>
  <c r="BR47" i="11"/>
  <c r="BS47" i="11" s="1"/>
  <c r="BY47" i="11"/>
  <c r="BR92" i="11"/>
  <c r="BS92" i="11" s="1"/>
  <c r="BY92" i="11"/>
  <c r="BR88" i="11"/>
  <c r="BS88" i="11" s="1"/>
  <c r="BY88" i="11"/>
  <c r="BR34" i="11"/>
  <c r="BS34" i="11" s="1"/>
  <c r="BY34" i="11"/>
  <c r="BZ77" i="11"/>
  <c r="CA77" i="11" s="1"/>
  <c r="BZ74" i="11"/>
  <c r="CA74" i="11" s="1"/>
  <c r="BZ73" i="11"/>
  <c r="CA73" i="11" s="1"/>
  <c r="BZ78" i="11"/>
  <c r="CA78" i="11" s="1"/>
  <c r="BZ75" i="11"/>
  <c r="CA75" i="11" s="1"/>
  <c r="BZ71" i="11"/>
  <c r="CA71" i="11" s="1"/>
  <c r="BZ72" i="11"/>
  <c r="CA72" i="11" s="1"/>
  <c r="BZ76" i="11"/>
  <c r="CA76" i="11" s="1"/>
  <c r="BR78" i="11"/>
  <c r="BS78" i="11" s="1"/>
  <c r="BR71" i="11"/>
  <c r="BS71" i="11" s="1"/>
  <c r="DQ73" i="11"/>
  <c r="BR77" i="11"/>
  <c r="BS77" i="11" s="1"/>
  <c r="BR75" i="11"/>
  <c r="BS75" i="11" s="1"/>
  <c r="BR73" i="11"/>
  <c r="BS73" i="11" s="1"/>
  <c r="DY77" i="11"/>
  <c r="EE77" i="11" s="1"/>
  <c r="EK77" i="11" s="1"/>
  <c r="ES77" i="11" s="1"/>
  <c r="EY77" i="11" s="1"/>
  <c r="FE77" i="11" s="1"/>
  <c r="FK77" i="11" s="1"/>
  <c r="DQ77" i="11"/>
  <c r="DQ75" i="11"/>
  <c r="DY75" i="11"/>
  <c r="EE75" i="11" s="1"/>
  <c r="EK75" i="11" s="1"/>
  <c r="ES75" i="11" s="1"/>
  <c r="EY75" i="11" s="1"/>
  <c r="FE75" i="11" s="1"/>
  <c r="FK75" i="11" s="1"/>
  <c r="DY71" i="11"/>
  <c r="EE71" i="11" s="1"/>
  <c r="EK71" i="11" s="1"/>
  <c r="ES71" i="11" s="1"/>
  <c r="EY71" i="11" s="1"/>
  <c r="FE71" i="11" s="1"/>
  <c r="FK71" i="11" s="1"/>
  <c r="DQ71" i="11"/>
  <c r="X78" i="11"/>
  <c r="Y78" i="11" s="1"/>
  <c r="BF76" i="11"/>
  <c r="BG76" i="11" s="1"/>
  <c r="BF74" i="11"/>
  <c r="BF77" i="11"/>
  <c r="BF72" i="11"/>
  <c r="BF73" i="11"/>
  <c r="BF78" i="11"/>
  <c r="BF75" i="11"/>
  <c r="BR74" i="11"/>
  <c r="BS74" i="11" s="1"/>
  <c r="DY74" i="11"/>
  <c r="EE74" i="11" s="1"/>
  <c r="EK74" i="11" s="1"/>
  <c r="ES74" i="11" s="1"/>
  <c r="EY74" i="11" s="1"/>
  <c r="FE74" i="11" s="1"/>
  <c r="FK74" i="11" s="1"/>
  <c r="DQ74" i="11"/>
  <c r="BQ44" i="11"/>
  <c r="D71" i="11"/>
  <c r="E71" i="11" s="1"/>
  <c r="BR72" i="11"/>
  <c r="BS72" i="11" s="1"/>
  <c r="BQ46" i="11"/>
  <c r="R71" i="11"/>
  <c r="S71" i="11" s="1"/>
  <c r="DY72" i="11"/>
  <c r="EE72" i="11" s="1"/>
  <c r="EK72" i="11" s="1"/>
  <c r="ES72" i="11" s="1"/>
  <c r="EY72" i="11" s="1"/>
  <c r="FE72" i="11" s="1"/>
  <c r="FK72" i="11" s="1"/>
  <c r="DQ72" i="11"/>
  <c r="BR76" i="11"/>
  <c r="BS76" i="11" s="1"/>
  <c r="DY78" i="11"/>
  <c r="EE78" i="11" s="1"/>
  <c r="EK78" i="11" s="1"/>
  <c r="ES78" i="11" s="1"/>
  <c r="EY78" i="11" s="1"/>
  <c r="FE78" i="11" s="1"/>
  <c r="FK78" i="11" s="1"/>
  <c r="DQ78" i="11"/>
  <c r="BF71" i="11"/>
  <c r="DY76" i="11"/>
  <c r="EE76" i="11" s="1"/>
  <c r="EK76" i="11" s="1"/>
  <c r="ES76" i="11" s="1"/>
  <c r="EY76" i="11" s="1"/>
  <c r="FE76" i="11" s="1"/>
  <c r="FK76" i="11" s="1"/>
  <c r="FL76" i="11" s="1"/>
  <c r="FM76" i="11" s="1"/>
  <c r="DQ76" i="11"/>
  <c r="R76" i="11"/>
  <c r="S76" i="11" s="1"/>
  <c r="X75" i="11"/>
  <c r="Y75" i="11" s="1"/>
  <c r="X72" i="11"/>
  <c r="Y72" i="11" s="1"/>
  <c r="AL73" i="11"/>
  <c r="AM73" i="11" s="1"/>
  <c r="D78" i="11"/>
  <c r="E78" i="11" s="1"/>
  <c r="D72" i="11"/>
  <c r="E72" i="11" s="1"/>
  <c r="D73" i="11"/>
  <c r="E73" i="11" s="1"/>
  <c r="X76" i="11"/>
  <c r="Y76" i="11" s="1"/>
  <c r="AR71" i="11"/>
  <c r="AS71" i="11" s="1"/>
  <c r="AL77" i="11"/>
  <c r="AM77" i="11" s="1"/>
  <c r="AL74" i="11"/>
  <c r="AM74" i="11" s="1"/>
  <c r="J78" i="11"/>
  <c r="K78" i="11" s="1"/>
  <c r="X74" i="11"/>
  <c r="Y74" i="11" s="1"/>
  <c r="AL76" i="11"/>
  <c r="AM76" i="11" s="1"/>
  <c r="X71" i="11"/>
  <c r="Y71" i="11" s="1"/>
  <c r="D74" i="11"/>
  <c r="E74" i="11" s="1"/>
  <c r="D76" i="11"/>
  <c r="E76" i="11" s="1"/>
  <c r="R72" i="11"/>
  <c r="S72" i="11" s="1"/>
  <c r="J76" i="11"/>
  <c r="K76" i="11" s="1"/>
  <c r="J73" i="11"/>
  <c r="K73" i="11" s="1"/>
  <c r="R74" i="11"/>
  <c r="S74" i="11" s="1"/>
  <c r="J77" i="11"/>
  <c r="K77" i="11" s="1"/>
  <c r="J71" i="11"/>
  <c r="K71" i="11" s="1"/>
  <c r="D77" i="11"/>
  <c r="E77" i="11" s="1"/>
  <c r="AR76" i="11"/>
  <c r="AS76" i="11" s="1"/>
  <c r="D75" i="11"/>
  <c r="E75" i="11" s="1"/>
  <c r="R73" i="11"/>
  <c r="S73" i="11" s="1"/>
  <c r="R75" i="11"/>
  <c r="S75" i="11" s="1"/>
  <c r="X77" i="11"/>
  <c r="Y77" i="11" s="1"/>
  <c r="J72" i="11"/>
  <c r="K72" i="11" s="1"/>
  <c r="J74" i="11"/>
  <c r="K74" i="11" s="1"/>
  <c r="AL71" i="11"/>
  <c r="AM71" i="11" s="1"/>
  <c r="X73" i="11"/>
  <c r="Y73" i="11" s="1"/>
  <c r="R78" i="11"/>
  <c r="S78" i="11" s="1"/>
  <c r="R77" i="11"/>
  <c r="S77" i="11" s="1"/>
  <c r="J75" i="11"/>
  <c r="K75" i="11" s="1"/>
  <c r="BL98" i="11"/>
  <c r="BM98" i="11" s="1"/>
  <c r="BG87" i="11"/>
  <c r="AR63" i="11"/>
  <c r="AS63" i="11" s="1"/>
  <c r="BL65" i="11"/>
  <c r="BM65" i="11" s="1"/>
  <c r="BG54" i="11"/>
  <c r="BG43" i="11"/>
  <c r="AL47" i="11"/>
  <c r="AM47" i="11" s="1"/>
  <c r="AR62" i="11"/>
  <c r="AS62" i="11" s="1"/>
  <c r="AL68" i="11"/>
  <c r="AM68" i="11" s="1"/>
  <c r="AR73" i="11"/>
  <c r="AS73" i="11" s="1"/>
  <c r="AL38" i="11"/>
  <c r="AM38" i="11" s="1"/>
  <c r="AL84" i="11"/>
  <c r="AM84" i="11" s="1"/>
  <c r="AR77" i="11"/>
  <c r="AS77" i="11" s="1"/>
  <c r="AL67" i="11"/>
  <c r="AM67" i="11" s="1"/>
  <c r="AR81" i="11"/>
  <c r="AS81" i="11" s="1"/>
  <c r="AR92" i="11"/>
  <c r="AS92" i="11" s="1"/>
  <c r="AR91" i="11"/>
  <c r="AS91" i="11" s="1"/>
  <c r="AR93" i="11"/>
  <c r="AS93" i="11" s="1"/>
  <c r="AL24" i="11"/>
  <c r="AM24" i="11" s="1"/>
  <c r="AL37" i="11"/>
  <c r="AM37" i="11" s="1"/>
  <c r="AL58" i="11"/>
  <c r="AM58" i="11" s="1"/>
  <c r="AR46" i="11"/>
  <c r="AS46" i="11" s="1"/>
  <c r="AL78" i="11"/>
  <c r="AM78" i="11" s="1"/>
  <c r="AL27" i="11"/>
  <c r="AM27" i="11" s="1"/>
  <c r="AL34" i="11"/>
  <c r="AM34" i="11" s="1"/>
  <c r="X83" i="11"/>
  <c r="Y83" i="11" s="1"/>
  <c r="AR53" i="11"/>
  <c r="AS53" i="11" s="1"/>
  <c r="AL72" i="11"/>
  <c r="AM72" i="11" s="1"/>
  <c r="AL44" i="11"/>
  <c r="AM44" i="11" s="1"/>
  <c r="AR36" i="11"/>
  <c r="AS36" i="11" s="1"/>
  <c r="X22" i="11"/>
  <c r="Y22" i="11" s="1"/>
  <c r="X96" i="11"/>
  <c r="Y96" i="11" s="1"/>
  <c r="AL94" i="11"/>
  <c r="AM94" i="11" s="1"/>
  <c r="AL75" i="11"/>
  <c r="AM75" i="11" s="1"/>
  <c r="AL28" i="11"/>
  <c r="AM28" i="11" s="1"/>
  <c r="AR45" i="11"/>
  <c r="AS45" i="11" s="1"/>
  <c r="AR66" i="11"/>
  <c r="AS66" i="11" s="1"/>
  <c r="X64" i="11"/>
  <c r="Y64" i="11" s="1"/>
  <c r="AR52" i="11"/>
  <c r="AS52" i="11" s="1"/>
  <c r="AL26" i="11"/>
  <c r="AM26" i="11" s="1"/>
  <c r="AR25" i="11"/>
  <c r="AS25" i="11" s="1"/>
  <c r="AL35" i="11"/>
  <c r="AM35" i="11" s="1"/>
  <c r="AR74" i="11"/>
  <c r="AS74" i="11" s="1"/>
  <c r="AL86" i="11"/>
  <c r="AM86" i="11" s="1"/>
  <c r="AL55" i="11"/>
  <c r="AM55" i="11" s="1"/>
  <c r="AR95" i="11"/>
  <c r="AS95" i="11" s="1"/>
  <c r="AR33" i="11"/>
  <c r="AS33" i="11" s="1"/>
  <c r="CH82" i="9"/>
  <c r="CI82" i="9" s="1"/>
  <c r="AA78" i="9"/>
  <c r="AA73" i="9"/>
  <c r="AA24" i="9"/>
  <c r="AG21" i="9"/>
  <c r="AG48" i="9"/>
  <c r="AG67" i="9"/>
  <c r="Z43" i="9"/>
  <c r="AA43" i="9" s="1"/>
  <c r="Z65" i="9"/>
  <c r="AA65" i="9" s="1"/>
  <c r="AA36" i="9"/>
  <c r="AT28" i="9"/>
  <c r="AU28" i="9" s="1"/>
  <c r="AF88" i="9"/>
  <c r="AG88" i="9" s="1"/>
  <c r="AA56" i="9"/>
  <c r="AA83" i="9"/>
  <c r="AA47" i="9"/>
  <c r="AG55" i="9"/>
  <c r="AF72" i="9"/>
  <c r="AG72" i="9" s="1"/>
  <c r="Z23" i="9"/>
  <c r="AA23" i="9" s="1"/>
  <c r="AA82" i="9"/>
  <c r="AA77" i="9"/>
  <c r="Z34" i="9"/>
  <c r="AA34" i="9" s="1"/>
  <c r="AA31" i="9"/>
  <c r="AF64" i="9"/>
  <c r="AG64" i="9" s="1"/>
  <c r="AA27" i="9"/>
  <c r="AA81" i="9"/>
  <c r="AL54" i="9"/>
  <c r="AM54" i="9" s="1"/>
  <c r="AF71" i="9"/>
  <c r="AG71" i="9" s="1"/>
  <c r="AF46" i="9"/>
  <c r="AG46" i="9" s="1"/>
  <c r="Z86" i="9"/>
  <c r="AA86" i="9" s="1"/>
  <c r="AA74" i="9"/>
  <c r="AA87" i="9"/>
  <c r="AA61" i="9"/>
  <c r="AF76" i="9"/>
  <c r="AG76" i="9" s="1"/>
  <c r="Z38" i="9"/>
  <c r="AA38" i="9" s="1"/>
  <c r="Z26" i="9"/>
  <c r="AA26" i="9" s="1"/>
  <c r="Z63" i="9"/>
  <c r="AA63" i="9" s="1"/>
  <c r="AG41" i="9"/>
  <c r="AA66" i="9"/>
  <c r="AA51" i="9"/>
  <c r="AF53" i="9"/>
  <c r="AG53" i="9" s="1"/>
  <c r="AF22" i="9"/>
  <c r="AG22" i="9" s="1"/>
  <c r="AA42" i="9"/>
  <c r="AA84" i="9"/>
  <c r="AG35" i="9"/>
  <c r="AA33" i="9"/>
  <c r="AA68" i="9"/>
  <c r="AA58" i="9"/>
  <c r="AA45" i="9"/>
  <c r="Z75" i="9"/>
  <c r="AA75" i="9" s="1"/>
  <c r="Z85" i="9"/>
  <c r="AA85" i="9" s="1"/>
  <c r="AG62" i="9"/>
  <c r="AA25" i="9"/>
  <c r="AA44" i="9"/>
  <c r="AA32" i="9"/>
  <c r="AA37" i="9"/>
  <c r="AG57" i="9"/>
  <c r="AA52" i="9"/>
  <c r="AF98" i="9"/>
  <c r="AG98" i="9" s="1"/>
  <c r="Z98" i="9"/>
  <c r="AA98" i="9" s="1"/>
  <c r="R98" i="9"/>
  <c r="S98" i="9" s="1"/>
  <c r="L98" i="9"/>
  <c r="M98" i="9" s="1"/>
  <c r="Z97" i="9"/>
  <c r="AA97" i="9" s="1"/>
  <c r="R97" i="9"/>
  <c r="S97" i="9" s="1"/>
  <c r="L97" i="9"/>
  <c r="M97" i="9" s="1"/>
  <c r="D98" i="9"/>
  <c r="E98" i="9" s="1"/>
  <c r="Z96" i="9"/>
  <c r="AA96" i="9" s="1"/>
  <c r="R96" i="9"/>
  <c r="S96" i="9" s="1"/>
  <c r="L96" i="9"/>
  <c r="M96" i="9" s="1"/>
  <c r="D97" i="9"/>
  <c r="E97" i="9" s="1"/>
  <c r="Z95" i="9"/>
  <c r="AA95" i="9" s="1"/>
  <c r="R95" i="9"/>
  <c r="S95" i="9" s="1"/>
  <c r="L95" i="9"/>
  <c r="M95" i="9" s="1"/>
  <c r="D96" i="9"/>
  <c r="E96" i="9" s="1"/>
  <c r="AF94" i="9"/>
  <c r="AG94" i="9" s="1"/>
  <c r="Z94" i="9"/>
  <c r="AA94" i="9" s="1"/>
  <c r="R94" i="9"/>
  <c r="S94" i="9" s="1"/>
  <c r="L94" i="9"/>
  <c r="M94" i="9" s="1"/>
  <c r="D95" i="9"/>
  <c r="E95" i="9" s="1"/>
  <c r="AF93" i="9"/>
  <c r="AG93" i="9" s="1"/>
  <c r="Z93" i="9"/>
  <c r="AA93" i="9" s="1"/>
  <c r="R93" i="9"/>
  <c r="S93" i="9" s="1"/>
  <c r="L93" i="9"/>
  <c r="M93" i="9" s="1"/>
  <c r="D94" i="9"/>
  <c r="E94" i="9" s="1"/>
  <c r="Z92" i="9"/>
  <c r="AA92" i="9" s="1"/>
  <c r="R92" i="9"/>
  <c r="S92" i="9" s="1"/>
  <c r="L92" i="9"/>
  <c r="M92" i="9" s="1"/>
  <c r="D93" i="9"/>
  <c r="E93" i="9" s="1"/>
  <c r="AF91" i="9"/>
  <c r="AG91" i="9" s="1"/>
  <c r="Z91" i="9"/>
  <c r="AA91" i="9" s="1"/>
  <c r="R91" i="9"/>
  <c r="S91" i="9" s="1"/>
  <c r="L91" i="9"/>
  <c r="M91" i="9" s="1"/>
  <c r="D92" i="9"/>
  <c r="E92" i="9" s="1"/>
  <c r="D91" i="9"/>
  <c r="E91" i="9" s="1"/>
  <c r="BM28" i="10"/>
  <c r="BF28" i="10"/>
  <c r="BG28" i="10" s="1"/>
  <c r="BE41" i="10"/>
  <c r="AZ41" i="10"/>
  <c r="BA41" i="10" s="1"/>
  <c r="BE33" i="10"/>
  <c r="AZ33" i="10"/>
  <c r="BA33" i="10" s="1"/>
  <c r="AE62" i="10"/>
  <c r="Z62" i="10"/>
  <c r="AA62" i="10" s="1"/>
  <c r="AK61" i="10"/>
  <c r="AF61" i="10"/>
  <c r="AG61" i="10" s="1"/>
  <c r="AE73" i="10"/>
  <c r="Z73" i="10"/>
  <c r="AA73" i="10" s="1"/>
  <c r="AE72" i="10"/>
  <c r="Z72" i="10"/>
  <c r="AA72" i="10" s="1"/>
  <c r="AE82" i="10"/>
  <c r="Z82" i="10"/>
  <c r="AA82" i="10" s="1"/>
  <c r="AK35" i="10"/>
  <c r="AF35" i="10"/>
  <c r="AG35" i="10" s="1"/>
  <c r="BE25" i="10"/>
  <c r="AZ25" i="10"/>
  <c r="BA25" i="10" s="1"/>
  <c r="AE44" i="10"/>
  <c r="Z44" i="10"/>
  <c r="AA44" i="10" s="1"/>
  <c r="AE77" i="10"/>
  <c r="Z77" i="10"/>
  <c r="AA77" i="10" s="1"/>
  <c r="AE32" i="10"/>
  <c r="AF32" i="10" s="1"/>
  <c r="AG32" i="10" s="1"/>
  <c r="Z32" i="10"/>
  <c r="AA32" i="10" s="1"/>
  <c r="AE52" i="10"/>
  <c r="Z52" i="10"/>
  <c r="AA52" i="10" s="1"/>
  <c r="AK98" i="10"/>
  <c r="AF98" i="10"/>
  <c r="AG98" i="10" s="1"/>
  <c r="AK71" i="10"/>
  <c r="AF71" i="10"/>
  <c r="AG71" i="10" s="1"/>
  <c r="AE38" i="10"/>
  <c r="Z38" i="10"/>
  <c r="AA38" i="10" s="1"/>
  <c r="AY26" i="10"/>
  <c r="AT26" i="10"/>
  <c r="AU26" i="10" s="1"/>
  <c r="AK85" i="10"/>
  <c r="AF85" i="10"/>
  <c r="AG85" i="10" s="1"/>
  <c r="AE86" i="10"/>
  <c r="Z86" i="10"/>
  <c r="AA86" i="10" s="1"/>
  <c r="AK65" i="10"/>
  <c r="AF65" i="10"/>
  <c r="AG65" i="10" s="1"/>
  <c r="Z43" i="10"/>
  <c r="AA43" i="10" s="1"/>
  <c r="AE43" i="10"/>
  <c r="AE36" i="10"/>
  <c r="Z36" i="10"/>
  <c r="AA36" i="10" s="1"/>
  <c r="Z92" i="10"/>
  <c r="AA92" i="10" s="1"/>
  <c r="AE92" i="10"/>
  <c r="Z53" i="10"/>
  <c r="AA53" i="10" s="1"/>
  <c r="AE53" i="10"/>
  <c r="Z47" i="10"/>
  <c r="AA47" i="10" s="1"/>
  <c r="AE47" i="10"/>
  <c r="AE97" i="10"/>
  <c r="Z97" i="10"/>
  <c r="AA97" i="10" s="1"/>
  <c r="AE58" i="10"/>
  <c r="Z58" i="10"/>
  <c r="AA58" i="10" s="1"/>
  <c r="AE56" i="10"/>
  <c r="Z56" i="10"/>
  <c r="AA56" i="10" s="1"/>
  <c r="Z67" i="10"/>
  <c r="AA67" i="10" s="1"/>
  <c r="AE67" i="10"/>
  <c r="AS45" i="10"/>
  <c r="AL45" i="10"/>
  <c r="AM45" i="10" s="1"/>
  <c r="BF37" i="10"/>
  <c r="BG37" i="10" s="1"/>
  <c r="BM37" i="10"/>
  <c r="AK78" i="10"/>
  <c r="AF78" i="10"/>
  <c r="AG78" i="10" s="1"/>
  <c r="AE74" i="10"/>
  <c r="Z74" i="10"/>
  <c r="AA74" i="10" s="1"/>
  <c r="AK81" i="10"/>
  <c r="AF81" i="10"/>
  <c r="AG81" i="10" s="1"/>
  <c r="BE63" i="10"/>
  <c r="AZ63" i="10"/>
  <c r="BA63" i="10" s="1"/>
  <c r="BE88" i="10"/>
  <c r="AZ88" i="10"/>
  <c r="BA88" i="10" s="1"/>
  <c r="AE28" i="10"/>
  <c r="AF28" i="10" s="1"/>
  <c r="AG28" i="10" s="1"/>
  <c r="Z28" i="10"/>
  <c r="AA28" i="10" s="1"/>
  <c r="Y95" i="10"/>
  <c r="Z95" i="10" s="1"/>
  <c r="AA95" i="10" s="1"/>
  <c r="R95" i="10"/>
  <c r="S95" i="10" s="1"/>
  <c r="AK31" i="10"/>
  <c r="AF31" i="10"/>
  <c r="AG31" i="10" s="1"/>
  <c r="AK94" i="10"/>
  <c r="AF94" i="10"/>
  <c r="AG94" i="10" s="1"/>
  <c r="Z27" i="10"/>
  <c r="AA27" i="10" s="1"/>
  <c r="AE27" i="10"/>
  <c r="AE64" i="10"/>
  <c r="Z64" i="10"/>
  <c r="AA64" i="10" s="1"/>
  <c r="AY68" i="10"/>
  <c r="AT68" i="10"/>
  <c r="AU68" i="10" s="1"/>
  <c r="AE66" i="10"/>
  <c r="Z66" i="10"/>
  <c r="AA66" i="10" s="1"/>
  <c r="AE34" i="10"/>
  <c r="Z34" i="10"/>
  <c r="AA34" i="10" s="1"/>
  <c r="BM95" i="10"/>
  <c r="BF95" i="10"/>
  <c r="BG95" i="10" s="1"/>
  <c r="BM32" i="10"/>
  <c r="BF32" i="10"/>
  <c r="BG32" i="10" s="1"/>
  <c r="BT22" i="10"/>
  <c r="BU22" i="10" s="1"/>
  <c r="BY22" i="10"/>
  <c r="BZ22" i="10" s="1"/>
  <c r="CA22" i="10" s="1"/>
  <c r="AK51" i="10"/>
  <c r="AF51" i="10"/>
  <c r="AG51" i="10" s="1"/>
  <c r="AK75" i="10"/>
  <c r="AF75" i="10"/>
  <c r="AG75" i="10" s="1"/>
  <c r="AK91" i="10"/>
  <c r="AF91" i="10"/>
  <c r="AG91" i="10" s="1"/>
  <c r="Z96" i="10"/>
  <c r="AA96" i="10" s="1"/>
  <c r="AE96" i="10"/>
  <c r="AS21" i="10"/>
  <c r="AL21" i="10"/>
  <c r="AM21" i="10" s="1"/>
  <c r="AE83" i="10"/>
  <c r="Z83" i="10"/>
  <c r="AA83" i="10" s="1"/>
  <c r="AY48" i="10"/>
  <c r="AT48" i="10"/>
  <c r="AU48" i="10" s="1"/>
  <c r="AS23" i="10"/>
  <c r="AL23" i="10"/>
  <c r="AM23" i="10" s="1"/>
  <c r="AE76" i="10"/>
  <c r="Z76" i="10"/>
  <c r="AA76" i="10" s="1"/>
  <c r="AF46" i="10"/>
  <c r="AG46" i="10" s="1"/>
  <c r="AK46" i="10"/>
  <c r="AK55" i="10"/>
  <c r="AF55" i="10"/>
  <c r="AG55" i="10" s="1"/>
  <c r="AE93" i="10"/>
  <c r="Z93" i="10"/>
  <c r="AA93" i="10" s="1"/>
  <c r="AE87" i="10"/>
  <c r="Z87" i="10"/>
  <c r="AA87" i="10" s="1"/>
  <c r="AE22" i="10"/>
  <c r="Z22" i="10"/>
  <c r="AA22" i="10" s="1"/>
  <c r="AE42" i="10"/>
  <c r="Z42" i="10"/>
  <c r="AA42" i="10" s="1"/>
  <c r="Z57" i="10"/>
  <c r="AA57" i="10" s="1"/>
  <c r="P89" i="10"/>
  <c r="AE57" i="10"/>
  <c r="AE84" i="10"/>
  <c r="Z84" i="10"/>
  <c r="AA84" i="10" s="1"/>
  <c r="AK24" i="10"/>
  <c r="AF24" i="10"/>
  <c r="AG24" i="10" s="1"/>
  <c r="AK54" i="10"/>
  <c r="AF54" i="10"/>
  <c r="AG54" i="10" s="1"/>
  <c r="AF61" i="9"/>
  <c r="BH28" i="9"/>
  <c r="BI28" i="9" s="1"/>
  <c r="AL94" i="9"/>
  <c r="AF92" i="9"/>
  <c r="AL98" i="9"/>
  <c r="AL91" i="9"/>
  <c r="AF97" i="9"/>
  <c r="AF95" i="9"/>
  <c r="AL93" i="9"/>
  <c r="AF96" i="9"/>
  <c r="AY21" i="8"/>
  <c r="AS45" i="8"/>
  <c r="AY45" i="8" s="1"/>
  <c r="BE45" i="8" s="1"/>
  <c r="BF45" i="8" s="1"/>
  <c r="S31" i="8"/>
  <c r="AS28" i="8"/>
  <c r="AT28" i="8" s="1"/>
  <c r="BF26" i="8"/>
  <c r="BM26" i="8"/>
  <c r="BS26" i="8" s="1"/>
  <c r="BY26" i="8" s="1"/>
  <c r="L67" i="8"/>
  <c r="Q67" i="8"/>
  <c r="R67" i="8" s="1"/>
  <c r="BE92" i="8"/>
  <c r="S55" i="8"/>
  <c r="S54" i="8"/>
  <c r="S37" i="8"/>
  <c r="S61" i="8"/>
  <c r="S91" i="8"/>
  <c r="AE41" i="8"/>
  <c r="AF41" i="8" s="1"/>
  <c r="Y52" i="8"/>
  <c r="R52" i="8"/>
  <c r="S52" i="8" s="1"/>
  <c r="L45" i="8"/>
  <c r="Q45" i="8"/>
  <c r="R45" i="8" s="1"/>
  <c r="Z43" i="8"/>
  <c r="R44" i="8"/>
  <c r="Y44" i="8"/>
  <c r="AE44" i="8" s="1"/>
  <c r="Q25" i="8"/>
  <c r="Q27" i="8"/>
  <c r="Q23" i="8"/>
  <c r="R83" i="8"/>
  <c r="Y83" i="8"/>
  <c r="R71" i="8"/>
  <c r="Y71" i="8"/>
  <c r="L96" i="8"/>
  <c r="Q96" i="8"/>
  <c r="R58" i="8"/>
  <c r="S58" i="8" s="1"/>
  <c r="Y58" i="8"/>
  <c r="R47" i="8"/>
  <c r="Y47" i="8"/>
  <c r="AE47" i="8" s="1"/>
  <c r="R75" i="8"/>
  <c r="Y75" i="8"/>
  <c r="R88" i="8"/>
  <c r="Y88" i="8"/>
  <c r="R57" i="8"/>
  <c r="S57" i="8" s="1"/>
  <c r="Y57" i="8"/>
  <c r="Y35" i="8"/>
  <c r="Z35" i="8" s="1"/>
  <c r="R35" i="8"/>
  <c r="S35" i="8" s="1"/>
  <c r="L73" i="8"/>
  <c r="Q73" i="8"/>
  <c r="R42" i="8"/>
  <c r="Y42" i="8"/>
  <c r="L77" i="8"/>
  <c r="Q77" i="8"/>
  <c r="Y51" i="8"/>
  <c r="AE51" i="8" s="1"/>
  <c r="R51" i="8"/>
  <c r="S51" i="8" s="1"/>
  <c r="L95" i="8"/>
  <c r="Q95" i="8"/>
  <c r="R46" i="8"/>
  <c r="Y46" i="8"/>
  <c r="Q24" i="8"/>
  <c r="R53" i="8"/>
  <c r="S53" i="8" s="1"/>
  <c r="Y53" i="8"/>
  <c r="R56" i="8"/>
  <c r="S56" i="8" s="1"/>
  <c r="Y56" i="8"/>
  <c r="Y72" i="8"/>
  <c r="R72" i="8"/>
  <c r="Y32" i="8"/>
  <c r="AE32" i="8" s="1"/>
  <c r="R32" i="8"/>
  <c r="S32" i="8" s="1"/>
  <c r="AY28" i="8"/>
  <c r="BE28" i="8" s="1"/>
  <c r="AT94" i="8"/>
  <c r="AY94" i="8"/>
  <c r="AK41" i="8"/>
  <c r="AK43" i="8"/>
  <c r="AF35" i="8"/>
  <c r="AG35" i="8" s="1"/>
  <c r="AK35" i="8"/>
  <c r="AF31" i="8"/>
  <c r="AG31" i="8" s="1"/>
  <c r="AS31" i="8"/>
  <c r="AY31" i="8" s="1"/>
  <c r="K22" i="8"/>
  <c r="AG37" i="8"/>
  <c r="L44" i="8"/>
  <c r="L23" i="8"/>
  <c r="L24" i="8"/>
  <c r="L25" i="8"/>
  <c r="AS37" i="8"/>
  <c r="AY37" i="8" s="1"/>
  <c r="BE37" i="8" s="1"/>
  <c r="AA37" i="8"/>
  <c r="Z21" i="8"/>
  <c r="AE48" i="8"/>
  <c r="AK48" i="8" s="1"/>
  <c r="Z48" i="8"/>
  <c r="K36" i="8"/>
  <c r="L47" i="8"/>
  <c r="K37" i="8"/>
  <c r="L37" i="8" s="1"/>
  <c r="M37" i="8" s="1"/>
  <c r="K33" i="8"/>
  <c r="Q33" i="8" s="1"/>
  <c r="K34" i="8"/>
  <c r="Z31" i="8"/>
  <c r="AA31" i="8" s="1"/>
  <c r="K38" i="8"/>
  <c r="L27" i="8"/>
  <c r="M32" i="8"/>
  <c r="AF43" i="8"/>
  <c r="M51" i="8"/>
  <c r="E31" i="8"/>
  <c r="M35" i="8"/>
  <c r="M31" i="8"/>
  <c r="E32" i="8"/>
  <c r="E36" i="8"/>
  <c r="M56" i="8"/>
  <c r="E35" i="8"/>
  <c r="E33" i="8"/>
  <c r="E34" i="8"/>
  <c r="E37" i="8"/>
  <c r="M53" i="8"/>
  <c r="E38" i="8"/>
  <c r="M55" i="8"/>
  <c r="M58" i="8"/>
  <c r="M57" i="8"/>
  <c r="M52" i="8"/>
  <c r="M54" i="8"/>
  <c r="AF45" i="8"/>
  <c r="B19" i="8"/>
  <c r="AU26" i="8" s="1"/>
  <c r="G6" i="8"/>
  <c r="G8" i="8"/>
  <c r="G10" i="8"/>
  <c r="G12" i="8"/>
  <c r="G5" i="8"/>
  <c r="G7" i="8"/>
  <c r="B39" i="8" s="1"/>
  <c r="E83" i="8" s="1"/>
  <c r="G9" i="8"/>
  <c r="G11" i="8"/>
  <c r="W128" i="7"/>
  <c r="W127" i="7"/>
  <c r="W126" i="7"/>
  <c r="W125" i="7"/>
  <c r="W124" i="7"/>
  <c r="W123" i="7"/>
  <c r="W122" i="7"/>
  <c r="W121" i="7"/>
  <c r="W118" i="7"/>
  <c r="W117" i="7"/>
  <c r="W116" i="7"/>
  <c r="W115" i="7"/>
  <c r="W114" i="7"/>
  <c r="W113" i="7"/>
  <c r="W112" i="7"/>
  <c r="W111" i="7"/>
  <c r="W108" i="7"/>
  <c r="V108" i="7"/>
  <c r="W107" i="7"/>
  <c r="V107" i="7"/>
  <c r="W106" i="7"/>
  <c r="V106" i="7"/>
  <c r="W105" i="7"/>
  <c r="V105" i="7"/>
  <c r="W104" i="7"/>
  <c r="V104" i="7"/>
  <c r="W103" i="7"/>
  <c r="V103" i="7"/>
  <c r="W102" i="7"/>
  <c r="V102" i="7"/>
  <c r="W101" i="7"/>
  <c r="V101" i="7"/>
  <c r="W98" i="7"/>
  <c r="W97" i="7"/>
  <c r="W96" i="7"/>
  <c r="W95" i="7"/>
  <c r="W94" i="7"/>
  <c r="W93" i="7"/>
  <c r="W92" i="7"/>
  <c r="W91" i="7"/>
  <c r="W88" i="7"/>
  <c r="W87" i="7"/>
  <c r="W86" i="7"/>
  <c r="W85" i="7"/>
  <c r="W84" i="7"/>
  <c r="W83" i="7"/>
  <c r="W82" i="7"/>
  <c r="W81" i="7"/>
  <c r="W78" i="7"/>
  <c r="W77" i="7"/>
  <c r="W76" i="7"/>
  <c r="W75" i="7"/>
  <c r="W74" i="7"/>
  <c r="W73" i="7"/>
  <c r="W72" i="7"/>
  <c r="W71" i="7"/>
  <c r="W68" i="7"/>
  <c r="W67" i="7"/>
  <c r="W66" i="7"/>
  <c r="W65" i="7"/>
  <c r="W64" i="7"/>
  <c r="W63" i="7"/>
  <c r="W62" i="7"/>
  <c r="W61" i="7"/>
  <c r="W58" i="7"/>
  <c r="W57" i="7"/>
  <c r="W56" i="7"/>
  <c r="W55" i="7"/>
  <c r="W54" i="7"/>
  <c r="W53" i="7"/>
  <c r="W52" i="7"/>
  <c r="W51" i="7"/>
  <c r="R127" i="7"/>
  <c r="R126" i="7"/>
  <c r="R125" i="7"/>
  <c r="R124" i="7"/>
  <c r="R123" i="7"/>
  <c r="R122" i="7"/>
  <c r="R121" i="7"/>
  <c r="R118" i="7"/>
  <c r="R116" i="7"/>
  <c r="R115" i="7"/>
  <c r="R114" i="7"/>
  <c r="R113" i="7"/>
  <c r="R112" i="7"/>
  <c r="R111" i="7"/>
  <c r="R108" i="7"/>
  <c r="Q108" i="7"/>
  <c r="R107" i="7"/>
  <c r="Q107" i="7"/>
  <c r="R106" i="7"/>
  <c r="Q106" i="7"/>
  <c r="R105" i="7"/>
  <c r="Q105" i="7"/>
  <c r="R104" i="7"/>
  <c r="Q104" i="7"/>
  <c r="R103" i="7"/>
  <c r="Q103" i="7"/>
  <c r="R102" i="7"/>
  <c r="Q102" i="7"/>
  <c r="R101" i="7"/>
  <c r="Q101" i="7"/>
  <c r="R98" i="7"/>
  <c r="R97" i="7"/>
  <c r="R96" i="7"/>
  <c r="R95" i="7"/>
  <c r="R94" i="7"/>
  <c r="R93" i="7"/>
  <c r="R92" i="7"/>
  <c r="R91" i="7"/>
  <c r="R88" i="7"/>
  <c r="R87" i="7"/>
  <c r="R86" i="7"/>
  <c r="R85" i="7"/>
  <c r="R83" i="7"/>
  <c r="R82" i="7"/>
  <c r="R81" i="7"/>
  <c r="R78" i="7"/>
  <c r="R77" i="7"/>
  <c r="R76" i="7"/>
  <c r="R75" i="7"/>
  <c r="R74" i="7"/>
  <c r="R72" i="7"/>
  <c r="R71" i="7"/>
  <c r="R68" i="7"/>
  <c r="R67" i="7"/>
  <c r="R66" i="7"/>
  <c r="R65" i="7"/>
  <c r="R64" i="7"/>
  <c r="R63" i="7"/>
  <c r="R62" i="7"/>
  <c r="R61" i="7"/>
  <c r="R58" i="7"/>
  <c r="R57" i="7"/>
  <c r="R56" i="7"/>
  <c r="R55" i="7"/>
  <c r="R54" i="7"/>
  <c r="R53" i="7"/>
  <c r="R52" i="7"/>
  <c r="M107" i="7"/>
  <c r="M118" i="7"/>
  <c r="M116" i="7"/>
  <c r="M115" i="7"/>
  <c r="M114" i="7"/>
  <c r="M113" i="7"/>
  <c r="M112" i="7"/>
  <c r="M111" i="7"/>
  <c r="M127" i="7"/>
  <c r="M126" i="7"/>
  <c r="M125" i="7"/>
  <c r="M124" i="7"/>
  <c r="M123" i="7"/>
  <c r="M122" i="7"/>
  <c r="M121" i="7"/>
  <c r="L106" i="7"/>
  <c r="L102" i="7"/>
  <c r="L108" i="7"/>
  <c r="L107" i="7"/>
  <c r="L105" i="7"/>
  <c r="L104" i="7"/>
  <c r="L103" i="7"/>
  <c r="L101" i="7"/>
  <c r="G108" i="7"/>
  <c r="G107" i="7"/>
  <c r="G106" i="7"/>
  <c r="H106" i="7" s="1"/>
  <c r="G105" i="7"/>
  <c r="G104" i="7"/>
  <c r="G103" i="7"/>
  <c r="G102" i="7"/>
  <c r="G101" i="7"/>
  <c r="M101" i="7"/>
  <c r="H101" i="7"/>
  <c r="M108" i="7"/>
  <c r="M106" i="7"/>
  <c r="M105" i="7"/>
  <c r="M104" i="7"/>
  <c r="M103" i="7"/>
  <c r="M102" i="7"/>
  <c r="M98" i="7"/>
  <c r="M97" i="7"/>
  <c r="M96" i="7"/>
  <c r="M94" i="7"/>
  <c r="M93" i="7"/>
  <c r="M92" i="7"/>
  <c r="M91" i="7"/>
  <c r="M88" i="7"/>
  <c r="M87" i="7"/>
  <c r="M86" i="7"/>
  <c r="M85" i="7"/>
  <c r="M83" i="7"/>
  <c r="M82" i="7"/>
  <c r="M81" i="7"/>
  <c r="M78" i="7"/>
  <c r="M77" i="7"/>
  <c r="M76" i="7"/>
  <c r="M75" i="7"/>
  <c r="M74" i="7"/>
  <c r="M72" i="7"/>
  <c r="M71" i="7"/>
  <c r="M61" i="7"/>
  <c r="M68" i="7"/>
  <c r="M67" i="7"/>
  <c r="M66" i="7"/>
  <c r="M65" i="7"/>
  <c r="M64" i="7"/>
  <c r="M63" i="7"/>
  <c r="M58" i="7"/>
  <c r="M57" i="7"/>
  <c r="M56" i="7"/>
  <c r="M55" i="7"/>
  <c r="M54" i="7"/>
  <c r="M53" i="7"/>
  <c r="M52" i="7"/>
  <c r="H127" i="7"/>
  <c r="H126" i="7"/>
  <c r="H125" i="7"/>
  <c r="H124" i="7"/>
  <c r="H123" i="7"/>
  <c r="H122" i="7"/>
  <c r="H121" i="7"/>
  <c r="H118" i="7"/>
  <c r="H116" i="7"/>
  <c r="H115" i="7"/>
  <c r="H114" i="7"/>
  <c r="H113" i="7"/>
  <c r="H112" i="7"/>
  <c r="H111" i="7"/>
  <c r="H108" i="7"/>
  <c r="H107" i="7"/>
  <c r="H105" i="7"/>
  <c r="H104" i="7"/>
  <c r="H103" i="7"/>
  <c r="H102" i="7"/>
  <c r="H98" i="7"/>
  <c r="H97" i="7"/>
  <c r="H96" i="7"/>
  <c r="H94" i="7"/>
  <c r="H93" i="7"/>
  <c r="H92" i="7"/>
  <c r="H91" i="7"/>
  <c r="H88" i="7"/>
  <c r="H87" i="7"/>
  <c r="H86" i="7"/>
  <c r="H85" i="7"/>
  <c r="H83" i="7"/>
  <c r="H82" i="7"/>
  <c r="H81" i="7"/>
  <c r="H71" i="7"/>
  <c r="G81" i="7"/>
  <c r="L81" i="7" s="1"/>
  <c r="Q81" i="7" s="1"/>
  <c r="V81" i="7" s="1"/>
  <c r="H78" i="7"/>
  <c r="H77" i="7"/>
  <c r="H76" i="7"/>
  <c r="H75" i="7"/>
  <c r="H74" i="7"/>
  <c r="H72" i="7"/>
  <c r="H68" i="7"/>
  <c r="H67" i="7"/>
  <c r="H66" i="7"/>
  <c r="H65" i="7"/>
  <c r="H64" i="7"/>
  <c r="H63" i="7"/>
  <c r="H61" i="7"/>
  <c r="G71" i="7"/>
  <c r="L71" i="7" s="1"/>
  <c r="Q71" i="7" s="1"/>
  <c r="V71" i="7" s="1"/>
  <c r="G51" i="7"/>
  <c r="L51" i="7" s="1"/>
  <c r="M51" i="7" s="1"/>
  <c r="G61" i="7"/>
  <c r="L61" i="7" s="1"/>
  <c r="Q61" i="7" s="1"/>
  <c r="V61" i="7" s="1"/>
  <c r="G62" i="7"/>
  <c r="H62" i="7" s="1"/>
  <c r="H52" i="7"/>
  <c r="H58" i="7"/>
  <c r="H57" i="7"/>
  <c r="H56" i="7"/>
  <c r="H55" i="7"/>
  <c r="H54" i="7"/>
  <c r="H53" i="7"/>
  <c r="C128" i="7"/>
  <c r="C127" i="7"/>
  <c r="C126" i="7"/>
  <c r="C125" i="7"/>
  <c r="C124" i="7"/>
  <c r="C123" i="7"/>
  <c r="C122" i="7"/>
  <c r="C118" i="7"/>
  <c r="C117" i="7"/>
  <c r="C116" i="7"/>
  <c r="C115" i="7"/>
  <c r="C114" i="7"/>
  <c r="C113" i="7"/>
  <c r="C112" i="7"/>
  <c r="C108" i="7"/>
  <c r="C107" i="7"/>
  <c r="C106" i="7"/>
  <c r="C105" i="7"/>
  <c r="C104" i="7"/>
  <c r="C103" i="7"/>
  <c r="C102" i="7"/>
  <c r="C98" i="7"/>
  <c r="C97" i="7"/>
  <c r="C96" i="7"/>
  <c r="C95" i="7"/>
  <c r="C94" i="7"/>
  <c r="C93" i="7"/>
  <c r="C92" i="7"/>
  <c r="C88" i="7"/>
  <c r="C87" i="7"/>
  <c r="C86" i="7"/>
  <c r="C85" i="7"/>
  <c r="C84" i="7"/>
  <c r="C83" i="7"/>
  <c r="C82" i="7"/>
  <c r="C78" i="7"/>
  <c r="C77" i="7"/>
  <c r="C76" i="7"/>
  <c r="C75" i="7"/>
  <c r="C74" i="7"/>
  <c r="C73" i="7"/>
  <c r="C72" i="7"/>
  <c r="C68" i="7"/>
  <c r="C67" i="7"/>
  <c r="C66" i="7"/>
  <c r="C65" i="7"/>
  <c r="C64" i="7"/>
  <c r="C63" i="7"/>
  <c r="C62" i="7"/>
  <c r="C58" i="7"/>
  <c r="C57" i="7"/>
  <c r="C56" i="7"/>
  <c r="C55" i="7"/>
  <c r="C54" i="7"/>
  <c r="C53" i="7"/>
  <c r="C52" i="7"/>
  <c r="G128" i="7"/>
  <c r="H128" i="7" s="1"/>
  <c r="G127" i="7"/>
  <c r="L127" i="7" s="1"/>
  <c r="Q127" i="7" s="1"/>
  <c r="V127" i="7" s="1"/>
  <c r="G126" i="7"/>
  <c r="L126" i="7" s="1"/>
  <c r="Q126" i="7" s="1"/>
  <c r="V126" i="7" s="1"/>
  <c r="G125" i="7"/>
  <c r="L125" i="7" s="1"/>
  <c r="Q125" i="7" s="1"/>
  <c r="V125" i="7" s="1"/>
  <c r="G124" i="7"/>
  <c r="L124" i="7" s="1"/>
  <c r="Q124" i="7" s="1"/>
  <c r="V124" i="7" s="1"/>
  <c r="G123" i="7"/>
  <c r="L123" i="7" s="1"/>
  <c r="Q123" i="7" s="1"/>
  <c r="V123" i="7" s="1"/>
  <c r="G122" i="7"/>
  <c r="L122" i="7" s="1"/>
  <c r="Q122" i="7" s="1"/>
  <c r="V122" i="7" s="1"/>
  <c r="G121" i="7"/>
  <c r="L121" i="7" s="1"/>
  <c r="Q121" i="7" s="1"/>
  <c r="V121" i="7" s="1"/>
  <c r="G118" i="7"/>
  <c r="L118" i="7" s="1"/>
  <c r="Q118" i="7" s="1"/>
  <c r="V118" i="7" s="1"/>
  <c r="G117" i="7"/>
  <c r="L117" i="7" s="1"/>
  <c r="G116" i="7"/>
  <c r="L116" i="7" s="1"/>
  <c r="Q116" i="7" s="1"/>
  <c r="V116" i="7" s="1"/>
  <c r="G115" i="7"/>
  <c r="L115" i="7" s="1"/>
  <c r="Q115" i="7" s="1"/>
  <c r="V115" i="7" s="1"/>
  <c r="G114" i="7"/>
  <c r="L114" i="7" s="1"/>
  <c r="Q114" i="7" s="1"/>
  <c r="V114" i="7" s="1"/>
  <c r="G113" i="7"/>
  <c r="L113" i="7" s="1"/>
  <c r="Q113" i="7" s="1"/>
  <c r="V113" i="7" s="1"/>
  <c r="G112" i="7"/>
  <c r="L112" i="7" s="1"/>
  <c r="Q112" i="7" s="1"/>
  <c r="V112" i="7" s="1"/>
  <c r="G111" i="7"/>
  <c r="L111" i="7" s="1"/>
  <c r="Q111" i="7" s="1"/>
  <c r="V111" i="7" s="1"/>
  <c r="G98" i="7"/>
  <c r="L98" i="7" s="1"/>
  <c r="Q98" i="7" s="1"/>
  <c r="V98" i="7" s="1"/>
  <c r="G97" i="7"/>
  <c r="L97" i="7" s="1"/>
  <c r="Q97" i="7" s="1"/>
  <c r="V97" i="7" s="1"/>
  <c r="G96" i="7"/>
  <c r="L96" i="7" s="1"/>
  <c r="Q96" i="7" s="1"/>
  <c r="V96" i="7" s="1"/>
  <c r="G95" i="7"/>
  <c r="L95" i="7" s="1"/>
  <c r="G94" i="7"/>
  <c r="L94" i="7" s="1"/>
  <c r="Q94" i="7" s="1"/>
  <c r="V94" i="7" s="1"/>
  <c r="G93" i="7"/>
  <c r="L93" i="7" s="1"/>
  <c r="Q93" i="7" s="1"/>
  <c r="V93" i="7" s="1"/>
  <c r="G92" i="7"/>
  <c r="L92" i="7" s="1"/>
  <c r="Q92" i="7" s="1"/>
  <c r="V92" i="7" s="1"/>
  <c r="G91" i="7"/>
  <c r="L91" i="7" s="1"/>
  <c r="Q91" i="7" s="1"/>
  <c r="V91" i="7" s="1"/>
  <c r="G88" i="7"/>
  <c r="L88" i="7" s="1"/>
  <c r="Q88" i="7" s="1"/>
  <c r="V88" i="7" s="1"/>
  <c r="G87" i="7"/>
  <c r="L87" i="7" s="1"/>
  <c r="Q87" i="7" s="1"/>
  <c r="V87" i="7" s="1"/>
  <c r="G86" i="7"/>
  <c r="L86" i="7" s="1"/>
  <c r="Q86" i="7" s="1"/>
  <c r="V86" i="7" s="1"/>
  <c r="G85" i="7"/>
  <c r="L85" i="7" s="1"/>
  <c r="Q85" i="7" s="1"/>
  <c r="V85" i="7" s="1"/>
  <c r="G84" i="7"/>
  <c r="L84" i="7" s="1"/>
  <c r="G83" i="7"/>
  <c r="L83" i="7" s="1"/>
  <c r="Q83" i="7" s="1"/>
  <c r="V83" i="7" s="1"/>
  <c r="G82" i="7"/>
  <c r="L82" i="7" s="1"/>
  <c r="Q82" i="7" s="1"/>
  <c r="V82" i="7" s="1"/>
  <c r="G78" i="7"/>
  <c r="L78" i="7" s="1"/>
  <c r="Q78" i="7" s="1"/>
  <c r="V78" i="7" s="1"/>
  <c r="G77" i="7"/>
  <c r="L77" i="7" s="1"/>
  <c r="Q77" i="7" s="1"/>
  <c r="V77" i="7" s="1"/>
  <c r="G76" i="7"/>
  <c r="L76" i="7" s="1"/>
  <c r="Q76" i="7" s="1"/>
  <c r="V76" i="7" s="1"/>
  <c r="G75" i="7"/>
  <c r="L75" i="7" s="1"/>
  <c r="Q75" i="7" s="1"/>
  <c r="V75" i="7" s="1"/>
  <c r="G74" i="7"/>
  <c r="L74" i="7" s="1"/>
  <c r="Q74" i="7" s="1"/>
  <c r="V74" i="7" s="1"/>
  <c r="G73" i="7"/>
  <c r="L73" i="7" s="1"/>
  <c r="G72" i="7"/>
  <c r="L72" i="7" s="1"/>
  <c r="Q72" i="7" s="1"/>
  <c r="V72" i="7" s="1"/>
  <c r="G68" i="7"/>
  <c r="L68" i="7" s="1"/>
  <c r="Q68" i="7" s="1"/>
  <c r="V68" i="7" s="1"/>
  <c r="G67" i="7"/>
  <c r="L67" i="7" s="1"/>
  <c r="Q67" i="7" s="1"/>
  <c r="V67" i="7" s="1"/>
  <c r="G66" i="7"/>
  <c r="L66" i="7" s="1"/>
  <c r="Q66" i="7" s="1"/>
  <c r="V66" i="7" s="1"/>
  <c r="G65" i="7"/>
  <c r="L65" i="7" s="1"/>
  <c r="Q65" i="7" s="1"/>
  <c r="V65" i="7" s="1"/>
  <c r="G64" i="7"/>
  <c r="L64" i="7" s="1"/>
  <c r="Q64" i="7" s="1"/>
  <c r="V64" i="7" s="1"/>
  <c r="G63" i="7"/>
  <c r="L63" i="7" s="1"/>
  <c r="Q63" i="7" s="1"/>
  <c r="V63" i="7" s="1"/>
  <c r="G58" i="7"/>
  <c r="L58" i="7" s="1"/>
  <c r="Q58" i="7" s="1"/>
  <c r="V58" i="7" s="1"/>
  <c r="G57" i="7"/>
  <c r="L57" i="7" s="1"/>
  <c r="Q57" i="7" s="1"/>
  <c r="V57" i="7" s="1"/>
  <c r="G56" i="7"/>
  <c r="L56" i="7" s="1"/>
  <c r="Q56" i="7" s="1"/>
  <c r="V56" i="7" s="1"/>
  <c r="G55" i="7"/>
  <c r="L55" i="7" s="1"/>
  <c r="Q55" i="7" s="1"/>
  <c r="V55" i="7" s="1"/>
  <c r="G54" i="7"/>
  <c r="L54" i="7" s="1"/>
  <c r="Q54" i="7" s="1"/>
  <c r="V54" i="7" s="1"/>
  <c r="G53" i="7"/>
  <c r="L53" i="7" s="1"/>
  <c r="Q53" i="7" s="1"/>
  <c r="V53" i="7" s="1"/>
  <c r="G52" i="7"/>
  <c r="L52" i="7" s="1"/>
  <c r="Q52" i="7" s="1"/>
  <c r="V52" i="7" s="1"/>
  <c r="J42" i="7"/>
  <c r="I42" i="7"/>
  <c r="H42" i="7"/>
  <c r="G42" i="7"/>
  <c r="F42" i="7"/>
  <c r="E42" i="7"/>
  <c r="D42" i="7"/>
  <c r="C42" i="7"/>
  <c r="J41" i="7"/>
  <c r="I41" i="7"/>
  <c r="H41" i="7"/>
  <c r="G41" i="7"/>
  <c r="F41" i="7"/>
  <c r="E41" i="7"/>
  <c r="D41" i="7"/>
  <c r="C41" i="7"/>
  <c r="J40" i="7"/>
  <c r="I40" i="7"/>
  <c r="H40" i="7"/>
  <c r="G40" i="7"/>
  <c r="F40" i="7"/>
  <c r="E40" i="7"/>
  <c r="D40" i="7"/>
  <c r="C40" i="7"/>
  <c r="J39" i="7"/>
  <c r="I39" i="7"/>
  <c r="H39" i="7"/>
  <c r="G39" i="7"/>
  <c r="F39" i="7"/>
  <c r="E39" i="7"/>
  <c r="D39" i="7"/>
  <c r="C39" i="7"/>
  <c r="J38" i="7"/>
  <c r="I38" i="7"/>
  <c r="H38" i="7"/>
  <c r="G38" i="7"/>
  <c r="F38" i="7"/>
  <c r="E38" i="7"/>
  <c r="D38" i="7"/>
  <c r="C38" i="7"/>
  <c r="J37" i="7"/>
  <c r="I37" i="7"/>
  <c r="H37" i="7"/>
  <c r="G37" i="7"/>
  <c r="F37" i="7"/>
  <c r="E37" i="7"/>
  <c r="D37" i="7"/>
  <c r="C37" i="7"/>
  <c r="J36" i="7"/>
  <c r="I36" i="7"/>
  <c r="H36" i="7"/>
  <c r="G36" i="7"/>
  <c r="F36" i="7"/>
  <c r="E36" i="7"/>
  <c r="D36" i="7"/>
  <c r="C36" i="7"/>
  <c r="J35" i="7"/>
  <c r="I35" i="7"/>
  <c r="H35" i="7"/>
  <c r="G35" i="7"/>
  <c r="F35" i="7"/>
  <c r="E35" i="7"/>
  <c r="D35" i="7"/>
  <c r="C35" i="7"/>
  <c r="F33" i="7"/>
  <c r="F32" i="7"/>
  <c r="F31" i="7"/>
  <c r="F30" i="7"/>
  <c r="I29" i="7"/>
  <c r="F29" i="7"/>
  <c r="F28" i="7"/>
  <c r="F27" i="7"/>
  <c r="F26" i="7"/>
  <c r="E22" i="7"/>
  <c r="F22" i="7" s="1"/>
  <c r="L21" i="7"/>
  <c r="E21" i="7"/>
  <c r="F21" i="7" s="1"/>
  <c r="L20" i="7"/>
  <c r="E20" i="7"/>
  <c r="F20" i="7" s="1"/>
  <c r="L19" i="7"/>
  <c r="E19" i="7"/>
  <c r="F19" i="7" s="1"/>
  <c r="L18" i="7"/>
  <c r="E18" i="7"/>
  <c r="F18" i="7" s="1"/>
  <c r="L17" i="7"/>
  <c r="E17" i="7"/>
  <c r="F17" i="7" s="1"/>
  <c r="L16" i="7"/>
  <c r="E16" i="7"/>
  <c r="F16" i="7" s="1"/>
  <c r="L15" i="7"/>
  <c r="E15" i="7"/>
  <c r="F15" i="7" s="1"/>
  <c r="L14" i="7"/>
  <c r="L12" i="7"/>
  <c r="D120" i="7" s="1"/>
  <c r="F120" i="7" s="1"/>
  <c r="K120" i="7" s="1"/>
  <c r="E12" i="7"/>
  <c r="L11" i="7"/>
  <c r="D110" i="7" s="1"/>
  <c r="F110" i="7" s="1"/>
  <c r="K110" i="7" s="1"/>
  <c r="E11" i="7"/>
  <c r="L10" i="7"/>
  <c r="D100" i="7" s="1"/>
  <c r="F100" i="7" s="1"/>
  <c r="K100" i="7" s="1"/>
  <c r="E10" i="7"/>
  <c r="L9" i="7"/>
  <c r="D90" i="7" s="1"/>
  <c r="F90" i="7" s="1"/>
  <c r="K90" i="7" s="1"/>
  <c r="E9" i="7"/>
  <c r="L8" i="7"/>
  <c r="D80" i="7" s="1"/>
  <c r="F80" i="7" s="1"/>
  <c r="K80" i="7" s="1"/>
  <c r="E8" i="7"/>
  <c r="L7" i="7"/>
  <c r="D70" i="7" s="1"/>
  <c r="F70" i="7" s="1"/>
  <c r="K70" i="7" s="1"/>
  <c r="U70" i="7" s="1"/>
  <c r="Z70" i="7" s="1"/>
  <c r="AB70" i="7" s="1"/>
  <c r="AD70" i="7" s="1"/>
  <c r="E7" i="7"/>
  <c r="L6" i="7"/>
  <c r="D60" i="7" s="1"/>
  <c r="F60" i="7" s="1"/>
  <c r="K60" i="7" s="1"/>
  <c r="E6" i="7"/>
  <c r="L5" i="7"/>
  <c r="D50" i="7" s="1"/>
  <c r="F50" i="7" s="1"/>
  <c r="K50" i="7" s="1"/>
  <c r="U50" i="7" s="1"/>
  <c r="Z50" i="7" s="1"/>
  <c r="AB50" i="7" s="1"/>
  <c r="AD50" i="7" s="1"/>
  <c r="E5" i="7"/>
  <c r="O130" i="6"/>
  <c r="M130" i="6"/>
  <c r="M129" i="6"/>
  <c r="E129" i="6"/>
  <c r="O128" i="6"/>
  <c r="M128" i="6"/>
  <c r="O126" i="6"/>
  <c r="M126" i="6"/>
  <c r="M125" i="6"/>
  <c r="E125" i="6"/>
  <c r="O124" i="6"/>
  <c r="M124" i="6"/>
  <c r="M123" i="6"/>
  <c r="C116" i="6"/>
  <c r="C113" i="6"/>
  <c r="Q122" i="6"/>
  <c r="O122" i="6"/>
  <c r="M122" i="6"/>
  <c r="K122" i="6"/>
  <c r="I122" i="6"/>
  <c r="G122" i="6"/>
  <c r="E122" i="6"/>
  <c r="C122" i="6"/>
  <c r="Q112" i="6"/>
  <c r="O112" i="6"/>
  <c r="M112" i="6"/>
  <c r="K112" i="6"/>
  <c r="I112" i="6"/>
  <c r="G112" i="6"/>
  <c r="G113" i="6" s="1"/>
  <c r="E112" i="6"/>
  <c r="C112" i="6"/>
  <c r="C102" i="6"/>
  <c r="I120" i="6"/>
  <c r="Q119" i="6"/>
  <c r="K119" i="6"/>
  <c r="I119" i="6"/>
  <c r="I118" i="6"/>
  <c r="I117" i="6"/>
  <c r="I116" i="6"/>
  <c r="O115" i="6"/>
  <c r="I115" i="6"/>
  <c r="E113" i="6"/>
  <c r="E110" i="6"/>
  <c r="M109" i="6"/>
  <c r="G109" i="6"/>
  <c r="E109" i="6"/>
  <c r="E108" i="6"/>
  <c r="E107" i="6"/>
  <c r="E106" i="6"/>
  <c r="K105" i="6"/>
  <c r="E105" i="6"/>
  <c r="C105" i="6"/>
  <c r="G103" i="6"/>
  <c r="C85" i="6"/>
  <c r="Q102" i="6"/>
  <c r="O102" i="6"/>
  <c r="M102" i="6"/>
  <c r="K102" i="6"/>
  <c r="I102" i="6"/>
  <c r="G102" i="6"/>
  <c r="E102" i="6"/>
  <c r="E92" i="6"/>
  <c r="Q100" i="6"/>
  <c r="O100" i="6"/>
  <c r="O99" i="6"/>
  <c r="Q98" i="6"/>
  <c r="O98" i="6"/>
  <c r="O91" i="6"/>
  <c r="Q90" i="6"/>
  <c r="O90" i="6"/>
  <c r="O89" i="6"/>
  <c r="G89" i="6"/>
  <c r="Q82" i="6"/>
  <c r="O82" i="6"/>
  <c r="O81" i="6"/>
  <c r="G81" i="6"/>
  <c r="Q80" i="6"/>
  <c r="O80" i="6"/>
  <c r="O73" i="6"/>
  <c r="Q72" i="6"/>
  <c r="O72" i="6"/>
  <c r="O71" i="6"/>
  <c r="G71" i="6"/>
  <c r="Q64" i="6"/>
  <c r="O64" i="6"/>
  <c r="O63" i="6"/>
  <c r="G63" i="6"/>
  <c r="Q62" i="6"/>
  <c r="O62" i="6"/>
  <c r="Q70" i="6"/>
  <c r="Q61" i="6"/>
  <c r="C56" i="6"/>
  <c r="R52" i="6"/>
  <c r="R51" i="6"/>
  <c r="R50" i="6"/>
  <c r="R49" i="6"/>
  <c r="R48" i="6"/>
  <c r="R47" i="6"/>
  <c r="R46" i="6"/>
  <c r="R45" i="6"/>
  <c r="Q45" i="6"/>
  <c r="Q52" i="6"/>
  <c r="Q51" i="6"/>
  <c r="Q50" i="6"/>
  <c r="Q49" i="6"/>
  <c r="Q48" i="6"/>
  <c r="Q47" i="6"/>
  <c r="Q46" i="6"/>
  <c r="P52" i="6"/>
  <c r="P51" i="6"/>
  <c r="P50" i="6"/>
  <c r="P49" i="6"/>
  <c r="P48" i="6"/>
  <c r="P47" i="6"/>
  <c r="P46" i="6"/>
  <c r="P45" i="6"/>
  <c r="O52" i="6"/>
  <c r="O51" i="6"/>
  <c r="O50" i="6"/>
  <c r="O49" i="6"/>
  <c r="O48" i="6"/>
  <c r="O47" i="6"/>
  <c r="O46" i="6"/>
  <c r="O45" i="6"/>
  <c r="N52" i="6"/>
  <c r="N51" i="6"/>
  <c r="N50" i="6"/>
  <c r="N49" i="6"/>
  <c r="N48" i="6"/>
  <c r="N47" i="6"/>
  <c r="N46" i="6"/>
  <c r="N45" i="6"/>
  <c r="M52" i="6"/>
  <c r="M51" i="6"/>
  <c r="M50" i="6"/>
  <c r="M49" i="6"/>
  <c r="M48" i="6"/>
  <c r="M47" i="6"/>
  <c r="M46" i="6"/>
  <c r="M45" i="6"/>
  <c r="Q92" i="6"/>
  <c r="O92" i="6"/>
  <c r="M92" i="6"/>
  <c r="K92" i="6"/>
  <c r="I92" i="6"/>
  <c r="G92" i="6"/>
  <c r="G99" i="6" s="1"/>
  <c r="C92" i="6"/>
  <c r="C93" i="6" s="1"/>
  <c r="Q83" i="6"/>
  <c r="O83" i="6"/>
  <c r="M83" i="6"/>
  <c r="K83" i="6"/>
  <c r="I83" i="6"/>
  <c r="G83" i="6"/>
  <c r="E83" i="6"/>
  <c r="C83" i="6"/>
  <c r="Q74" i="6"/>
  <c r="O74" i="6"/>
  <c r="M74" i="6"/>
  <c r="K74" i="6"/>
  <c r="I74" i="6"/>
  <c r="G74" i="6"/>
  <c r="E74" i="6"/>
  <c r="C74" i="6"/>
  <c r="C77" i="6" s="1"/>
  <c r="Q65" i="6"/>
  <c r="O65" i="6"/>
  <c r="M65" i="6"/>
  <c r="K65" i="6"/>
  <c r="I65" i="6"/>
  <c r="G65" i="6"/>
  <c r="E65" i="6"/>
  <c r="C65" i="6"/>
  <c r="Q56" i="6"/>
  <c r="O56" i="6"/>
  <c r="M56" i="6"/>
  <c r="K56" i="6"/>
  <c r="I56" i="6"/>
  <c r="G56" i="6"/>
  <c r="E56" i="6"/>
  <c r="C35" i="6"/>
  <c r="J42" i="6"/>
  <c r="I42" i="6"/>
  <c r="H42" i="6"/>
  <c r="G42" i="6"/>
  <c r="F42" i="6"/>
  <c r="E42" i="6"/>
  <c r="D42" i="6"/>
  <c r="C42" i="6"/>
  <c r="J41" i="6"/>
  <c r="I41" i="6"/>
  <c r="H41" i="6"/>
  <c r="G41" i="6"/>
  <c r="F41" i="6"/>
  <c r="E41" i="6"/>
  <c r="D41" i="6"/>
  <c r="C41" i="6"/>
  <c r="J40" i="6"/>
  <c r="I40" i="6"/>
  <c r="H40" i="6"/>
  <c r="G40" i="6"/>
  <c r="F40" i="6"/>
  <c r="E40" i="6"/>
  <c r="D40" i="6"/>
  <c r="C40" i="6"/>
  <c r="J39" i="6"/>
  <c r="I39" i="6"/>
  <c r="H39" i="6"/>
  <c r="G39" i="6"/>
  <c r="F39" i="6"/>
  <c r="E39" i="6"/>
  <c r="D39" i="6"/>
  <c r="C39" i="6"/>
  <c r="J38" i="6"/>
  <c r="I38" i="6"/>
  <c r="H38" i="6"/>
  <c r="G38" i="6"/>
  <c r="F38" i="6"/>
  <c r="E38" i="6"/>
  <c r="D38" i="6"/>
  <c r="C38" i="6"/>
  <c r="J37" i="6"/>
  <c r="I37" i="6"/>
  <c r="H37" i="6"/>
  <c r="G37" i="6"/>
  <c r="F37" i="6"/>
  <c r="E37" i="6"/>
  <c r="D37" i="6"/>
  <c r="C37" i="6"/>
  <c r="J36" i="6"/>
  <c r="I36" i="6"/>
  <c r="H36" i="6"/>
  <c r="G36" i="6"/>
  <c r="F36" i="6"/>
  <c r="E36" i="6"/>
  <c r="D36" i="6"/>
  <c r="C36" i="6"/>
  <c r="J35" i="6"/>
  <c r="I35" i="6"/>
  <c r="H35" i="6"/>
  <c r="G35" i="6"/>
  <c r="F35" i="6"/>
  <c r="E35" i="6"/>
  <c r="D35" i="6"/>
  <c r="I29" i="6"/>
  <c r="L21" i="6"/>
  <c r="L20" i="6"/>
  <c r="L19" i="6"/>
  <c r="L18" i="6"/>
  <c r="L17" i="6"/>
  <c r="L16" i="6"/>
  <c r="L15" i="6"/>
  <c r="L14" i="6"/>
  <c r="L12" i="6"/>
  <c r="L11" i="6"/>
  <c r="L10" i="6"/>
  <c r="L9" i="6"/>
  <c r="L8" i="6"/>
  <c r="L7" i="6"/>
  <c r="L6" i="6"/>
  <c r="L5" i="6"/>
  <c r="F27" i="6"/>
  <c r="F28" i="6"/>
  <c r="F29" i="6"/>
  <c r="F30" i="6"/>
  <c r="F33" i="6"/>
  <c r="F32" i="6"/>
  <c r="F31" i="6"/>
  <c r="F26" i="6"/>
  <c r="E22" i="6"/>
  <c r="F22" i="6" s="1"/>
  <c r="E21" i="6"/>
  <c r="F21" i="6" s="1"/>
  <c r="E20" i="6"/>
  <c r="F20" i="6" s="1"/>
  <c r="E19" i="6"/>
  <c r="F19" i="6" s="1"/>
  <c r="E18" i="6"/>
  <c r="F18" i="6" s="1"/>
  <c r="E17" i="6"/>
  <c r="F17" i="6" s="1"/>
  <c r="E16" i="6"/>
  <c r="F16" i="6" s="1"/>
  <c r="E15" i="6"/>
  <c r="F15" i="6" s="1"/>
  <c r="E12" i="6"/>
  <c r="F12" i="6" s="1"/>
  <c r="E11" i="6"/>
  <c r="F11" i="6" s="1"/>
  <c r="E10" i="6"/>
  <c r="F10" i="6" s="1"/>
  <c r="E9" i="6"/>
  <c r="F9" i="6" s="1"/>
  <c r="E8" i="6"/>
  <c r="F8" i="6" s="1"/>
  <c r="E7" i="6"/>
  <c r="F7" i="6" s="1"/>
  <c r="E6" i="6"/>
  <c r="F6" i="6" s="1"/>
  <c r="E5" i="6"/>
  <c r="F5" i="6" s="1"/>
  <c r="D5" i="1"/>
  <c r="E64" i="5"/>
  <c r="H76" i="5"/>
  <c r="J74" i="5"/>
  <c r="J80" i="5" s="1"/>
  <c r="H70" i="5"/>
  <c r="J68" i="5"/>
  <c r="F68" i="5"/>
  <c r="F74" i="5" s="1"/>
  <c r="G74" i="5" s="1"/>
  <c r="H74" i="5" s="1"/>
  <c r="E68" i="5"/>
  <c r="E74" i="5" s="1"/>
  <c r="E80" i="5" s="1"/>
  <c r="J67" i="5"/>
  <c r="J73" i="5" s="1"/>
  <c r="J79" i="5" s="1"/>
  <c r="F67" i="5"/>
  <c r="F73" i="5" s="1"/>
  <c r="E67" i="5"/>
  <c r="E73" i="5" s="1"/>
  <c r="E79" i="5" s="1"/>
  <c r="J66" i="5"/>
  <c r="J72" i="5" s="1"/>
  <c r="J78" i="5" s="1"/>
  <c r="E66" i="5"/>
  <c r="E72" i="5" s="1"/>
  <c r="E78" i="5" s="1"/>
  <c r="H64" i="5"/>
  <c r="J49" i="5"/>
  <c r="J55" i="5" s="1"/>
  <c r="J61" i="5" s="1"/>
  <c r="J48" i="5"/>
  <c r="J54" i="5" s="1"/>
  <c r="J60" i="5" s="1"/>
  <c r="J47" i="5"/>
  <c r="J53" i="5" s="1"/>
  <c r="J59" i="5" s="1"/>
  <c r="H27" i="5"/>
  <c r="H57" i="5"/>
  <c r="H51" i="5"/>
  <c r="H45" i="5"/>
  <c r="H39" i="5"/>
  <c r="H33" i="5"/>
  <c r="E49" i="5"/>
  <c r="E55" i="5" s="1"/>
  <c r="E61" i="5" s="1"/>
  <c r="E31" i="5"/>
  <c r="E37" i="5" s="1"/>
  <c r="E43" i="5" s="1"/>
  <c r="E48" i="5"/>
  <c r="E54" i="5" s="1"/>
  <c r="E60" i="5" s="1"/>
  <c r="E47" i="5"/>
  <c r="E53" i="5" s="1"/>
  <c r="E59" i="5" s="1"/>
  <c r="E30" i="5"/>
  <c r="E36" i="5" s="1"/>
  <c r="E42" i="5" s="1"/>
  <c r="E29" i="5"/>
  <c r="E35" i="5" s="1"/>
  <c r="E41" i="5" s="1"/>
  <c r="J29" i="5"/>
  <c r="J35" i="5" s="1"/>
  <c r="J41" i="5" s="1"/>
  <c r="J31" i="5"/>
  <c r="J37" i="5" s="1"/>
  <c r="J43" i="5" s="1"/>
  <c r="J30" i="5"/>
  <c r="J36" i="5" s="1"/>
  <c r="J42" i="5" s="1"/>
  <c r="F21" i="5"/>
  <c r="E57" i="5" s="1"/>
  <c r="F20" i="5"/>
  <c r="E51" i="5" s="1"/>
  <c r="F19" i="5"/>
  <c r="E45" i="5" s="1"/>
  <c r="F24" i="5"/>
  <c r="E76" i="5" s="1"/>
  <c r="F23" i="5"/>
  <c r="E70" i="5" s="1"/>
  <c r="F22" i="5"/>
  <c r="F18" i="5"/>
  <c r="E39" i="5" s="1"/>
  <c r="F17" i="5"/>
  <c r="E33" i="5" s="1"/>
  <c r="F16" i="5"/>
  <c r="E27" i="5" s="1"/>
  <c r="E12" i="5"/>
  <c r="F12" i="5" s="1"/>
  <c r="E11" i="5"/>
  <c r="F11" i="5" s="1"/>
  <c r="E10" i="5"/>
  <c r="F10" i="5" s="1"/>
  <c r="E7" i="5"/>
  <c r="F7" i="5" s="1"/>
  <c r="E6" i="5"/>
  <c r="F6" i="5" s="1"/>
  <c r="E5" i="5"/>
  <c r="F5" i="5" s="1"/>
  <c r="C20" i="4"/>
  <c r="C22" i="4"/>
  <c r="C21" i="4"/>
  <c r="C24" i="4"/>
  <c r="C23" i="4"/>
  <c r="E26" i="1"/>
  <c r="E3" i="3"/>
  <c r="E5" i="2"/>
  <c r="E7" i="2"/>
  <c r="E6" i="2"/>
  <c r="E1" i="2"/>
  <c r="F1" i="3"/>
  <c r="C1" i="3"/>
  <c r="F78" i="3"/>
  <c r="F67" i="3"/>
  <c r="F56" i="3"/>
  <c r="F45" i="3"/>
  <c r="F34" i="3"/>
  <c r="F23" i="3"/>
  <c r="C23" i="3"/>
  <c r="K21" i="3"/>
  <c r="K32" i="3" s="1"/>
  <c r="K43" i="3" s="1"/>
  <c r="K54" i="3" s="1"/>
  <c r="K65" i="3" s="1"/>
  <c r="K76" i="3" s="1"/>
  <c r="K87" i="3" s="1"/>
  <c r="F12" i="3"/>
  <c r="K10" i="3"/>
  <c r="J10" i="3"/>
  <c r="J21" i="3" s="1"/>
  <c r="J32" i="3" s="1"/>
  <c r="J43" i="3" s="1"/>
  <c r="J54" i="3" s="1"/>
  <c r="J65" i="3" s="1"/>
  <c r="J76" i="3" s="1"/>
  <c r="J87" i="3" s="1"/>
  <c r="D10" i="3"/>
  <c r="D21" i="3" s="1"/>
  <c r="C10" i="3"/>
  <c r="C21" i="3" s="1"/>
  <c r="C32" i="3" s="1"/>
  <c r="C43" i="3" s="1"/>
  <c r="C54" i="3" s="1"/>
  <c r="C65" i="3" s="1"/>
  <c r="C76" i="3" s="1"/>
  <c r="C87" i="3" s="1"/>
  <c r="K9" i="3"/>
  <c r="K20" i="3" s="1"/>
  <c r="K31" i="3" s="1"/>
  <c r="K42" i="3" s="1"/>
  <c r="K53" i="3" s="1"/>
  <c r="K64" i="3" s="1"/>
  <c r="K75" i="3" s="1"/>
  <c r="K86" i="3" s="1"/>
  <c r="J9" i="3"/>
  <c r="J20" i="3" s="1"/>
  <c r="J31" i="3" s="1"/>
  <c r="J42" i="3" s="1"/>
  <c r="J53" i="3" s="1"/>
  <c r="J64" i="3" s="1"/>
  <c r="J75" i="3" s="1"/>
  <c r="J86" i="3" s="1"/>
  <c r="D9" i="3"/>
  <c r="D20" i="3" s="1"/>
  <c r="E20" i="3" s="1"/>
  <c r="F20" i="3" s="1"/>
  <c r="G20" i="3" s="1"/>
  <c r="C9" i="3"/>
  <c r="C20" i="3" s="1"/>
  <c r="C31" i="3" s="1"/>
  <c r="C42" i="3" s="1"/>
  <c r="C53" i="3" s="1"/>
  <c r="C64" i="3" s="1"/>
  <c r="C75" i="3" s="1"/>
  <c r="C86" i="3" s="1"/>
  <c r="K8" i="3"/>
  <c r="K19" i="3" s="1"/>
  <c r="K30" i="3" s="1"/>
  <c r="K41" i="3" s="1"/>
  <c r="K52" i="3" s="1"/>
  <c r="K63" i="3" s="1"/>
  <c r="K74" i="3" s="1"/>
  <c r="K85" i="3" s="1"/>
  <c r="J8" i="3"/>
  <c r="J19" i="3" s="1"/>
  <c r="J30" i="3" s="1"/>
  <c r="J41" i="3" s="1"/>
  <c r="J52" i="3" s="1"/>
  <c r="J63" i="3" s="1"/>
  <c r="J74" i="3" s="1"/>
  <c r="J85" i="3" s="1"/>
  <c r="D8" i="3"/>
  <c r="D19" i="3" s="1"/>
  <c r="C8" i="3"/>
  <c r="C19" i="3" s="1"/>
  <c r="C30" i="3" s="1"/>
  <c r="C41" i="3" s="1"/>
  <c r="C52" i="3" s="1"/>
  <c r="C63" i="3" s="1"/>
  <c r="C74" i="3" s="1"/>
  <c r="C85" i="3" s="1"/>
  <c r="K7" i="3"/>
  <c r="K18" i="3" s="1"/>
  <c r="K29" i="3" s="1"/>
  <c r="K40" i="3" s="1"/>
  <c r="K51" i="3" s="1"/>
  <c r="K62" i="3" s="1"/>
  <c r="K73" i="3" s="1"/>
  <c r="K84" i="3" s="1"/>
  <c r="J7" i="3"/>
  <c r="J18" i="3" s="1"/>
  <c r="J29" i="3" s="1"/>
  <c r="J40" i="3" s="1"/>
  <c r="J51" i="3" s="1"/>
  <c r="J62" i="3" s="1"/>
  <c r="J73" i="3" s="1"/>
  <c r="J84" i="3" s="1"/>
  <c r="D7" i="3"/>
  <c r="D18" i="3" s="1"/>
  <c r="C7" i="3"/>
  <c r="C18" i="3" s="1"/>
  <c r="C29" i="3" s="1"/>
  <c r="C40" i="3" s="1"/>
  <c r="C51" i="3" s="1"/>
  <c r="C62" i="3" s="1"/>
  <c r="C73" i="3" s="1"/>
  <c r="C84" i="3" s="1"/>
  <c r="K6" i="3"/>
  <c r="K17" i="3" s="1"/>
  <c r="K28" i="3" s="1"/>
  <c r="K39" i="3" s="1"/>
  <c r="K50" i="3" s="1"/>
  <c r="K61" i="3" s="1"/>
  <c r="K72" i="3" s="1"/>
  <c r="K83" i="3" s="1"/>
  <c r="J6" i="3"/>
  <c r="J17" i="3" s="1"/>
  <c r="J28" i="3" s="1"/>
  <c r="J39" i="3" s="1"/>
  <c r="J50" i="3" s="1"/>
  <c r="J61" i="3" s="1"/>
  <c r="J72" i="3" s="1"/>
  <c r="J83" i="3" s="1"/>
  <c r="D6" i="3"/>
  <c r="D17" i="3" s="1"/>
  <c r="C6" i="3"/>
  <c r="C17" i="3" s="1"/>
  <c r="C28" i="3" s="1"/>
  <c r="C39" i="3" s="1"/>
  <c r="C50" i="3" s="1"/>
  <c r="C61" i="3" s="1"/>
  <c r="C72" i="3" s="1"/>
  <c r="C83" i="3" s="1"/>
  <c r="K5" i="3"/>
  <c r="K16" i="3" s="1"/>
  <c r="K27" i="3" s="1"/>
  <c r="K38" i="3" s="1"/>
  <c r="K49" i="3" s="1"/>
  <c r="K60" i="3" s="1"/>
  <c r="K71" i="3" s="1"/>
  <c r="K82" i="3" s="1"/>
  <c r="J5" i="3"/>
  <c r="J16" i="3" s="1"/>
  <c r="J27" i="3" s="1"/>
  <c r="J38" i="3" s="1"/>
  <c r="J49" i="3" s="1"/>
  <c r="J60" i="3" s="1"/>
  <c r="J71" i="3" s="1"/>
  <c r="J82" i="3" s="1"/>
  <c r="D5" i="3"/>
  <c r="D16" i="3" s="1"/>
  <c r="C5" i="3"/>
  <c r="C16" i="3" s="1"/>
  <c r="C27" i="3" s="1"/>
  <c r="C38" i="3" s="1"/>
  <c r="C49" i="3" s="1"/>
  <c r="C60" i="3" s="1"/>
  <c r="C71" i="3" s="1"/>
  <c r="C82" i="3" s="1"/>
  <c r="K4" i="3"/>
  <c r="K15" i="3" s="1"/>
  <c r="K26" i="3" s="1"/>
  <c r="K37" i="3" s="1"/>
  <c r="K48" i="3" s="1"/>
  <c r="K59" i="3" s="1"/>
  <c r="K70" i="3" s="1"/>
  <c r="K81" i="3" s="1"/>
  <c r="J4" i="3"/>
  <c r="J15" i="3" s="1"/>
  <c r="J26" i="3" s="1"/>
  <c r="J37" i="3" s="1"/>
  <c r="J48" i="3" s="1"/>
  <c r="J59" i="3" s="1"/>
  <c r="J70" i="3" s="1"/>
  <c r="J81" i="3" s="1"/>
  <c r="D4" i="3"/>
  <c r="D15" i="3" s="1"/>
  <c r="C4" i="3"/>
  <c r="C15" i="3" s="1"/>
  <c r="C26" i="3" s="1"/>
  <c r="C37" i="3" s="1"/>
  <c r="C48" i="3" s="1"/>
  <c r="C59" i="3" s="1"/>
  <c r="C70" i="3" s="1"/>
  <c r="C81" i="3" s="1"/>
  <c r="K3" i="3"/>
  <c r="K14" i="3" s="1"/>
  <c r="K25" i="3" s="1"/>
  <c r="K36" i="3" s="1"/>
  <c r="K47" i="3" s="1"/>
  <c r="K58" i="3" s="1"/>
  <c r="K69" i="3" s="1"/>
  <c r="K80" i="3" s="1"/>
  <c r="J3" i="3"/>
  <c r="J14" i="3" s="1"/>
  <c r="J25" i="3" s="1"/>
  <c r="J36" i="3" s="1"/>
  <c r="J47" i="3" s="1"/>
  <c r="J58" i="3" s="1"/>
  <c r="J69" i="3" s="1"/>
  <c r="J80" i="3" s="1"/>
  <c r="D3" i="3"/>
  <c r="D14" i="3" s="1"/>
  <c r="C3" i="3"/>
  <c r="C14" i="3" s="1"/>
  <c r="C25" i="3" s="1"/>
  <c r="C36" i="3" s="1"/>
  <c r="C47" i="3" s="1"/>
  <c r="C58" i="3" s="1"/>
  <c r="C69" i="3" s="1"/>
  <c r="C80" i="3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E33" i="1"/>
  <c r="C78" i="3" s="1"/>
  <c r="E32" i="1"/>
  <c r="C67" i="3" s="1"/>
  <c r="E31" i="1"/>
  <c r="C56" i="3" s="1"/>
  <c r="E30" i="1"/>
  <c r="C45" i="3" s="1"/>
  <c r="E29" i="1"/>
  <c r="C34" i="3" s="1"/>
  <c r="E28" i="1"/>
  <c r="E27" i="1"/>
  <c r="C12" i="3" s="1"/>
  <c r="D12" i="1"/>
  <c r="E10" i="3" s="1"/>
  <c r="D11" i="1"/>
  <c r="E9" i="3" s="1"/>
  <c r="F9" i="3" s="1"/>
  <c r="G9" i="3" s="1"/>
  <c r="D10" i="1"/>
  <c r="E8" i="3" s="1"/>
  <c r="F8" i="3" s="1"/>
  <c r="D9" i="1"/>
  <c r="E7" i="3" s="1"/>
  <c r="F7" i="3" s="1"/>
  <c r="D8" i="1"/>
  <c r="E6" i="3" s="1"/>
  <c r="D7" i="1"/>
  <c r="E5" i="3" s="1"/>
  <c r="F5" i="3" s="1"/>
  <c r="D6" i="1"/>
  <c r="E4" i="3" s="1"/>
  <c r="F4" i="3" s="1"/>
  <c r="BR51" i="11" l="1"/>
  <c r="BS51" i="11" s="1"/>
  <c r="BK36" i="11"/>
  <c r="BQ36" i="11" s="1"/>
  <c r="BF36" i="11"/>
  <c r="BF64" i="11"/>
  <c r="BK64" i="11"/>
  <c r="BQ64" i="11" s="1"/>
  <c r="BF58" i="11"/>
  <c r="BK28" i="11"/>
  <c r="BQ28" i="11" s="1"/>
  <c r="BF28" i="11"/>
  <c r="BK31" i="11"/>
  <c r="BQ31" i="11" s="1"/>
  <c r="BF31" i="11"/>
  <c r="BF26" i="11"/>
  <c r="BK26" i="11"/>
  <c r="BQ26" i="11" s="1"/>
  <c r="BK27" i="11"/>
  <c r="BQ27" i="11" s="1"/>
  <c r="BF27" i="11"/>
  <c r="BK55" i="11"/>
  <c r="BQ55" i="11" s="1"/>
  <c r="BF55" i="11"/>
  <c r="BK33" i="11"/>
  <c r="BQ33" i="11" s="1"/>
  <c r="BF33" i="11"/>
  <c r="BK23" i="11"/>
  <c r="BQ23" i="11" s="1"/>
  <c r="BF23" i="11"/>
  <c r="BK38" i="11"/>
  <c r="BQ38" i="11" s="1"/>
  <c r="BF38" i="11"/>
  <c r="BK68" i="11"/>
  <c r="BQ68" i="11" s="1"/>
  <c r="BF68" i="11"/>
  <c r="BK96" i="11"/>
  <c r="BQ96" i="11" s="1"/>
  <c r="BF96" i="11"/>
  <c r="BK22" i="11"/>
  <c r="BQ22" i="11" s="1"/>
  <c r="BF22" i="11"/>
  <c r="BK52" i="11"/>
  <c r="BQ52" i="11" s="1"/>
  <c r="BF52" i="11"/>
  <c r="BK94" i="11"/>
  <c r="BQ94" i="11" s="1"/>
  <c r="BF94" i="11"/>
  <c r="BY58" i="11"/>
  <c r="BK83" i="11"/>
  <c r="BQ83" i="11" s="1"/>
  <c r="BF83" i="11"/>
  <c r="BK35" i="11"/>
  <c r="BQ35" i="11" s="1"/>
  <c r="BF35" i="11"/>
  <c r="BK24" i="11"/>
  <c r="BQ24" i="11" s="1"/>
  <c r="BF24" i="11"/>
  <c r="BF66" i="11"/>
  <c r="BK66" i="11"/>
  <c r="BQ66" i="11" s="1"/>
  <c r="BK91" i="11"/>
  <c r="BQ91" i="11" s="1"/>
  <c r="BF91" i="11"/>
  <c r="BK62" i="11"/>
  <c r="BQ62" i="11" s="1"/>
  <c r="BF62" i="11"/>
  <c r="BK45" i="11"/>
  <c r="BQ45" i="11" s="1"/>
  <c r="BF45" i="11"/>
  <c r="BK25" i="11"/>
  <c r="BQ25" i="11" s="1"/>
  <c r="BR25" i="11" s="1"/>
  <c r="BS25" i="11" s="1"/>
  <c r="BF25" i="11"/>
  <c r="BF61" i="11"/>
  <c r="BK61" i="11"/>
  <c r="BQ61" i="11" s="1"/>
  <c r="BK57" i="11"/>
  <c r="BQ57" i="11" s="1"/>
  <c r="BF57" i="11"/>
  <c r="BF95" i="11"/>
  <c r="BK95" i="11"/>
  <c r="BQ95" i="11" s="1"/>
  <c r="BF81" i="11"/>
  <c r="BK81" i="11"/>
  <c r="BQ81" i="11" s="1"/>
  <c r="AL97" i="11"/>
  <c r="AM97" i="11" s="1"/>
  <c r="BK67" i="11"/>
  <c r="BQ67" i="11" s="1"/>
  <c r="BF67" i="11"/>
  <c r="BF56" i="11"/>
  <c r="BK56" i="11"/>
  <c r="BQ56" i="11" s="1"/>
  <c r="BK42" i="11"/>
  <c r="BF42" i="11"/>
  <c r="BG42" i="11" s="1"/>
  <c r="BK37" i="11"/>
  <c r="BQ37" i="11" s="1"/>
  <c r="BF37" i="11"/>
  <c r="BK53" i="11"/>
  <c r="BQ53" i="11" s="1"/>
  <c r="BF53" i="11"/>
  <c r="BF93" i="11"/>
  <c r="BK93" i="11"/>
  <c r="BQ93" i="11" s="1"/>
  <c r="AL82" i="11"/>
  <c r="AM82" i="11" s="1"/>
  <c r="AQ82" i="11"/>
  <c r="AL85" i="11"/>
  <c r="AM85" i="11" s="1"/>
  <c r="AQ85" i="11"/>
  <c r="AW84" i="11"/>
  <c r="AW86" i="11"/>
  <c r="AW97" i="11"/>
  <c r="ET76" i="11"/>
  <c r="EU76" i="11" s="1"/>
  <c r="FF76" i="11"/>
  <c r="FG76" i="11" s="1"/>
  <c r="EZ76" i="11"/>
  <c r="FA76" i="11" s="1"/>
  <c r="EL76" i="11"/>
  <c r="EM76" i="11" s="1"/>
  <c r="EE43" i="11"/>
  <c r="DZ43" i="11"/>
  <c r="EA43" i="11" s="1"/>
  <c r="EE87" i="11"/>
  <c r="DZ87" i="11"/>
  <c r="EA87" i="11" s="1"/>
  <c r="EK54" i="11"/>
  <c r="EF54" i="11"/>
  <c r="EG54" i="11" s="1"/>
  <c r="CE58" i="11"/>
  <c r="CK58" i="11" s="1"/>
  <c r="CQ58" i="11" s="1"/>
  <c r="CY58" i="11" s="1"/>
  <c r="DE58" i="11" s="1"/>
  <c r="DK58" i="11" s="1"/>
  <c r="BZ58" i="11"/>
  <c r="CA58" i="11" s="1"/>
  <c r="BR66" i="11"/>
  <c r="BS66" i="11" s="1"/>
  <c r="BY66" i="11"/>
  <c r="BR31" i="11"/>
  <c r="BS31" i="11" s="1"/>
  <c r="BY31" i="11"/>
  <c r="BZ34" i="11"/>
  <c r="CA34" i="11" s="1"/>
  <c r="CE34" i="11"/>
  <c r="CK34" i="11" s="1"/>
  <c r="CQ34" i="11" s="1"/>
  <c r="CY34" i="11" s="1"/>
  <c r="DE34" i="11" s="1"/>
  <c r="DK34" i="11" s="1"/>
  <c r="CE92" i="11"/>
  <c r="CK92" i="11" s="1"/>
  <c r="CQ92" i="11" s="1"/>
  <c r="CY92" i="11" s="1"/>
  <c r="DE92" i="11" s="1"/>
  <c r="DK92" i="11" s="1"/>
  <c r="BZ92" i="11"/>
  <c r="CA92" i="11" s="1"/>
  <c r="BR93" i="11"/>
  <c r="BS93" i="11" s="1"/>
  <c r="BY93" i="11"/>
  <c r="CE47" i="11"/>
  <c r="CK47" i="11" s="1"/>
  <c r="CQ47" i="11" s="1"/>
  <c r="CY47" i="11" s="1"/>
  <c r="DE47" i="11" s="1"/>
  <c r="DK47" i="11" s="1"/>
  <c r="BZ47" i="11"/>
  <c r="CA47" i="11" s="1"/>
  <c r="BZ41" i="11"/>
  <c r="CA41" i="11" s="1"/>
  <c r="CE41" i="11"/>
  <c r="CK41" i="11" s="1"/>
  <c r="CQ41" i="11" s="1"/>
  <c r="CY41" i="11" s="1"/>
  <c r="DE41" i="11" s="1"/>
  <c r="DK41" i="11" s="1"/>
  <c r="BR28" i="11"/>
  <c r="BS28" i="11" s="1"/>
  <c r="BY28" i="11"/>
  <c r="CE51" i="11"/>
  <c r="CK51" i="11" s="1"/>
  <c r="CQ51" i="11" s="1"/>
  <c r="CY51" i="11" s="1"/>
  <c r="DE51" i="11" s="1"/>
  <c r="DK51" i="11" s="1"/>
  <c r="BZ51" i="11"/>
  <c r="CA51" i="11" s="1"/>
  <c r="BZ32" i="11"/>
  <c r="CA32" i="11" s="1"/>
  <c r="CE32" i="11"/>
  <c r="BR44" i="11"/>
  <c r="BS44" i="11" s="1"/>
  <c r="BY44" i="11"/>
  <c r="BR67" i="11"/>
  <c r="BS67" i="11" s="1"/>
  <c r="BY67" i="11"/>
  <c r="CE63" i="11"/>
  <c r="CK63" i="11" s="1"/>
  <c r="CQ63" i="11" s="1"/>
  <c r="CY63" i="11" s="1"/>
  <c r="DE63" i="11" s="1"/>
  <c r="DK63" i="11" s="1"/>
  <c r="BZ63" i="11"/>
  <c r="CA63" i="11" s="1"/>
  <c r="BZ88" i="11"/>
  <c r="CA88" i="11" s="1"/>
  <c r="CE88" i="11"/>
  <c r="CK88" i="11" s="1"/>
  <c r="CQ88" i="11" s="1"/>
  <c r="CY88" i="11" s="1"/>
  <c r="DE88" i="11" s="1"/>
  <c r="DK88" i="11" s="1"/>
  <c r="CE48" i="11"/>
  <c r="CK48" i="11" s="1"/>
  <c r="CQ48" i="11" s="1"/>
  <c r="CY48" i="11" s="1"/>
  <c r="DE48" i="11" s="1"/>
  <c r="DK48" i="11" s="1"/>
  <c r="BZ48" i="11"/>
  <c r="CA48" i="11" s="1"/>
  <c r="BR46" i="11"/>
  <c r="BS46" i="11" s="1"/>
  <c r="BY46" i="11"/>
  <c r="BL87" i="11"/>
  <c r="BM87" i="11" s="1"/>
  <c r="BL76" i="11"/>
  <c r="BM76" i="11" s="1"/>
  <c r="BL54" i="11"/>
  <c r="BM54" i="11" s="1"/>
  <c r="BL43" i="11"/>
  <c r="BM43" i="11" s="1"/>
  <c r="AR35" i="11"/>
  <c r="AS35" i="11" s="1"/>
  <c r="BG88" i="11"/>
  <c r="BG51" i="11"/>
  <c r="AL22" i="11"/>
  <c r="AM22" i="11" s="1"/>
  <c r="AR67" i="11"/>
  <c r="AS67" i="11" s="1"/>
  <c r="AR24" i="11"/>
  <c r="AS24" i="11" s="1"/>
  <c r="AR27" i="11"/>
  <c r="AS27" i="11" s="1"/>
  <c r="AR68" i="11"/>
  <c r="AS68" i="11" s="1"/>
  <c r="AL96" i="11"/>
  <c r="AM96" i="11" s="1"/>
  <c r="AR34" i="11"/>
  <c r="AS34" i="11" s="1"/>
  <c r="BG23" i="11"/>
  <c r="BG31" i="11"/>
  <c r="AR78" i="11"/>
  <c r="AS78" i="11" s="1"/>
  <c r="BG61" i="11"/>
  <c r="AR26" i="11"/>
  <c r="AS26" i="11" s="1"/>
  <c r="AR44" i="11"/>
  <c r="AS44" i="11" s="1"/>
  <c r="AR28" i="11"/>
  <c r="AS28" i="11" s="1"/>
  <c r="BG57" i="11"/>
  <c r="AR75" i="11"/>
  <c r="AS75" i="11" s="1"/>
  <c r="BG41" i="11"/>
  <c r="AR47" i="11"/>
  <c r="AS47" i="11" s="1"/>
  <c r="AL83" i="11"/>
  <c r="AM83" i="11" s="1"/>
  <c r="AR58" i="11"/>
  <c r="AS58" i="11" s="1"/>
  <c r="AR84" i="11"/>
  <c r="AS84" i="11" s="1"/>
  <c r="AR55" i="11"/>
  <c r="AS55" i="11" s="1"/>
  <c r="AL64" i="11"/>
  <c r="AM64" i="11" s="1"/>
  <c r="AR94" i="11"/>
  <c r="AS94" i="11" s="1"/>
  <c r="AR72" i="11"/>
  <c r="AS72" i="11" s="1"/>
  <c r="BG71" i="11"/>
  <c r="AR97" i="11"/>
  <c r="AS97" i="11" s="1"/>
  <c r="AR86" i="11"/>
  <c r="AS86" i="11" s="1"/>
  <c r="BG56" i="11"/>
  <c r="AR37" i="11"/>
  <c r="AS37" i="11" s="1"/>
  <c r="BG48" i="11"/>
  <c r="AR38" i="11"/>
  <c r="AS38" i="11" s="1"/>
  <c r="CN82" i="9"/>
  <c r="CO82" i="9" s="1"/>
  <c r="AL21" i="9"/>
  <c r="DT82" i="9"/>
  <c r="DU82" i="9" s="1"/>
  <c r="DN82" i="9"/>
  <c r="DO82" i="9" s="1"/>
  <c r="AF47" i="9"/>
  <c r="AG47" i="9" s="1"/>
  <c r="AF36" i="9"/>
  <c r="AG36" i="9" s="1"/>
  <c r="AF75" i="9"/>
  <c r="AG75" i="9" s="1"/>
  <c r="AF45" i="9"/>
  <c r="AG45" i="9" s="1"/>
  <c r="AF85" i="9"/>
  <c r="AG85" i="9" s="1"/>
  <c r="AF38" i="9"/>
  <c r="AG38" i="9" s="1"/>
  <c r="AF52" i="9"/>
  <c r="AG52" i="9" s="1"/>
  <c r="AF31" i="9"/>
  <c r="AG31" i="9" s="1"/>
  <c r="AL46" i="9"/>
  <c r="AM46" i="9" s="1"/>
  <c r="AF87" i="9"/>
  <c r="AG87" i="9" s="1"/>
  <c r="AF78" i="9"/>
  <c r="AG78" i="9" s="1"/>
  <c r="AL67" i="9"/>
  <c r="AM67" i="9" s="1"/>
  <c r="AF66" i="9"/>
  <c r="AG66" i="9" s="1"/>
  <c r="AF44" i="9"/>
  <c r="AG44" i="9" s="1"/>
  <c r="AL57" i="9"/>
  <c r="AM57" i="9" s="1"/>
  <c r="AL41" i="9"/>
  <c r="AM41" i="9" s="1"/>
  <c r="AF24" i="9"/>
  <c r="AG24" i="9" s="1"/>
  <c r="AF63" i="9"/>
  <c r="AG63" i="9" s="1"/>
  <c r="AF25" i="9"/>
  <c r="AG25" i="9" s="1"/>
  <c r="AL48" i="9"/>
  <c r="AM48" i="9" s="1"/>
  <c r="AF65" i="9"/>
  <c r="AG65" i="9" s="1"/>
  <c r="AL76" i="9"/>
  <c r="AM76" i="9" s="1"/>
  <c r="AL55" i="9"/>
  <c r="AM55" i="9" s="1"/>
  <c r="AL22" i="9"/>
  <c r="AM22" i="9" s="1"/>
  <c r="AF56" i="9"/>
  <c r="AG56" i="9" s="1"/>
  <c r="AL53" i="9"/>
  <c r="AM53" i="9" s="1"/>
  <c r="AF26" i="9"/>
  <c r="AG26" i="9" s="1"/>
  <c r="AF74" i="9"/>
  <c r="AG74" i="9" s="1"/>
  <c r="AF27" i="9"/>
  <c r="AG27" i="9" s="1"/>
  <c r="AM21" i="9"/>
  <c r="AZ28" i="9"/>
  <c r="BA28" i="9" s="1"/>
  <c r="AF84" i="9"/>
  <c r="AG84" i="9" s="1"/>
  <c r="AL62" i="9"/>
  <c r="AM62" i="9" s="1"/>
  <c r="AF37" i="9"/>
  <c r="AG37" i="9" s="1"/>
  <c r="AF43" i="9"/>
  <c r="AG43" i="9" s="1"/>
  <c r="AF82" i="9"/>
  <c r="AG82" i="9" s="1"/>
  <c r="AL35" i="9"/>
  <c r="AM35" i="9" s="1"/>
  <c r="AF58" i="9"/>
  <c r="AG58" i="9" s="1"/>
  <c r="AL88" i="9"/>
  <c r="AM88" i="9" s="1"/>
  <c r="AL72" i="9"/>
  <c r="AM72" i="9" s="1"/>
  <c r="AF86" i="9"/>
  <c r="AG86" i="9" s="1"/>
  <c r="AF83" i="9"/>
  <c r="AG83" i="9" s="1"/>
  <c r="AT54" i="9"/>
  <c r="AU54" i="9" s="1"/>
  <c r="AL71" i="9"/>
  <c r="AM71" i="9" s="1"/>
  <c r="AF77" i="9"/>
  <c r="AG77" i="9" s="1"/>
  <c r="AF34" i="9"/>
  <c r="AG34" i="9" s="1"/>
  <c r="AF68" i="9"/>
  <c r="AG68" i="9" s="1"/>
  <c r="AF42" i="9"/>
  <c r="AG42" i="9" s="1"/>
  <c r="AF51" i="9"/>
  <c r="AG51" i="9" s="1"/>
  <c r="AF33" i="9"/>
  <c r="AG33" i="9" s="1"/>
  <c r="AL64" i="9"/>
  <c r="AM64" i="9" s="1"/>
  <c r="AF73" i="9"/>
  <c r="AG73" i="9" s="1"/>
  <c r="AF23" i="9"/>
  <c r="AG23" i="9" s="1"/>
  <c r="AF32" i="9"/>
  <c r="AG32" i="9" s="1"/>
  <c r="AF81" i="9"/>
  <c r="AG81" i="9" s="1"/>
  <c r="AM98" i="9"/>
  <c r="AM93" i="9"/>
  <c r="AM94" i="9"/>
  <c r="AG92" i="9"/>
  <c r="AG95" i="9"/>
  <c r="AG97" i="9"/>
  <c r="AG96" i="9"/>
  <c r="AM91" i="9"/>
  <c r="AF42" i="10"/>
  <c r="AG42" i="10" s="1"/>
  <c r="AK42" i="10"/>
  <c r="AZ48" i="10"/>
  <c r="BA48" i="10" s="1"/>
  <c r="BE48" i="10"/>
  <c r="BS32" i="10"/>
  <c r="BN32" i="10"/>
  <c r="BO32" i="10" s="1"/>
  <c r="AS31" i="10"/>
  <c r="AL31" i="10"/>
  <c r="AM31" i="10" s="1"/>
  <c r="AL71" i="10"/>
  <c r="AM71" i="10" s="1"/>
  <c r="AS71" i="10"/>
  <c r="AK82" i="10"/>
  <c r="AF82" i="10"/>
  <c r="AG82" i="10" s="1"/>
  <c r="AK22" i="10"/>
  <c r="AF22" i="10"/>
  <c r="AG22" i="10" s="1"/>
  <c r="AK83" i="10"/>
  <c r="AF83" i="10"/>
  <c r="AG83" i="10" s="1"/>
  <c r="BS95" i="10"/>
  <c r="BN95" i="10"/>
  <c r="BO95" i="10" s="1"/>
  <c r="AY45" i="10"/>
  <c r="AT45" i="10"/>
  <c r="AU45" i="10" s="1"/>
  <c r="AK36" i="10"/>
  <c r="AF36" i="10"/>
  <c r="AG36" i="10" s="1"/>
  <c r="AS98" i="10"/>
  <c r="AL98" i="10"/>
  <c r="AM98" i="10" s="1"/>
  <c r="AF72" i="10"/>
  <c r="AG72" i="10" s="1"/>
  <c r="AK72" i="10"/>
  <c r="AK67" i="10"/>
  <c r="AF67" i="10"/>
  <c r="AG67" i="10" s="1"/>
  <c r="AK43" i="10"/>
  <c r="AF43" i="10"/>
  <c r="AG43" i="10" s="1"/>
  <c r="AK92" i="10"/>
  <c r="AF92" i="10"/>
  <c r="AG92" i="10" s="1"/>
  <c r="AK87" i="10"/>
  <c r="AF87" i="10"/>
  <c r="AG87" i="10" s="1"/>
  <c r="AT21" i="10"/>
  <c r="AU21" i="10" s="1"/>
  <c r="AY21" i="10"/>
  <c r="AK34" i="10"/>
  <c r="AF34" i="10"/>
  <c r="AG34" i="10" s="1"/>
  <c r="AF52" i="10"/>
  <c r="AG52" i="10" s="1"/>
  <c r="AK52" i="10"/>
  <c r="AK73" i="10"/>
  <c r="AF73" i="10"/>
  <c r="AG73" i="10" s="1"/>
  <c r="BS37" i="10"/>
  <c r="BN37" i="10"/>
  <c r="BO37" i="10" s="1"/>
  <c r="AK96" i="10"/>
  <c r="AF96" i="10"/>
  <c r="AG96" i="10" s="1"/>
  <c r="AK93" i="10"/>
  <c r="AF93" i="10"/>
  <c r="AG93" i="10" s="1"/>
  <c r="AF66" i="10"/>
  <c r="AG66" i="10" s="1"/>
  <c r="AK66" i="10"/>
  <c r="BM88" i="10"/>
  <c r="BF88" i="10"/>
  <c r="BG88" i="10" s="1"/>
  <c r="AK56" i="10"/>
  <c r="AF56" i="10"/>
  <c r="AG56" i="10" s="1"/>
  <c r="AS65" i="10"/>
  <c r="AL65" i="10"/>
  <c r="AM65" i="10" s="1"/>
  <c r="AS61" i="10"/>
  <c r="AL61" i="10"/>
  <c r="AM61" i="10" s="1"/>
  <c r="AS54" i="10"/>
  <c r="AL54" i="10"/>
  <c r="AM54" i="10" s="1"/>
  <c r="AS55" i="10"/>
  <c r="AL55" i="10"/>
  <c r="AM55" i="10" s="1"/>
  <c r="AS91" i="10"/>
  <c r="AL91" i="10"/>
  <c r="AM91" i="10" s="1"/>
  <c r="AZ68" i="10"/>
  <c r="BA68" i="10" s="1"/>
  <c r="BE68" i="10"/>
  <c r="BF63" i="10"/>
  <c r="BG63" i="10" s="1"/>
  <c r="BM63" i="10"/>
  <c r="AK58" i="10"/>
  <c r="AF58" i="10"/>
  <c r="AG58" i="10" s="1"/>
  <c r="AK86" i="10"/>
  <c r="AF86" i="10"/>
  <c r="AG86" i="10" s="1"/>
  <c r="AK77" i="10"/>
  <c r="AF77" i="10"/>
  <c r="AG77" i="10" s="1"/>
  <c r="AF62" i="10"/>
  <c r="AG62" i="10" s="1"/>
  <c r="AK62" i="10"/>
  <c r="AS24" i="10"/>
  <c r="AL24" i="10"/>
  <c r="AM24" i="10" s="1"/>
  <c r="AS46" i="10"/>
  <c r="AL46" i="10"/>
  <c r="AM46" i="10" s="1"/>
  <c r="AL75" i="10"/>
  <c r="AM75" i="10" s="1"/>
  <c r="AS75" i="10"/>
  <c r="AK64" i="10"/>
  <c r="AF64" i="10"/>
  <c r="AG64" i="10" s="1"/>
  <c r="AL81" i="10"/>
  <c r="AM81" i="10" s="1"/>
  <c r="AS81" i="10"/>
  <c r="AK97" i="10"/>
  <c r="AF97" i="10"/>
  <c r="AG97" i="10" s="1"/>
  <c r="AL85" i="10"/>
  <c r="AM85" i="10" s="1"/>
  <c r="AS85" i="10"/>
  <c r="AK44" i="10"/>
  <c r="AF44" i="10"/>
  <c r="AG44" i="10" s="1"/>
  <c r="BF33" i="10"/>
  <c r="BG33" i="10" s="1"/>
  <c r="BM33" i="10"/>
  <c r="AK84" i="10"/>
  <c r="AF84" i="10"/>
  <c r="AG84" i="10" s="1"/>
  <c r="AK27" i="10"/>
  <c r="AF27" i="10"/>
  <c r="AG27" i="10" s="1"/>
  <c r="AK47" i="10"/>
  <c r="AF47" i="10"/>
  <c r="AG47" i="10" s="1"/>
  <c r="AK57" i="10"/>
  <c r="AF57" i="10"/>
  <c r="AG57" i="10" s="1"/>
  <c r="X89" i="10" s="1"/>
  <c r="AF76" i="10"/>
  <c r="AG76" i="10" s="1"/>
  <c r="AK76" i="10"/>
  <c r="AL51" i="10"/>
  <c r="AM51" i="10" s="1"/>
  <c r="AS51" i="10"/>
  <c r="AK74" i="10"/>
  <c r="AF74" i="10"/>
  <c r="AG74" i="10" s="1"/>
  <c r="BE26" i="10"/>
  <c r="AZ26" i="10"/>
  <c r="BA26" i="10" s="1"/>
  <c r="BM25" i="10"/>
  <c r="BF25" i="10"/>
  <c r="BG25" i="10" s="1"/>
  <c r="BM41" i="10"/>
  <c r="BF41" i="10"/>
  <c r="BG41" i="10" s="1"/>
  <c r="AF53" i="10"/>
  <c r="AG53" i="10" s="1"/>
  <c r="AK53" i="10"/>
  <c r="AY23" i="10"/>
  <c r="AT23" i="10"/>
  <c r="AU23" i="10" s="1"/>
  <c r="AS94" i="10"/>
  <c r="AL94" i="10"/>
  <c r="AM94" i="10" s="1"/>
  <c r="AS78" i="10"/>
  <c r="AL78" i="10"/>
  <c r="AM78" i="10" s="1"/>
  <c r="AK38" i="10"/>
  <c r="AF38" i="10"/>
  <c r="AG38" i="10" s="1"/>
  <c r="AS35" i="10"/>
  <c r="AL35" i="10"/>
  <c r="AM35" i="10" s="1"/>
  <c r="BS28" i="10"/>
  <c r="BN28" i="10"/>
  <c r="BO28" i="10" s="1"/>
  <c r="AG61" i="9"/>
  <c r="BH54" i="9"/>
  <c r="BI54" i="9" s="1"/>
  <c r="AT21" i="9"/>
  <c r="S46" i="8"/>
  <c r="S88" i="8"/>
  <c r="S41" i="8"/>
  <c r="Z44" i="8"/>
  <c r="AA44" i="8" s="1"/>
  <c r="S44" i="8"/>
  <c r="S75" i="8"/>
  <c r="S68" i="8"/>
  <c r="S47" i="8"/>
  <c r="S82" i="8"/>
  <c r="S43" i="8"/>
  <c r="S45" i="8"/>
  <c r="S78" i="8"/>
  <c r="S74" i="8"/>
  <c r="S83" i="8"/>
  <c r="S98" i="8"/>
  <c r="BG45" i="8"/>
  <c r="S65" i="8"/>
  <c r="AS43" i="8"/>
  <c r="AY43" i="8" s="1"/>
  <c r="BE43" i="8" s="1"/>
  <c r="BF43" i="8" s="1"/>
  <c r="BG43" i="8" s="1"/>
  <c r="Z51" i="8"/>
  <c r="AA51" i="8" s="1"/>
  <c r="BM45" i="8"/>
  <c r="S66" i="8"/>
  <c r="S94" i="8"/>
  <c r="S76" i="8"/>
  <c r="S97" i="8"/>
  <c r="S87" i="8"/>
  <c r="S64" i="8"/>
  <c r="AS41" i="8"/>
  <c r="AT41" i="8" s="1"/>
  <c r="AU41" i="8" s="1"/>
  <c r="S81" i="8"/>
  <c r="AZ21" i="8"/>
  <c r="BE21" i="8"/>
  <c r="BM21" i="8" s="1"/>
  <c r="BS21" i="8" s="1"/>
  <c r="BY21" i="8" s="1"/>
  <c r="BF37" i="8"/>
  <c r="BG37" i="8" s="1"/>
  <c r="BM37" i="8"/>
  <c r="BF92" i="8"/>
  <c r="BG92" i="8" s="1"/>
  <c r="BM92" i="8"/>
  <c r="BS92" i="8" s="1"/>
  <c r="BY92" i="8" s="1"/>
  <c r="BF28" i="8"/>
  <c r="BG28" i="8" s="1"/>
  <c r="BM28" i="8"/>
  <c r="BG26" i="8"/>
  <c r="BE31" i="8"/>
  <c r="BM31" i="8" s="1"/>
  <c r="BS31" i="8" s="1"/>
  <c r="BY31" i="8" s="1"/>
  <c r="S21" i="8"/>
  <c r="BE94" i="8"/>
  <c r="S26" i="8"/>
  <c r="S93" i="8"/>
  <c r="S48" i="8"/>
  <c r="S84" i="8"/>
  <c r="S85" i="8"/>
  <c r="S86" i="8"/>
  <c r="S92" i="8"/>
  <c r="S63" i="8"/>
  <c r="S72" i="8"/>
  <c r="S42" i="8"/>
  <c r="S62" i="8"/>
  <c r="S67" i="8"/>
  <c r="S71" i="8"/>
  <c r="S28" i="8"/>
  <c r="Z47" i="8"/>
  <c r="AA47" i="8" s="1"/>
  <c r="R73" i="8"/>
  <c r="S73" i="8" s="1"/>
  <c r="Y73" i="8"/>
  <c r="Q38" i="8"/>
  <c r="AE42" i="8"/>
  <c r="AK42" i="8" s="1"/>
  <c r="Z42" i="8"/>
  <c r="AA42" i="8" s="1"/>
  <c r="Q34" i="8"/>
  <c r="R24" i="8"/>
  <c r="S24" i="8" s="1"/>
  <c r="Y24" i="8"/>
  <c r="AE24" i="8" s="1"/>
  <c r="AK24" i="8" s="1"/>
  <c r="R23" i="8"/>
  <c r="S23" i="8" s="1"/>
  <c r="Y23" i="8"/>
  <c r="AE23" i="8" s="1"/>
  <c r="AK23" i="8" s="1"/>
  <c r="R33" i="8"/>
  <c r="S33" i="8" s="1"/>
  <c r="Y33" i="8"/>
  <c r="AE33" i="8" s="1"/>
  <c r="R77" i="8"/>
  <c r="S77" i="8" s="1"/>
  <c r="Y77" i="8"/>
  <c r="Z46" i="8"/>
  <c r="AA46" i="8" s="1"/>
  <c r="AE46" i="8"/>
  <c r="R27" i="8"/>
  <c r="S27" i="8" s="1"/>
  <c r="Y27" i="8"/>
  <c r="AE27" i="8" s="1"/>
  <c r="AK27" i="8" s="1"/>
  <c r="Q36" i="8"/>
  <c r="R95" i="8"/>
  <c r="S95" i="8" s="1"/>
  <c r="Y95" i="8"/>
  <c r="R25" i="8"/>
  <c r="S25" i="8" s="1"/>
  <c r="Y25" i="8"/>
  <c r="AE25" i="8" s="1"/>
  <c r="AK25" i="8" s="1"/>
  <c r="R96" i="8"/>
  <c r="S96" i="8" s="1"/>
  <c r="Y96" i="8"/>
  <c r="L22" i="8"/>
  <c r="M22" i="8" s="1"/>
  <c r="Q22" i="8"/>
  <c r="Z32" i="8"/>
  <c r="AA32" i="8" s="1"/>
  <c r="AL41" i="8"/>
  <c r="AM41" i="8" s="1"/>
  <c r="AZ28" i="8"/>
  <c r="AK44" i="8"/>
  <c r="AK51" i="8"/>
  <c r="AK47" i="8"/>
  <c r="AF32" i="8"/>
  <c r="AG32" i="8" s="1"/>
  <c r="AK32" i="8"/>
  <c r="AT21" i="8"/>
  <c r="AU21" i="8" s="1"/>
  <c r="AU92" i="8"/>
  <c r="AU94" i="8"/>
  <c r="AU28" i="8"/>
  <c r="AA45" i="8"/>
  <c r="AA41" i="8"/>
  <c r="AF44" i="8"/>
  <c r="AG44" i="8" s="1"/>
  <c r="AA35" i="8"/>
  <c r="Z53" i="8"/>
  <c r="AA53" i="8" s="1"/>
  <c r="AA43" i="8"/>
  <c r="M24" i="8"/>
  <c r="AA48" i="8"/>
  <c r="AF51" i="8"/>
  <c r="AG51" i="8" s="1"/>
  <c r="L34" i="8"/>
  <c r="M34" i="8" s="1"/>
  <c r="AF47" i="8"/>
  <c r="AG47" i="8" s="1"/>
  <c r="AF48" i="8"/>
  <c r="AG48" i="8" s="1"/>
  <c r="L33" i="8"/>
  <c r="M33" i="8" s="1"/>
  <c r="L38" i="8"/>
  <c r="M38" i="8" s="1"/>
  <c r="L36" i="8"/>
  <c r="M36" i="8" s="1"/>
  <c r="F79" i="5"/>
  <c r="G79" i="5" s="1"/>
  <c r="H79" i="5" s="1"/>
  <c r="G73" i="5"/>
  <c r="H73" i="5" s="1"/>
  <c r="G67" i="5"/>
  <c r="H67" i="5" s="1"/>
  <c r="C70" i="6"/>
  <c r="M63" i="6"/>
  <c r="M71" i="6"/>
  <c r="M73" i="6"/>
  <c r="M81" i="6"/>
  <c r="M89" i="6"/>
  <c r="X89" i="6" s="1"/>
  <c r="M91" i="6"/>
  <c r="M99" i="6"/>
  <c r="Q103" i="6"/>
  <c r="Q105" i="6"/>
  <c r="C108" i="6"/>
  <c r="C110" i="6"/>
  <c r="C114" i="6"/>
  <c r="G116" i="6"/>
  <c r="G118" i="6"/>
  <c r="G120" i="6"/>
  <c r="K123" i="6"/>
  <c r="K125" i="6"/>
  <c r="K127" i="6"/>
  <c r="K129" i="6"/>
  <c r="M127" i="6"/>
  <c r="O61" i="6"/>
  <c r="Y60" i="6" s="1"/>
  <c r="C60" i="6"/>
  <c r="Q63" i="6"/>
  <c r="Q71" i="6"/>
  <c r="Q73" i="6"/>
  <c r="Q81" i="6"/>
  <c r="Q89" i="6"/>
  <c r="Q91" i="6"/>
  <c r="Q99" i="6"/>
  <c r="E104" i="6"/>
  <c r="G106" i="6"/>
  <c r="G108" i="6"/>
  <c r="G110" i="6"/>
  <c r="I114" i="6"/>
  <c r="K116" i="6"/>
  <c r="K118" i="6"/>
  <c r="K120" i="6"/>
  <c r="O123" i="6"/>
  <c r="O125" i="6"/>
  <c r="O127" i="6"/>
  <c r="O129" i="6"/>
  <c r="G4" i="3"/>
  <c r="K68" i="5"/>
  <c r="G68" i="5"/>
  <c r="H68" i="5" s="1"/>
  <c r="M61" i="6"/>
  <c r="C62" i="6"/>
  <c r="C64" i="6"/>
  <c r="C72" i="6"/>
  <c r="C80" i="6"/>
  <c r="C82" i="6"/>
  <c r="C90" i="6"/>
  <c r="C98" i="6"/>
  <c r="C100" i="6"/>
  <c r="C96" i="6"/>
  <c r="G104" i="6"/>
  <c r="I106" i="6"/>
  <c r="I108" i="6"/>
  <c r="I110" i="6"/>
  <c r="K114" i="6"/>
  <c r="M116" i="6"/>
  <c r="M118" i="6"/>
  <c r="M120" i="6"/>
  <c r="Q123" i="6"/>
  <c r="Q125" i="6"/>
  <c r="Q127" i="6"/>
  <c r="Q129" i="6"/>
  <c r="G5" i="3"/>
  <c r="K61" i="6"/>
  <c r="E62" i="6"/>
  <c r="T61" i="6" s="1"/>
  <c r="E64" i="6"/>
  <c r="E72" i="6"/>
  <c r="E80" i="6"/>
  <c r="E82" i="6"/>
  <c r="E90" i="6"/>
  <c r="E98" i="6"/>
  <c r="T97" i="6" s="1"/>
  <c r="E100" i="6"/>
  <c r="T99" i="6" s="1"/>
  <c r="C86" i="6"/>
  <c r="I104" i="6"/>
  <c r="K106" i="6"/>
  <c r="K108" i="6"/>
  <c r="K110" i="6"/>
  <c r="M114" i="6"/>
  <c r="O116" i="6"/>
  <c r="O118" i="6"/>
  <c r="O120" i="6"/>
  <c r="C124" i="6"/>
  <c r="C126" i="6"/>
  <c r="C128" i="6"/>
  <c r="C130" i="6"/>
  <c r="G114" i="6"/>
  <c r="F29" i="5"/>
  <c r="G29" i="5" s="1"/>
  <c r="H29" i="5" s="1"/>
  <c r="I61" i="6"/>
  <c r="G62" i="6"/>
  <c r="G64" i="6"/>
  <c r="G72" i="6"/>
  <c r="G80" i="6"/>
  <c r="G82" i="6"/>
  <c r="G90" i="6"/>
  <c r="G98" i="6"/>
  <c r="G100" i="6"/>
  <c r="C59" i="6"/>
  <c r="S58" i="6" s="1"/>
  <c r="K104" i="6"/>
  <c r="M106" i="6"/>
  <c r="M108" i="6"/>
  <c r="M110" i="6"/>
  <c r="O114" i="6"/>
  <c r="Q116" i="6"/>
  <c r="Q118" i="6"/>
  <c r="Q120" i="6"/>
  <c r="E124" i="6"/>
  <c r="E126" i="6"/>
  <c r="E128" i="6"/>
  <c r="E130" i="6"/>
  <c r="G7" i="3"/>
  <c r="F47" i="5"/>
  <c r="G47" i="5" s="1"/>
  <c r="H47" i="5" s="1"/>
  <c r="G61" i="6"/>
  <c r="I62" i="6"/>
  <c r="V61" i="6" s="1"/>
  <c r="I64" i="6"/>
  <c r="I72" i="6"/>
  <c r="I80" i="6"/>
  <c r="I82" i="6"/>
  <c r="I90" i="6"/>
  <c r="I98" i="6"/>
  <c r="I100" i="6"/>
  <c r="C57" i="6"/>
  <c r="M104" i="6"/>
  <c r="O106" i="6"/>
  <c r="O108" i="6"/>
  <c r="O110" i="6"/>
  <c r="Q114" i="6"/>
  <c r="C117" i="6"/>
  <c r="C119" i="6"/>
  <c r="G124" i="6"/>
  <c r="G126" i="6"/>
  <c r="G128" i="6"/>
  <c r="G130" i="6"/>
  <c r="G8" i="3"/>
  <c r="E61" i="6"/>
  <c r="K62" i="6"/>
  <c r="K64" i="6"/>
  <c r="W63" i="6" s="1"/>
  <c r="K72" i="6"/>
  <c r="K80" i="6"/>
  <c r="K82" i="6"/>
  <c r="K90" i="6"/>
  <c r="K98" i="6"/>
  <c r="K100" i="6"/>
  <c r="C58" i="6"/>
  <c r="O104" i="6"/>
  <c r="Q106" i="6"/>
  <c r="Q108" i="6"/>
  <c r="Q110" i="6"/>
  <c r="C115" i="6"/>
  <c r="E117" i="6"/>
  <c r="E119" i="6"/>
  <c r="C103" i="6"/>
  <c r="I124" i="6"/>
  <c r="I126" i="6"/>
  <c r="I128" i="6"/>
  <c r="I130" i="6"/>
  <c r="C61" i="6"/>
  <c r="M62" i="6"/>
  <c r="M64" i="6"/>
  <c r="M72" i="6"/>
  <c r="M80" i="6"/>
  <c r="M82" i="6"/>
  <c r="X81" i="6" s="1"/>
  <c r="M90" i="6"/>
  <c r="M98" i="6"/>
  <c r="M100" i="6"/>
  <c r="C84" i="6"/>
  <c r="Q104" i="6"/>
  <c r="C107" i="6"/>
  <c r="C109" i="6"/>
  <c r="C104" i="6"/>
  <c r="E115" i="6"/>
  <c r="G117" i="6"/>
  <c r="G119" i="6"/>
  <c r="C106" i="6"/>
  <c r="K124" i="6"/>
  <c r="K126" i="6"/>
  <c r="K128" i="6"/>
  <c r="K130" i="6"/>
  <c r="O70" i="6"/>
  <c r="K117" i="6"/>
  <c r="K66" i="5"/>
  <c r="M70" i="6"/>
  <c r="C63" i="6"/>
  <c r="C71" i="6"/>
  <c r="C73" i="6"/>
  <c r="S72" i="6" s="1"/>
  <c r="C81" i="6"/>
  <c r="C89" i="6"/>
  <c r="C91" i="6"/>
  <c r="C99" i="6"/>
  <c r="E103" i="6"/>
  <c r="G105" i="6"/>
  <c r="I107" i="6"/>
  <c r="I109" i="6"/>
  <c r="I113" i="6"/>
  <c r="K115" i="6"/>
  <c r="M117" i="6"/>
  <c r="M119" i="6"/>
  <c r="E114" i="6"/>
  <c r="Q124" i="6"/>
  <c r="Q126" i="6"/>
  <c r="Q128" i="6"/>
  <c r="Q130" i="6"/>
  <c r="G115" i="6"/>
  <c r="G107" i="6"/>
  <c r="K70" i="6"/>
  <c r="E63" i="6"/>
  <c r="E71" i="6"/>
  <c r="E73" i="6"/>
  <c r="E81" i="6"/>
  <c r="E89" i="6"/>
  <c r="T88" i="6" s="1"/>
  <c r="E91" i="6"/>
  <c r="E99" i="6"/>
  <c r="I103" i="6"/>
  <c r="I105" i="6"/>
  <c r="K107" i="6"/>
  <c r="K109" i="6"/>
  <c r="K113" i="6"/>
  <c r="M115" i="6"/>
  <c r="O117" i="6"/>
  <c r="O119" i="6"/>
  <c r="C123" i="6"/>
  <c r="C125" i="6"/>
  <c r="C127" i="6"/>
  <c r="C129" i="6"/>
  <c r="I70" i="6"/>
  <c r="G73" i="6"/>
  <c r="G91" i="6"/>
  <c r="K103" i="6"/>
  <c r="M107" i="6"/>
  <c r="M113" i="6"/>
  <c r="Q117" i="6"/>
  <c r="E123" i="6"/>
  <c r="E127" i="6"/>
  <c r="L7" i="3"/>
  <c r="F66" i="5"/>
  <c r="G70" i="6"/>
  <c r="I63" i="6"/>
  <c r="I71" i="6"/>
  <c r="I73" i="6"/>
  <c r="I81" i="6"/>
  <c r="I89" i="6"/>
  <c r="I91" i="6"/>
  <c r="V90" i="6" s="1"/>
  <c r="I99" i="6"/>
  <c r="M103" i="6"/>
  <c r="M105" i="6"/>
  <c r="O107" i="6"/>
  <c r="O109" i="6"/>
  <c r="O113" i="6"/>
  <c r="Q115" i="6"/>
  <c r="C118" i="6"/>
  <c r="C120" i="6"/>
  <c r="G123" i="6"/>
  <c r="G125" i="6"/>
  <c r="G127" i="6"/>
  <c r="G129" i="6"/>
  <c r="K67" i="5"/>
  <c r="L67" i="5" s="1"/>
  <c r="M67" i="5" s="1"/>
  <c r="E70" i="6"/>
  <c r="K63" i="6"/>
  <c r="K71" i="6"/>
  <c r="K73" i="6"/>
  <c r="K81" i="6"/>
  <c r="K89" i="6"/>
  <c r="K91" i="6"/>
  <c r="K99" i="6"/>
  <c r="W98" i="6" s="1"/>
  <c r="O103" i="6"/>
  <c r="O105" i="6"/>
  <c r="Q107" i="6"/>
  <c r="Q109" i="6"/>
  <c r="Q113" i="6"/>
  <c r="E116" i="6"/>
  <c r="E118" i="6"/>
  <c r="E120" i="6"/>
  <c r="I123" i="6"/>
  <c r="I125" i="6"/>
  <c r="I127" i="6"/>
  <c r="I129" i="6"/>
  <c r="M47" i="8"/>
  <c r="E23" i="8"/>
  <c r="M42" i="8"/>
  <c r="E67" i="8"/>
  <c r="M94" i="8"/>
  <c r="E52" i="8"/>
  <c r="M23" i="8"/>
  <c r="E26" i="8"/>
  <c r="M71" i="8"/>
  <c r="E28" i="8"/>
  <c r="E22" i="8"/>
  <c r="M81" i="8"/>
  <c r="E75" i="8"/>
  <c r="E25" i="8"/>
  <c r="E58" i="8"/>
  <c r="E84" i="8"/>
  <c r="M93" i="8"/>
  <c r="M72" i="8"/>
  <c r="M78" i="8"/>
  <c r="E66" i="8"/>
  <c r="E97" i="8"/>
  <c r="M85" i="8"/>
  <c r="E27" i="8"/>
  <c r="M92" i="8"/>
  <c r="M97" i="8"/>
  <c r="M77" i="8"/>
  <c r="E98" i="8"/>
  <c r="E78" i="8"/>
  <c r="E87" i="8"/>
  <c r="E74" i="8"/>
  <c r="E54" i="8"/>
  <c r="E51" i="8"/>
  <c r="M66" i="8"/>
  <c r="M44" i="8"/>
  <c r="E86" i="8"/>
  <c r="E92" i="8"/>
  <c r="E72" i="8"/>
  <c r="AG43" i="8"/>
  <c r="AG41" i="8"/>
  <c r="M84" i="8"/>
  <c r="E68" i="8"/>
  <c r="M75" i="8"/>
  <c r="E44" i="8"/>
  <c r="E91" i="8"/>
  <c r="E41" i="8"/>
  <c r="E43" i="8"/>
  <c r="E45" i="8"/>
  <c r="M48" i="8"/>
  <c r="E96" i="8"/>
  <c r="E62" i="8"/>
  <c r="M91" i="8"/>
  <c r="M62" i="8"/>
  <c r="E47" i="8"/>
  <c r="E64" i="8"/>
  <c r="E61" i="8"/>
  <c r="E53" i="8"/>
  <c r="E65" i="8"/>
  <c r="M96" i="8"/>
  <c r="M74" i="8"/>
  <c r="M82" i="8"/>
  <c r="E46" i="8"/>
  <c r="M95" i="8"/>
  <c r="M67" i="8"/>
  <c r="M43" i="8"/>
  <c r="M73" i="8"/>
  <c r="M83" i="8"/>
  <c r="AG45" i="8"/>
  <c r="M65" i="8"/>
  <c r="M87" i="8"/>
  <c r="E88" i="8"/>
  <c r="M46" i="8"/>
  <c r="E57" i="8"/>
  <c r="E94" i="8"/>
  <c r="E81" i="8"/>
  <c r="E63" i="8"/>
  <c r="E73" i="8"/>
  <c r="E95" i="8"/>
  <c r="M68" i="8"/>
  <c r="M64" i="8"/>
  <c r="M63" i="8"/>
  <c r="E56" i="8"/>
  <c r="E82" i="8"/>
  <c r="M26" i="8"/>
  <c r="M27" i="8"/>
  <c r="M86" i="8"/>
  <c r="M88" i="8"/>
  <c r="M41" i="8"/>
  <c r="M45" i="8"/>
  <c r="E48" i="8"/>
  <c r="E77" i="8"/>
  <c r="E71" i="8"/>
  <c r="E93" i="8"/>
  <c r="E55" i="8"/>
  <c r="E85" i="8"/>
  <c r="M76" i="8"/>
  <c r="M61" i="8"/>
  <c r="E76" i="8"/>
  <c r="E42" i="8"/>
  <c r="M98" i="8"/>
  <c r="Z28" i="8"/>
  <c r="AA28" i="8" s="1"/>
  <c r="AL45" i="8"/>
  <c r="AM45" i="8" s="1"/>
  <c r="AL43" i="8"/>
  <c r="AM43" i="8" s="1"/>
  <c r="Z94" i="8"/>
  <c r="AA94" i="8" s="1"/>
  <c r="AF92" i="8"/>
  <c r="AG92" i="8" s="1"/>
  <c r="M28" i="8"/>
  <c r="M25" i="8"/>
  <c r="E24" i="8"/>
  <c r="H95" i="7"/>
  <c r="H73" i="7"/>
  <c r="H117" i="7"/>
  <c r="L128" i="7"/>
  <c r="M128" i="7" s="1"/>
  <c r="M84" i="7"/>
  <c r="Q84" i="7"/>
  <c r="K51" i="7"/>
  <c r="N51" i="7" s="1"/>
  <c r="Q117" i="7"/>
  <c r="M117" i="7"/>
  <c r="M95" i="7"/>
  <c r="Q95" i="7"/>
  <c r="V95" i="7" s="1"/>
  <c r="M73" i="7"/>
  <c r="Q73" i="7"/>
  <c r="L62" i="7"/>
  <c r="D51" i="7"/>
  <c r="F51" i="7"/>
  <c r="I51" i="7" s="1"/>
  <c r="H84" i="7"/>
  <c r="Q51" i="7"/>
  <c r="P50" i="7"/>
  <c r="P55" i="7" s="1"/>
  <c r="S55" i="7" s="1"/>
  <c r="H51" i="7"/>
  <c r="U120" i="7"/>
  <c r="Z120" i="7" s="1"/>
  <c r="AB120" i="7" s="1"/>
  <c r="AD120" i="7" s="1"/>
  <c r="AD121" i="7" s="1"/>
  <c r="P120" i="7"/>
  <c r="P121" i="7" s="1"/>
  <c r="S121" i="7" s="1"/>
  <c r="U110" i="7"/>
  <c r="Z110" i="7" s="1"/>
  <c r="AB110" i="7" s="1"/>
  <c r="AD110" i="7" s="1"/>
  <c r="AD117" i="7" s="1"/>
  <c r="P110" i="7"/>
  <c r="P112" i="7" s="1"/>
  <c r="S112" i="7" s="1"/>
  <c r="U100" i="7"/>
  <c r="Z100" i="7" s="1"/>
  <c r="AB100" i="7" s="1"/>
  <c r="AD100" i="7" s="1"/>
  <c r="AD103" i="7" s="1"/>
  <c r="P100" i="7"/>
  <c r="P106" i="7" s="1"/>
  <c r="S106" i="7" s="1"/>
  <c r="K101" i="7"/>
  <c r="N101" i="7" s="1"/>
  <c r="U90" i="7"/>
  <c r="Z90" i="7" s="1"/>
  <c r="AB90" i="7" s="1"/>
  <c r="AD90" i="7" s="1"/>
  <c r="AD92" i="7" s="1"/>
  <c r="P90" i="7"/>
  <c r="P91" i="7" s="1"/>
  <c r="S91" i="7" s="1"/>
  <c r="U80" i="7"/>
  <c r="Z80" i="7" s="1"/>
  <c r="AB80" i="7" s="1"/>
  <c r="AD80" i="7" s="1"/>
  <c r="AD81" i="7" s="1"/>
  <c r="P80" i="7"/>
  <c r="P81" i="7" s="1"/>
  <c r="S81" i="7" s="1"/>
  <c r="P70" i="7"/>
  <c r="P77" i="7" s="1"/>
  <c r="S77" i="7" s="1"/>
  <c r="U60" i="7"/>
  <c r="Z60" i="7" s="1"/>
  <c r="AB60" i="7" s="1"/>
  <c r="AD60" i="7" s="1"/>
  <c r="AD63" i="7" s="1"/>
  <c r="P60" i="7"/>
  <c r="P61" i="7" s="1"/>
  <c r="S61" i="7" s="1"/>
  <c r="D82" i="7"/>
  <c r="D123" i="7"/>
  <c r="D68" i="7"/>
  <c r="D61" i="7"/>
  <c r="D81" i="7"/>
  <c r="D83" i="7"/>
  <c r="D101" i="7"/>
  <c r="F5" i="7"/>
  <c r="D85" i="7"/>
  <c r="K61" i="7"/>
  <c r="D86" i="7"/>
  <c r="D62" i="7"/>
  <c r="D87" i="7"/>
  <c r="K62" i="7"/>
  <c r="D88" i="7"/>
  <c r="D63" i="7"/>
  <c r="K63" i="7"/>
  <c r="D103" i="7"/>
  <c r="D65" i="7"/>
  <c r="D105" i="7"/>
  <c r="K65" i="7"/>
  <c r="D107" i="7"/>
  <c r="D66" i="7"/>
  <c r="D112" i="7"/>
  <c r="D121" i="7"/>
  <c r="K66" i="7"/>
  <c r="D67" i="7"/>
  <c r="D125" i="7"/>
  <c r="K67" i="7"/>
  <c r="D127" i="7"/>
  <c r="F8" i="7"/>
  <c r="F61" i="7"/>
  <c r="F62" i="7"/>
  <c r="F63" i="7"/>
  <c r="F64" i="7"/>
  <c r="F65" i="7"/>
  <c r="F66" i="7"/>
  <c r="F67" i="7"/>
  <c r="F68" i="7"/>
  <c r="F81" i="7"/>
  <c r="F82" i="7"/>
  <c r="F83" i="7"/>
  <c r="F84" i="7"/>
  <c r="F85" i="7"/>
  <c r="F86" i="7"/>
  <c r="F87" i="7"/>
  <c r="F88" i="7"/>
  <c r="F101" i="7"/>
  <c r="I101" i="7" s="1"/>
  <c r="F103" i="7"/>
  <c r="I103" i="7" s="1"/>
  <c r="F105" i="7"/>
  <c r="I105" i="7" s="1"/>
  <c r="F107" i="7"/>
  <c r="I107" i="7" s="1"/>
  <c r="F112" i="7"/>
  <c r="I112" i="7" s="1"/>
  <c r="F114" i="7"/>
  <c r="I114" i="7" s="1"/>
  <c r="F116" i="7"/>
  <c r="I116" i="7" s="1"/>
  <c r="F118" i="7"/>
  <c r="I118" i="7" s="1"/>
  <c r="F121" i="7"/>
  <c r="I121" i="7" s="1"/>
  <c r="F123" i="7"/>
  <c r="I123" i="7" s="1"/>
  <c r="F125" i="7"/>
  <c r="I125" i="7" s="1"/>
  <c r="F127" i="7"/>
  <c r="I127" i="7" s="1"/>
  <c r="K64" i="7"/>
  <c r="K68" i="7"/>
  <c r="K81" i="7"/>
  <c r="K82" i="7"/>
  <c r="K83" i="7"/>
  <c r="K84" i="7"/>
  <c r="K85" i="7"/>
  <c r="K86" i="7"/>
  <c r="K87" i="7"/>
  <c r="K88" i="7"/>
  <c r="K103" i="7"/>
  <c r="N103" i="7" s="1"/>
  <c r="K105" i="7"/>
  <c r="N105" i="7" s="1"/>
  <c r="K107" i="7"/>
  <c r="N107" i="7" s="1"/>
  <c r="K112" i="7"/>
  <c r="N112" i="7" s="1"/>
  <c r="K114" i="7"/>
  <c r="N114" i="7" s="1"/>
  <c r="K116" i="7"/>
  <c r="N116" i="7" s="1"/>
  <c r="K118" i="7"/>
  <c r="N118" i="7" s="1"/>
  <c r="K121" i="7"/>
  <c r="N121" i="7" s="1"/>
  <c r="K123" i="7"/>
  <c r="N123" i="7" s="1"/>
  <c r="K125" i="7"/>
  <c r="N125" i="7" s="1"/>
  <c r="K127" i="7"/>
  <c r="N127" i="7" s="1"/>
  <c r="D84" i="7"/>
  <c r="D118" i="7"/>
  <c r="P63" i="7"/>
  <c r="S63" i="7" s="1"/>
  <c r="P65" i="7"/>
  <c r="S65" i="7" s="1"/>
  <c r="P66" i="7"/>
  <c r="S66" i="7" s="1"/>
  <c r="P67" i="7"/>
  <c r="S67" i="7" s="1"/>
  <c r="P68" i="7"/>
  <c r="S68" i="7" s="1"/>
  <c r="F9" i="7"/>
  <c r="U65" i="7"/>
  <c r="X65" i="7" s="1"/>
  <c r="U66" i="7"/>
  <c r="X66" i="7" s="1"/>
  <c r="U105" i="7"/>
  <c r="X105" i="7" s="1"/>
  <c r="U107" i="7"/>
  <c r="X107" i="7" s="1"/>
  <c r="U121" i="7"/>
  <c r="X121" i="7" s="1"/>
  <c r="Z65" i="7"/>
  <c r="Z101" i="7"/>
  <c r="Z103" i="7"/>
  <c r="Z105" i="7"/>
  <c r="Z107" i="7"/>
  <c r="Z121" i="7"/>
  <c r="Z123" i="7"/>
  <c r="D116" i="7"/>
  <c r="AB125" i="7"/>
  <c r="F10" i="7"/>
  <c r="AD123" i="7"/>
  <c r="AD125" i="7"/>
  <c r="D52" i="7"/>
  <c r="D53" i="7"/>
  <c r="D54" i="7"/>
  <c r="D55" i="7"/>
  <c r="D56" i="7"/>
  <c r="D57" i="7"/>
  <c r="D58" i="7"/>
  <c r="D71" i="7"/>
  <c r="D72" i="7"/>
  <c r="D73" i="7"/>
  <c r="D74" i="7"/>
  <c r="D75" i="7"/>
  <c r="D76" i="7"/>
  <c r="D77" i="7"/>
  <c r="D78" i="7"/>
  <c r="D91" i="7"/>
  <c r="D92" i="7"/>
  <c r="D93" i="7"/>
  <c r="D94" i="7"/>
  <c r="D95" i="7"/>
  <c r="D96" i="7"/>
  <c r="D97" i="7"/>
  <c r="D98" i="7"/>
  <c r="D102" i="7"/>
  <c r="D104" i="7"/>
  <c r="D106" i="7"/>
  <c r="D108" i="7"/>
  <c r="D111" i="7"/>
  <c r="D113" i="7"/>
  <c r="D115" i="7"/>
  <c r="D117" i="7"/>
  <c r="D122" i="7"/>
  <c r="D124" i="7"/>
  <c r="D126" i="7"/>
  <c r="D128" i="7"/>
  <c r="D114" i="7"/>
  <c r="F52" i="7"/>
  <c r="F53" i="7"/>
  <c r="F54" i="7"/>
  <c r="F55" i="7"/>
  <c r="F56" i="7"/>
  <c r="F57" i="7"/>
  <c r="F58" i="7"/>
  <c r="F71" i="7"/>
  <c r="F72" i="7"/>
  <c r="F73" i="7"/>
  <c r="F74" i="7"/>
  <c r="F75" i="7"/>
  <c r="F76" i="7"/>
  <c r="F77" i="7"/>
  <c r="F78" i="7"/>
  <c r="F91" i="7"/>
  <c r="F92" i="7"/>
  <c r="F93" i="7"/>
  <c r="F94" i="7"/>
  <c r="F95" i="7"/>
  <c r="F96" i="7"/>
  <c r="F97" i="7"/>
  <c r="F98" i="7"/>
  <c r="F102" i="7"/>
  <c r="I102" i="7" s="1"/>
  <c r="F104" i="7"/>
  <c r="I104" i="7" s="1"/>
  <c r="F106" i="7"/>
  <c r="I106" i="7" s="1"/>
  <c r="F108" i="7"/>
  <c r="I108" i="7" s="1"/>
  <c r="F111" i="7"/>
  <c r="I111" i="7" s="1"/>
  <c r="F113" i="7"/>
  <c r="I113" i="7" s="1"/>
  <c r="F115" i="7"/>
  <c r="I115" i="7" s="1"/>
  <c r="F117" i="7"/>
  <c r="I117" i="7" s="1"/>
  <c r="F122" i="7"/>
  <c r="I122" i="7" s="1"/>
  <c r="F124" i="7"/>
  <c r="I124" i="7" s="1"/>
  <c r="F126" i="7"/>
  <c r="I126" i="7" s="1"/>
  <c r="F128" i="7"/>
  <c r="I128" i="7" s="1"/>
  <c r="F11" i="7"/>
  <c r="K52" i="7"/>
  <c r="K53" i="7"/>
  <c r="K54" i="7"/>
  <c r="K55" i="7"/>
  <c r="K56" i="7"/>
  <c r="K57" i="7"/>
  <c r="K58" i="7"/>
  <c r="K71" i="7"/>
  <c r="K72" i="7"/>
  <c r="K73" i="7"/>
  <c r="K74" i="7"/>
  <c r="K75" i="7"/>
  <c r="K76" i="7"/>
  <c r="K77" i="7"/>
  <c r="K78" i="7"/>
  <c r="K91" i="7"/>
  <c r="K92" i="7"/>
  <c r="K93" i="7"/>
  <c r="K94" i="7"/>
  <c r="K95" i="7"/>
  <c r="K96" i="7"/>
  <c r="K97" i="7"/>
  <c r="K98" i="7"/>
  <c r="K102" i="7"/>
  <c r="N102" i="7" s="1"/>
  <c r="K104" i="7"/>
  <c r="N104" i="7" s="1"/>
  <c r="K106" i="7"/>
  <c r="N106" i="7" s="1"/>
  <c r="K108" i="7"/>
  <c r="N108" i="7" s="1"/>
  <c r="K111" i="7"/>
  <c r="N111" i="7" s="1"/>
  <c r="K113" i="7"/>
  <c r="N113" i="7" s="1"/>
  <c r="K115" i="7"/>
  <c r="N115" i="7" s="1"/>
  <c r="K117" i="7"/>
  <c r="N117" i="7" s="1"/>
  <c r="K122" i="7"/>
  <c r="N122" i="7" s="1"/>
  <c r="K124" i="7"/>
  <c r="N124" i="7" s="1"/>
  <c r="K126" i="7"/>
  <c r="N126" i="7" s="1"/>
  <c r="K128" i="7"/>
  <c r="N128" i="7" s="1"/>
  <c r="F6" i="7"/>
  <c r="P51" i="7"/>
  <c r="P52" i="7"/>
  <c r="S52" i="7" s="1"/>
  <c r="P53" i="7"/>
  <c r="S53" i="7" s="1"/>
  <c r="P54" i="7"/>
  <c r="S54" i="7" s="1"/>
  <c r="P72" i="7"/>
  <c r="S72" i="7" s="1"/>
  <c r="P73" i="7"/>
  <c r="P75" i="7"/>
  <c r="S75" i="7" s="1"/>
  <c r="P76" i="7"/>
  <c r="S76" i="7" s="1"/>
  <c r="P102" i="7"/>
  <c r="S102" i="7" s="1"/>
  <c r="P104" i="7"/>
  <c r="S104" i="7" s="1"/>
  <c r="P111" i="7"/>
  <c r="S111" i="7" s="1"/>
  <c r="P113" i="7"/>
  <c r="S113" i="7" s="1"/>
  <c r="P115" i="7"/>
  <c r="S115" i="7" s="1"/>
  <c r="P117" i="7"/>
  <c r="U51" i="7"/>
  <c r="X51" i="7" s="1"/>
  <c r="U52" i="7"/>
  <c r="X52" i="7" s="1"/>
  <c r="U53" i="7"/>
  <c r="X53" i="7" s="1"/>
  <c r="U54" i="7"/>
  <c r="X54" i="7" s="1"/>
  <c r="U55" i="7"/>
  <c r="X55" i="7" s="1"/>
  <c r="U56" i="7"/>
  <c r="X56" i="7" s="1"/>
  <c r="U57" i="7"/>
  <c r="X57" i="7" s="1"/>
  <c r="U58" i="7"/>
  <c r="X58" i="7" s="1"/>
  <c r="U71" i="7"/>
  <c r="X71" i="7" s="1"/>
  <c r="U72" i="7"/>
  <c r="X72" i="7" s="1"/>
  <c r="U73" i="7"/>
  <c r="X73" i="7" s="1"/>
  <c r="U74" i="7"/>
  <c r="X74" i="7" s="1"/>
  <c r="U75" i="7"/>
  <c r="X75" i="7" s="1"/>
  <c r="U76" i="7"/>
  <c r="X76" i="7" s="1"/>
  <c r="U77" i="7"/>
  <c r="X77" i="7" s="1"/>
  <c r="U78" i="7"/>
  <c r="X78" i="7" s="1"/>
  <c r="U102" i="7"/>
  <c r="X102" i="7" s="1"/>
  <c r="U104" i="7"/>
  <c r="X104" i="7" s="1"/>
  <c r="U106" i="7"/>
  <c r="X106" i="7" s="1"/>
  <c r="U108" i="7"/>
  <c r="X108" i="7" s="1"/>
  <c r="U122" i="7"/>
  <c r="X122" i="7" s="1"/>
  <c r="U124" i="7"/>
  <c r="X124" i="7" s="1"/>
  <c r="U126" i="7"/>
  <c r="X126" i="7" s="1"/>
  <c r="U128" i="7"/>
  <c r="X128" i="7" s="1"/>
  <c r="F12" i="7"/>
  <c r="Z51" i="7"/>
  <c r="Z52" i="7"/>
  <c r="Z53" i="7"/>
  <c r="Z54" i="7"/>
  <c r="Z55" i="7"/>
  <c r="Z56" i="7"/>
  <c r="Z57" i="7"/>
  <c r="Z58" i="7"/>
  <c r="Z71" i="7"/>
  <c r="Z72" i="7"/>
  <c r="Z73" i="7"/>
  <c r="Z74" i="7"/>
  <c r="Z75" i="7"/>
  <c r="Z76" i="7"/>
  <c r="Z77" i="7"/>
  <c r="Z78" i="7"/>
  <c r="Z96" i="7"/>
  <c r="Z97" i="7"/>
  <c r="Z98" i="7"/>
  <c r="Z102" i="7"/>
  <c r="Z104" i="7"/>
  <c r="Z106" i="7"/>
  <c r="Z108" i="7"/>
  <c r="Z122" i="7"/>
  <c r="Z124" i="7"/>
  <c r="Z126" i="7"/>
  <c r="Z128" i="7"/>
  <c r="D64" i="7"/>
  <c r="F7" i="7"/>
  <c r="AB51" i="7"/>
  <c r="AB52" i="7"/>
  <c r="AB53" i="7"/>
  <c r="AB54" i="7"/>
  <c r="AB55" i="7"/>
  <c r="AB56" i="7"/>
  <c r="AB57" i="7"/>
  <c r="AB58" i="7"/>
  <c r="AB73" i="7"/>
  <c r="AB74" i="7"/>
  <c r="AB102" i="7"/>
  <c r="AB104" i="7"/>
  <c r="AB106" i="7"/>
  <c r="AB108" i="7"/>
  <c r="AB122" i="7"/>
  <c r="AB124" i="7"/>
  <c r="AD51" i="7"/>
  <c r="AD52" i="7"/>
  <c r="AD53" i="7"/>
  <c r="AD54" i="7"/>
  <c r="AD55" i="7"/>
  <c r="AD56" i="7"/>
  <c r="AD57" i="7"/>
  <c r="AD58" i="7"/>
  <c r="AD71" i="7"/>
  <c r="AD72" i="7"/>
  <c r="AD73" i="7"/>
  <c r="AD74" i="7"/>
  <c r="AD75" i="7"/>
  <c r="AD76" i="7"/>
  <c r="AD77" i="7"/>
  <c r="AD78" i="7"/>
  <c r="AD95" i="7"/>
  <c r="AD96" i="7"/>
  <c r="AD97" i="7"/>
  <c r="AD98" i="7"/>
  <c r="AD102" i="7"/>
  <c r="AD104" i="7"/>
  <c r="AD106" i="7"/>
  <c r="AD108" i="7"/>
  <c r="C79" i="6"/>
  <c r="Z99" i="6"/>
  <c r="C97" i="6"/>
  <c r="S98" i="6"/>
  <c r="E84" i="6"/>
  <c r="T91" i="6" s="1"/>
  <c r="E97" i="6"/>
  <c r="E75" i="6"/>
  <c r="G97" i="6"/>
  <c r="E57" i="6"/>
  <c r="I97" i="6"/>
  <c r="V98" i="6"/>
  <c r="E58" i="6"/>
  <c r="K97" i="6"/>
  <c r="E59" i="6"/>
  <c r="T58" i="6" s="1"/>
  <c r="M97" i="6"/>
  <c r="X98" i="6"/>
  <c r="E60" i="6"/>
  <c r="O97" i="6"/>
  <c r="Y97" i="6" s="1"/>
  <c r="E79" i="6"/>
  <c r="Q97" i="6"/>
  <c r="Z97" i="6" s="1"/>
  <c r="V63" i="6"/>
  <c r="S64" i="6"/>
  <c r="U97" i="6"/>
  <c r="U99" i="6"/>
  <c r="C88" i="6"/>
  <c r="S88" i="6" s="1"/>
  <c r="E88" i="6"/>
  <c r="T71" i="6"/>
  <c r="S79" i="6"/>
  <c r="U70" i="6"/>
  <c r="G79" i="6"/>
  <c r="U79" i="6"/>
  <c r="U81" i="6"/>
  <c r="G88" i="6"/>
  <c r="U90" i="6"/>
  <c r="W71" i="6"/>
  <c r="W72" i="6"/>
  <c r="I79" i="6"/>
  <c r="V80" i="6"/>
  <c r="V81" i="6"/>
  <c r="I88" i="6"/>
  <c r="V88" i="6"/>
  <c r="K79" i="6"/>
  <c r="W79" i="6" s="1"/>
  <c r="W80" i="6"/>
  <c r="K88" i="6"/>
  <c r="W88" i="6" s="1"/>
  <c r="W89" i="6"/>
  <c r="X70" i="6"/>
  <c r="Y71" i="6"/>
  <c r="M79" i="6"/>
  <c r="X78" i="6" s="1"/>
  <c r="X80" i="6"/>
  <c r="M88" i="6"/>
  <c r="X90" i="6"/>
  <c r="Y70" i="6"/>
  <c r="O79" i="6"/>
  <c r="O88" i="6"/>
  <c r="Y89" i="6"/>
  <c r="Y90" i="6"/>
  <c r="T80" i="6"/>
  <c r="Z70" i="6"/>
  <c r="Q79" i="6"/>
  <c r="Z80" i="6"/>
  <c r="Q88" i="6"/>
  <c r="Z61" i="6"/>
  <c r="Z63" i="6"/>
  <c r="U61" i="6"/>
  <c r="U63" i="6"/>
  <c r="W60" i="6"/>
  <c r="X60" i="6"/>
  <c r="X61" i="6"/>
  <c r="X62" i="6"/>
  <c r="Y62" i="6"/>
  <c r="S62" i="6"/>
  <c r="M57" i="6"/>
  <c r="G57" i="6"/>
  <c r="U64" i="6" s="1"/>
  <c r="G58" i="6"/>
  <c r="U57" i="6" s="1"/>
  <c r="K69" i="6"/>
  <c r="C76" i="6"/>
  <c r="E76" i="6"/>
  <c r="T75" i="6" s="1"/>
  <c r="G77" i="6"/>
  <c r="I78" i="6"/>
  <c r="K78" i="6"/>
  <c r="G76" i="6"/>
  <c r="M78" i="6"/>
  <c r="I76" i="6"/>
  <c r="O78" i="6"/>
  <c r="K76" i="6"/>
  <c r="Q78" i="6"/>
  <c r="M76" i="6"/>
  <c r="O76" i="6"/>
  <c r="I67" i="6"/>
  <c r="Q76" i="6"/>
  <c r="K67" i="6"/>
  <c r="S76" i="6"/>
  <c r="C66" i="6"/>
  <c r="K77" i="6"/>
  <c r="O75" i="6"/>
  <c r="Y82" i="6" s="1"/>
  <c r="C75" i="6"/>
  <c r="S82" i="6" s="1"/>
  <c r="O77" i="6"/>
  <c r="M93" i="6"/>
  <c r="G75" i="6"/>
  <c r="U82" i="6" s="1"/>
  <c r="Q77" i="6"/>
  <c r="M94" i="6"/>
  <c r="X93" i="6" s="1"/>
  <c r="I75" i="6"/>
  <c r="C78" i="6"/>
  <c r="M95" i="6"/>
  <c r="X94" i="6" s="1"/>
  <c r="M75" i="6"/>
  <c r="K75" i="6"/>
  <c r="E78" i="6"/>
  <c r="M96" i="6"/>
  <c r="Q75" i="6"/>
  <c r="Z82" i="6" s="1"/>
  <c r="G78" i="6"/>
  <c r="U77" i="6" s="1"/>
  <c r="E77" i="6"/>
  <c r="T76" i="6" s="1"/>
  <c r="I77" i="6"/>
  <c r="M77" i="6"/>
  <c r="E67" i="6"/>
  <c r="E69" i="6"/>
  <c r="G67" i="6"/>
  <c r="G69" i="6"/>
  <c r="U68" i="6" s="1"/>
  <c r="C67" i="6"/>
  <c r="C69" i="6"/>
  <c r="M67" i="6"/>
  <c r="M69" i="6"/>
  <c r="O67" i="6"/>
  <c r="O69" i="6"/>
  <c r="Q67" i="6"/>
  <c r="Q69" i="6"/>
  <c r="C68" i="6"/>
  <c r="I69" i="6"/>
  <c r="E66" i="6"/>
  <c r="E68" i="6"/>
  <c r="G66" i="6"/>
  <c r="G68" i="6"/>
  <c r="U67" i="6" s="1"/>
  <c r="I66" i="6"/>
  <c r="I68" i="6"/>
  <c r="K66" i="6"/>
  <c r="K68" i="6"/>
  <c r="M66" i="6"/>
  <c r="X73" i="6" s="1"/>
  <c r="M68" i="6"/>
  <c r="O66" i="6"/>
  <c r="Y73" i="6" s="1"/>
  <c r="O68" i="6"/>
  <c r="Q66" i="6"/>
  <c r="Z73" i="6" s="1"/>
  <c r="Q68" i="6"/>
  <c r="Z67" i="6" s="1"/>
  <c r="G60" i="6"/>
  <c r="I58" i="6"/>
  <c r="I60" i="6"/>
  <c r="K58" i="6"/>
  <c r="K60" i="6"/>
  <c r="M58" i="6"/>
  <c r="M60" i="6"/>
  <c r="O58" i="6"/>
  <c r="O60" i="6"/>
  <c r="Y59" i="6" s="1"/>
  <c r="Q58" i="6"/>
  <c r="Z57" i="6" s="1"/>
  <c r="Q60" i="6"/>
  <c r="Z59" i="6" s="1"/>
  <c r="G59" i="6"/>
  <c r="U58" i="6" s="1"/>
  <c r="I57" i="6"/>
  <c r="V64" i="6" s="1"/>
  <c r="I59" i="6"/>
  <c r="K57" i="6"/>
  <c r="K59" i="6"/>
  <c r="M59" i="6"/>
  <c r="O57" i="6"/>
  <c r="Y64" i="6" s="1"/>
  <c r="O59" i="6"/>
  <c r="Q57" i="6"/>
  <c r="Q59" i="6"/>
  <c r="F80" i="5"/>
  <c r="G80" i="5" s="1"/>
  <c r="H80" i="5" s="1"/>
  <c r="K73" i="5"/>
  <c r="L73" i="5" s="1"/>
  <c r="M73" i="5" s="1"/>
  <c r="F30" i="5"/>
  <c r="G30" i="5" s="1"/>
  <c r="H30" i="5" s="1"/>
  <c r="F31" i="5"/>
  <c r="K31" i="5"/>
  <c r="L31" i="5" s="1"/>
  <c r="M31" i="5" s="1"/>
  <c r="K47" i="5"/>
  <c r="K30" i="5"/>
  <c r="L30" i="5" s="1"/>
  <c r="M30" i="5" s="1"/>
  <c r="K48" i="5"/>
  <c r="L48" i="5" s="1"/>
  <c r="M48" i="5" s="1"/>
  <c r="K29" i="5"/>
  <c r="K49" i="5"/>
  <c r="K55" i="5" s="1"/>
  <c r="L55" i="5" s="1"/>
  <c r="M55" i="5" s="1"/>
  <c r="F48" i="5"/>
  <c r="G48" i="5" s="1"/>
  <c r="H48" i="5" s="1"/>
  <c r="F49" i="5"/>
  <c r="G49" i="5" s="1"/>
  <c r="H49" i="5" s="1"/>
  <c r="G31" i="5"/>
  <c r="H31" i="5" s="1"/>
  <c r="F10" i="3"/>
  <c r="G10" i="3" s="1"/>
  <c r="M7" i="3"/>
  <c r="N7" i="3" s="1"/>
  <c r="F3" i="3"/>
  <c r="G3" i="3" s="1"/>
  <c r="F6" i="3"/>
  <c r="G6" i="3" s="1"/>
  <c r="D29" i="3"/>
  <c r="E18" i="3"/>
  <c r="F18" i="3" s="1"/>
  <c r="G18" i="3" s="1"/>
  <c r="D27" i="3"/>
  <c r="E16" i="3"/>
  <c r="F16" i="3" s="1"/>
  <c r="G16" i="3" s="1"/>
  <c r="E15" i="3"/>
  <c r="F15" i="3" s="1"/>
  <c r="G15" i="3" s="1"/>
  <c r="D26" i="3"/>
  <c r="D30" i="3"/>
  <c r="E19" i="3"/>
  <c r="F19" i="3" s="1"/>
  <c r="G19" i="3" s="1"/>
  <c r="E17" i="3"/>
  <c r="F17" i="3" s="1"/>
  <c r="G17" i="3" s="1"/>
  <c r="D28" i="3"/>
  <c r="D32" i="3"/>
  <c r="E21" i="3"/>
  <c r="F21" i="3" s="1"/>
  <c r="G21" i="3" s="1"/>
  <c r="D25" i="3"/>
  <c r="E14" i="3"/>
  <c r="F14" i="3" s="1"/>
  <c r="G14" i="3" s="1"/>
  <c r="D31" i="3"/>
  <c r="L4" i="3"/>
  <c r="L9" i="3"/>
  <c r="L6" i="3"/>
  <c r="L18" i="3"/>
  <c r="L3" i="3"/>
  <c r="L8" i="3"/>
  <c r="L5" i="3"/>
  <c r="L10" i="3"/>
  <c r="E7" i="1"/>
  <c r="E10" i="1"/>
  <c r="E5" i="1"/>
  <c r="E11" i="1"/>
  <c r="E6" i="1"/>
  <c r="E12" i="1"/>
  <c r="E8" i="1"/>
  <c r="E9" i="1"/>
  <c r="BY56" i="11" l="1"/>
  <c r="BR56" i="11"/>
  <c r="BS56" i="11" s="1"/>
  <c r="BR55" i="11"/>
  <c r="BS55" i="11" s="1"/>
  <c r="BY55" i="11"/>
  <c r="BR45" i="11"/>
  <c r="BS45" i="11" s="1"/>
  <c r="BY45" i="11"/>
  <c r="BQ42" i="11"/>
  <c r="BL42" i="11"/>
  <c r="BM42" i="11" s="1"/>
  <c r="BR94" i="11"/>
  <c r="BS94" i="11" s="1"/>
  <c r="BY94" i="11"/>
  <c r="BR52" i="11"/>
  <c r="BS52" i="11" s="1"/>
  <c r="BY52" i="11"/>
  <c r="BR27" i="11"/>
  <c r="BS27" i="11" s="1"/>
  <c r="BY27" i="11"/>
  <c r="BR62" i="11"/>
  <c r="BS62" i="11" s="1"/>
  <c r="BY62" i="11"/>
  <c r="BR26" i="11"/>
  <c r="BS26" i="11" s="1"/>
  <c r="BY26" i="11"/>
  <c r="BR22" i="11"/>
  <c r="BS22" i="11" s="1"/>
  <c r="BY22" i="11"/>
  <c r="BR91" i="11"/>
  <c r="BS91" i="11" s="1"/>
  <c r="BY91" i="11"/>
  <c r="BR81" i="11"/>
  <c r="BS81" i="11" s="1"/>
  <c r="BY81" i="11"/>
  <c r="BR96" i="11"/>
  <c r="BS96" i="11" s="1"/>
  <c r="BY96" i="11"/>
  <c r="BY25" i="11"/>
  <c r="BZ25" i="11" s="1"/>
  <c r="CA25" i="11" s="1"/>
  <c r="AX97" i="11"/>
  <c r="AY97" i="11" s="1"/>
  <c r="BE97" i="11"/>
  <c r="AX86" i="11"/>
  <c r="AY86" i="11" s="1"/>
  <c r="BE86" i="11"/>
  <c r="BK86" i="11" s="1"/>
  <c r="BQ86" i="11" s="1"/>
  <c r="BR95" i="11"/>
  <c r="BS95" i="11" s="1"/>
  <c r="BY95" i="11"/>
  <c r="BR68" i="11"/>
  <c r="BS68" i="11" s="1"/>
  <c r="BY68" i="11"/>
  <c r="AX84" i="11"/>
  <c r="AY84" i="11" s="1"/>
  <c r="BE84" i="11"/>
  <c r="BF84" i="11" s="1"/>
  <c r="BR24" i="11"/>
  <c r="BS24" i="11" s="1"/>
  <c r="BY24" i="11"/>
  <c r="BR38" i="11"/>
  <c r="BS38" i="11" s="1"/>
  <c r="BY38" i="11"/>
  <c r="BY64" i="11"/>
  <c r="BR64" i="11"/>
  <c r="BS64" i="11" s="1"/>
  <c r="BR53" i="11"/>
  <c r="BS53" i="11" s="1"/>
  <c r="BY53" i="11"/>
  <c r="BY57" i="11"/>
  <c r="BR57" i="11"/>
  <c r="BS57" i="11" s="1"/>
  <c r="BR35" i="11"/>
  <c r="BS35" i="11" s="1"/>
  <c r="BY35" i="11"/>
  <c r="BR61" i="11"/>
  <c r="BS61" i="11" s="1"/>
  <c r="BY61" i="11"/>
  <c r="BR23" i="11"/>
  <c r="BS23" i="11" s="1"/>
  <c r="BY23" i="11"/>
  <c r="BR37" i="11"/>
  <c r="BS37" i="11" s="1"/>
  <c r="BY37" i="11"/>
  <c r="BR83" i="11"/>
  <c r="BS83" i="11" s="1"/>
  <c r="BY83" i="11"/>
  <c r="BR36" i="11"/>
  <c r="BS36" i="11" s="1"/>
  <c r="BY36" i="11"/>
  <c r="BR33" i="11"/>
  <c r="BS33" i="11" s="1"/>
  <c r="BY33" i="11"/>
  <c r="BF97" i="11"/>
  <c r="BK97" i="11"/>
  <c r="BQ97" i="11" s="1"/>
  <c r="BR97" i="11" s="1"/>
  <c r="BS97" i="11" s="1"/>
  <c r="BF86" i="11"/>
  <c r="AW85" i="11"/>
  <c r="AR85" i="11"/>
  <c r="AS85" i="11" s="1"/>
  <c r="AW82" i="11"/>
  <c r="AR82" i="11"/>
  <c r="AS82" i="11" s="1"/>
  <c r="EK43" i="11"/>
  <c r="EF43" i="11"/>
  <c r="EG43" i="11" s="1"/>
  <c r="EK87" i="11"/>
  <c r="EF87" i="11"/>
  <c r="EG87" i="11" s="1"/>
  <c r="ES54" i="11"/>
  <c r="EL54" i="11"/>
  <c r="EM54" i="11" s="1"/>
  <c r="BZ67" i="11"/>
  <c r="CA67" i="11" s="1"/>
  <c r="CE67" i="11"/>
  <c r="CK67" i="11" s="1"/>
  <c r="CQ67" i="11" s="1"/>
  <c r="CY67" i="11" s="1"/>
  <c r="DE67" i="11" s="1"/>
  <c r="DK67" i="11" s="1"/>
  <c r="BZ28" i="11"/>
  <c r="CA28" i="11" s="1"/>
  <c r="CE28" i="11"/>
  <c r="CK28" i="11" s="1"/>
  <c r="CQ28" i="11" s="1"/>
  <c r="CY28" i="11" s="1"/>
  <c r="DE28" i="11" s="1"/>
  <c r="DK28" i="11" s="1"/>
  <c r="DY58" i="11"/>
  <c r="EE58" i="11" s="1"/>
  <c r="EK58" i="11" s="1"/>
  <c r="ES58" i="11" s="1"/>
  <c r="EY58" i="11" s="1"/>
  <c r="FE58" i="11" s="1"/>
  <c r="FK58" i="11" s="1"/>
  <c r="DQ58" i="11"/>
  <c r="DQ88" i="11"/>
  <c r="DY88" i="11"/>
  <c r="EE88" i="11" s="1"/>
  <c r="EK88" i="11" s="1"/>
  <c r="ES88" i="11" s="1"/>
  <c r="EY88" i="11" s="1"/>
  <c r="FE88" i="11" s="1"/>
  <c r="FK88" i="11" s="1"/>
  <c r="BZ44" i="11"/>
  <c r="CA44" i="11" s="1"/>
  <c r="CE44" i="11"/>
  <c r="CK44" i="11" s="1"/>
  <c r="CQ44" i="11" s="1"/>
  <c r="CY44" i="11" s="1"/>
  <c r="DE44" i="11" s="1"/>
  <c r="DK44" i="11" s="1"/>
  <c r="DQ41" i="11"/>
  <c r="DY41" i="11"/>
  <c r="EE41" i="11" s="1"/>
  <c r="EK41" i="11" s="1"/>
  <c r="ES41" i="11" s="1"/>
  <c r="EY41" i="11" s="1"/>
  <c r="FE41" i="11" s="1"/>
  <c r="FK41" i="11" s="1"/>
  <c r="CE25" i="11"/>
  <c r="CK25" i="11" s="1"/>
  <c r="CQ25" i="11" s="1"/>
  <c r="CY25" i="11" s="1"/>
  <c r="DE25" i="11" s="1"/>
  <c r="DK25" i="11" s="1"/>
  <c r="DQ92" i="11"/>
  <c r="DY92" i="11"/>
  <c r="EE92" i="11" s="1"/>
  <c r="EK92" i="11" s="1"/>
  <c r="ES92" i="11" s="1"/>
  <c r="EY92" i="11" s="1"/>
  <c r="FE92" i="11" s="1"/>
  <c r="FK92" i="11" s="1"/>
  <c r="DY34" i="11"/>
  <c r="EE34" i="11" s="1"/>
  <c r="EK34" i="11" s="1"/>
  <c r="ES34" i="11" s="1"/>
  <c r="EY34" i="11" s="1"/>
  <c r="FE34" i="11" s="1"/>
  <c r="FK34" i="11" s="1"/>
  <c r="DQ34" i="11"/>
  <c r="BZ46" i="11"/>
  <c r="CA46" i="11" s="1"/>
  <c r="CE46" i="11"/>
  <c r="CK46" i="11" s="1"/>
  <c r="CQ46" i="11" s="1"/>
  <c r="CY46" i="11" s="1"/>
  <c r="DE46" i="11" s="1"/>
  <c r="DK46" i="11" s="1"/>
  <c r="CK32" i="11"/>
  <c r="CF32" i="11"/>
  <c r="CG32" i="11" s="1"/>
  <c r="BZ31" i="11"/>
  <c r="CA31" i="11" s="1"/>
  <c r="CE31" i="11"/>
  <c r="CK31" i="11" s="1"/>
  <c r="CQ31" i="11" s="1"/>
  <c r="CY31" i="11" s="1"/>
  <c r="DE31" i="11" s="1"/>
  <c r="DK31" i="11" s="1"/>
  <c r="DY63" i="11"/>
  <c r="EE63" i="11" s="1"/>
  <c r="EK63" i="11" s="1"/>
  <c r="ES63" i="11" s="1"/>
  <c r="EY63" i="11" s="1"/>
  <c r="FE63" i="11" s="1"/>
  <c r="FK63" i="11" s="1"/>
  <c r="DQ63" i="11"/>
  <c r="DQ47" i="11"/>
  <c r="DY47" i="11"/>
  <c r="EE47" i="11" s="1"/>
  <c r="EK47" i="11" s="1"/>
  <c r="ES47" i="11" s="1"/>
  <c r="EY47" i="11" s="1"/>
  <c r="FE47" i="11" s="1"/>
  <c r="FK47" i="11" s="1"/>
  <c r="BZ66" i="11"/>
  <c r="CA66" i="11" s="1"/>
  <c r="CE66" i="11"/>
  <c r="CK66" i="11" s="1"/>
  <c r="CQ66" i="11" s="1"/>
  <c r="CY66" i="11" s="1"/>
  <c r="DE66" i="11" s="1"/>
  <c r="DK66" i="11" s="1"/>
  <c r="DY48" i="11"/>
  <c r="EE48" i="11" s="1"/>
  <c r="EK48" i="11" s="1"/>
  <c r="ES48" i="11" s="1"/>
  <c r="EY48" i="11" s="1"/>
  <c r="FE48" i="11" s="1"/>
  <c r="FK48" i="11" s="1"/>
  <c r="DQ48" i="11"/>
  <c r="DY51" i="11"/>
  <c r="EE51" i="11" s="1"/>
  <c r="EK51" i="11" s="1"/>
  <c r="ES51" i="11" s="1"/>
  <c r="EY51" i="11" s="1"/>
  <c r="FE51" i="11" s="1"/>
  <c r="FK51" i="11" s="1"/>
  <c r="DQ51" i="11"/>
  <c r="BZ93" i="11"/>
  <c r="CA93" i="11" s="1"/>
  <c r="CE93" i="11"/>
  <c r="CK93" i="11" s="1"/>
  <c r="CQ93" i="11" s="1"/>
  <c r="CY93" i="11" s="1"/>
  <c r="DE93" i="11" s="1"/>
  <c r="DK93" i="11" s="1"/>
  <c r="CF98" i="11"/>
  <c r="CG98" i="11" s="1"/>
  <c r="BG63" i="11"/>
  <c r="CF65" i="11"/>
  <c r="CG65" i="11" s="1"/>
  <c r="BG92" i="11"/>
  <c r="BG74" i="11"/>
  <c r="BG46" i="11"/>
  <c r="BL71" i="11"/>
  <c r="BM71" i="11" s="1"/>
  <c r="BL41" i="11"/>
  <c r="BM41" i="11" s="1"/>
  <c r="BG73" i="11"/>
  <c r="BL23" i="11"/>
  <c r="BM23" i="11" s="1"/>
  <c r="BL48" i="11"/>
  <c r="BM48" i="11" s="1"/>
  <c r="BG53" i="11"/>
  <c r="BG66" i="11"/>
  <c r="BG77" i="11"/>
  <c r="BG33" i="11"/>
  <c r="BG81" i="11"/>
  <c r="BG91" i="11"/>
  <c r="BG95" i="11"/>
  <c r="BL61" i="11"/>
  <c r="BM61" i="11" s="1"/>
  <c r="AR96" i="11"/>
  <c r="AS96" i="11" s="1"/>
  <c r="BG93" i="11"/>
  <c r="BG25" i="11"/>
  <c r="BL56" i="11"/>
  <c r="BM56" i="11" s="1"/>
  <c r="AR22" i="11"/>
  <c r="AS22" i="11" s="1"/>
  <c r="BL57" i="11"/>
  <c r="BM57" i="11" s="1"/>
  <c r="BL51" i="11"/>
  <c r="BM51" i="11" s="1"/>
  <c r="BG62" i="11"/>
  <c r="BG36" i="11"/>
  <c r="BG45" i="11"/>
  <c r="AR64" i="11"/>
  <c r="AS64" i="11" s="1"/>
  <c r="AR83" i="11"/>
  <c r="AS83" i="11" s="1"/>
  <c r="BG52" i="11"/>
  <c r="BL31" i="11"/>
  <c r="BM31" i="11" s="1"/>
  <c r="BL88" i="11"/>
  <c r="BM88" i="11" s="1"/>
  <c r="CZ82" i="9"/>
  <c r="DA82" i="9" s="1"/>
  <c r="DH82" i="9"/>
  <c r="DI82" i="9" s="1"/>
  <c r="CT82" i="9"/>
  <c r="CU82" i="9" s="1"/>
  <c r="AL33" i="9"/>
  <c r="AM33" i="9" s="1"/>
  <c r="AL52" i="9"/>
  <c r="AM52" i="9" s="1"/>
  <c r="AT55" i="9"/>
  <c r="AU55" i="9" s="1"/>
  <c r="AL95" i="9"/>
  <c r="AM95" i="9" s="1"/>
  <c r="AL75" i="9"/>
  <c r="AM75" i="9" s="1"/>
  <c r="AL45" i="9"/>
  <c r="AM45" i="9" s="1"/>
  <c r="AL37" i="9"/>
  <c r="AM37" i="9" s="1"/>
  <c r="AT46" i="9"/>
  <c r="AU46" i="9" s="1"/>
  <c r="AL56" i="9"/>
  <c r="AM56" i="9" s="1"/>
  <c r="AL78" i="9"/>
  <c r="AM78" i="9" s="1"/>
  <c r="AL84" i="9"/>
  <c r="AM84" i="9" s="1"/>
  <c r="AL31" i="9"/>
  <c r="AM31" i="9" s="1"/>
  <c r="AL42" i="9"/>
  <c r="AM42" i="9" s="1"/>
  <c r="AL77" i="9"/>
  <c r="AM77" i="9" s="1"/>
  <c r="AT98" i="9"/>
  <c r="AU98" i="9" s="1"/>
  <c r="AL81" i="9"/>
  <c r="AM81" i="9" s="1"/>
  <c r="AT48" i="9"/>
  <c r="AU48" i="9" s="1"/>
  <c r="AL87" i="9"/>
  <c r="AM87" i="9" s="1"/>
  <c r="AT53" i="9"/>
  <c r="AU53" i="9" s="1"/>
  <c r="AL23" i="9"/>
  <c r="AM23" i="9" s="1"/>
  <c r="AT41" i="9"/>
  <c r="AU41" i="9" s="1"/>
  <c r="AL51" i="9"/>
  <c r="AM51" i="9" s="1"/>
  <c r="AT62" i="9"/>
  <c r="AU62" i="9" s="1"/>
  <c r="AL65" i="9"/>
  <c r="AM65" i="9" s="1"/>
  <c r="AL83" i="9"/>
  <c r="AM83" i="9" s="1"/>
  <c r="AT67" i="9"/>
  <c r="AU67" i="9" s="1"/>
  <c r="AL97" i="9"/>
  <c r="AM97" i="9" s="1"/>
  <c r="AT76" i="9"/>
  <c r="AU76" i="9" s="1"/>
  <c r="AL24" i="9"/>
  <c r="AM24" i="9" s="1"/>
  <c r="AL32" i="9"/>
  <c r="AM32" i="9" s="1"/>
  <c r="AT88" i="9"/>
  <c r="AU88" i="9" s="1"/>
  <c r="AL58" i="9"/>
  <c r="AM58" i="9" s="1"/>
  <c r="AL82" i="9"/>
  <c r="AM82" i="9" s="1"/>
  <c r="AL43" i="9"/>
  <c r="AM43" i="9" s="1"/>
  <c r="AL61" i="9"/>
  <c r="AM61" i="9" s="1"/>
  <c r="AT57" i="9"/>
  <c r="AU57" i="9" s="1"/>
  <c r="AT71" i="9"/>
  <c r="AU71" i="9" s="1"/>
  <c r="AL63" i="9"/>
  <c r="AM63" i="9" s="1"/>
  <c r="AL47" i="9"/>
  <c r="AM47" i="9" s="1"/>
  <c r="AT91" i="9"/>
  <c r="AU91" i="9" s="1"/>
  <c r="AT94" i="9"/>
  <c r="AU94" i="9" s="1"/>
  <c r="AL86" i="9"/>
  <c r="AM86" i="9" s="1"/>
  <c r="AL73" i="9"/>
  <c r="AM73" i="9" s="1"/>
  <c r="AL38" i="9"/>
  <c r="AM38" i="9" s="1"/>
  <c r="AL25" i="9"/>
  <c r="AM25" i="9" s="1"/>
  <c r="AL92" i="9"/>
  <c r="AM92" i="9" s="1"/>
  <c r="AL74" i="9"/>
  <c r="AM74" i="9" s="1"/>
  <c r="AL27" i="9"/>
  <c r="AM27" i="9" s="1"/>
  <c r="AL68" i="9"/>
  <c r="AM68" i="9" s="1"/>
  <c r="AL26" i="9"/>
  <c r="AM26" i="9" s="1"/>
  <c r="AL44" i="9"/>
  <c r="AM44" i="9" s="1"/>
  <c r="AZ54" i="9"/>
  <c r="BA54" i="9" s="1"/>
  <c r="AT93" i="9"/>
  <c r="AU93" i="9" s="1"/>
  <c r="AT72" i="9"/>
  <c r="AU72" i="9" s="1"/>
  <c r="AL34" i="9"/>
  <c r="AM34" i="9" s="1"/>
  <c r="AT64" i="9"/>
  <c r="AU64" i="9" s="1"/>
  <c r="AL36" i="9"/>
  <c r="AM36" i="9" s="1"/>
  <c r="AL85" i="9"/>
  <c r="AM85" i="9" s="1"/>
  <c r="AT22" i="9"/>
  <c r="AU22" i="9" s="1"/>
  <c r="AL96" i="9"/>
  <c r="AM96" i="9" s="1"/>
  <c r="AL66" i="9"/>
  <c r="AM66" i="9" s="1"/>
  <c r="AT35" i="9"/>
  <c r="AU35" i="9" s="1"/>
  <c r="BY28" i="10"/>
  <c r="BZ28" i="10" s="1"/>
  <c r="CA28" i="10" s="1"/>
  <c r="BT28" i="10"/>
  <c r="BU28" i="10" s="1"/>
  <c r="BS25" i="10"/>
  <c r="BN25" i="10"/>
  <c r="BO25" i="10" s="1"/>
  <c r="AS84" i="10"/>
  <c r="AL84" i="10"/>
  <c r="AM84" i="10" s="1"/>
  <c r="AY46" i="10"/>
  <c r="AT46" i="10"/>
  <c r="AU46" i="10" s="1"/>
  <c r="AY91" i="10"/>
  <c r="AT91" i="10"/>
  <c r="AU91" i="10" s="1"/>
  <c r="AS93" i="10"/>
  <c r="AL93" i="10"/>
  <c r="AM93" i="10" s="1"/>
  <c r="AS92" i="10"/>
  <c r="AL92" i="10"/>
  <c r="AM92" i="10" s="1"/>
  <c r="AS83" i="10"/>
  <c r="AL83" i="10"/>
  <c r="AM83" i="10" s="1"/>
  <c r="BS33" i="10"/>
  <c r="BN33" i="10"/>
  <c r="BO33" i="10" s="1"/>
  <c r="AT35" i="10"/>
  <c r="AU35" i="10" s="1"/>
  <c r="AY35" i="10"/>
  <c r="BM26" i="10"/>
  <c r="BF26" i="10"/>
  <c r="BG26" i="10" s="1"/>
  <c r="AY24" i="10"/>
  <c r="AT24" i="10"/>
  <c r="AU24" i="10" s="1"/>
  <c r="AT55" i="10"/>
  <c r="AU55" i="10" s="1"/>
  <c r="AY55" i="10"/>
  <c r="AS96" i="10"/>
  <c r="AL96" i="10"/>
  <c r="AM96" i="10" s="1"/>
  <c r="AS43" i="10"/>
  <c r="AL43" i="10"/>
  <c r="AM43" i="10" s="1"/>
  <c r="AL22" i="10"/>
  <c r="AM22" i="10" s="1"/>
  <c r="AS22" i="10"/>
  <c r="AT22" i="10" s="1"/>
  <c r="AU22" i="10" s="1"/>
  <c r="AS62" i="10"/>
  <c r="AL62" i="10"/>
  <c r="AM62" i="10" s="1"/>
  <c r="AS38" i="10"/>
  <c r="AL38" i="10"/>
  <c r="AM38" i="10" s="1"/>
  <c r="AS74" i="10"/>
  <c r="AL74" i="10"/>
  <c r="AM74" i="10" s="1"/>
  <c r="AS44" i="10"/>
  <c r="AL44" i="10"/>
  <c r="AM44" i="10" s="1"/>
  <c r="AT54" i="10"/>
  <c r="AU54" i="10" s="1"/>
  <c r="AY54" i="10"/>
  <c r="BY37" i="10"/>
  <c r="BZ37" i="10" s="1"/>
  <c r="CA37" i="10" s="1"/>
  <c r="BT37" i="10"/>
  <c r="BU37" i="10" s="1"/>
  <c r="AS67" i="10"/>
  <c r="AL67" i="10"/>
  <c r="AM67" i="10" s="1"/>
  <c r="AS82" i="10"/>
  <c r="AL82" i="10"/>
  <c r="AM82" i="10" s="1"/>
  <c r="AY51" i="10"/>
  <c r="AT51" i="10"/>
  <c r="AU51" i="10" s="1"/>
  <c r="AY85" i="10"/>
  <c r="AT85" i="10"/>
  <c r="AU85" i="10" s="1"/>
  <c r="AS72" i="10"/>
  <c r="AL72" i="10"/>
  <c r="AM72" i="10" s="1"/>
  <c r="AY71" i="10"/>
  <c r="AT71" i="10"/>
  <c r="AU71" i="10" s="1"/>
  <c r="AY78" i="10"/>
  <c r="AT78" i="10"/>
  <c r="AU78" i="10" s="1"/>
  <c r="AS77" i="10"/>
  <c r="AL77" i="10"/>
  <c r="AM77" i="10" s="1"/>
  <c r="AY61" i="10"/>
  <c r="AT61" i="10"/>
  <c r="AU61" i="10" s="1"/>
  <c r="AS73" i="10"/>
  <c r="AL73" i="10"/>
  <c r="AM73" i="10" s="1"/>
  <c r="AS76" i="10"/>
  <c r="AL76" i="10"/>
  <c r="AM76" i="10" s="1"/>
  <c r="AS52" i="10"/>
  <c r="AL52" i="10"/>
  <c r="AM52" i="10" s="1"/>
  <c r="AT94" i="10"/>
  <c r="AU94" i="10" s="1"/>
  <c r="AY94" i="10"/>
  <c r="AS97" i="10"/>
  <c r="AL97" i="10"/>
  <c r="AM97" i="10" s="1"/>
  <c r="AS86" i="10"/>
  <c r="AL86" i="10"/>
  <c r="AM86" i="10" s="1"/>
  <c r="AY65" i="10"/>
  <c r="AT65" i="10"/>
  <c r="AU65" i="10" s="1"/>
  <c r="AT98" i="10"/>
  <c r="AU98" i="10" s="1"/>
  <c r="AY98" i="10"/>
  <c r="AT31" i="10"/>
  <c r="AU31" i="10" s="1"/>
  <c r="AY31" i="10"/>
  <c r="AY81" i="10"/>
  <c r="AT81" i="10"/>
  <c r="AU81" i="10" s="1"/>
  <c r="BE23" i="10"/>
  <c r="AZ23" i="10"/>
  <c r="BA23" i="10" s="1"/>
  <c r="AS57" i="10"/>
  <c r="AL57" i="10"/>
  <c r="AM57" i="10" s="1"/>
  <c r="AD89" i="10" s="1"/>
  <c r="AS58" i="10"/>
  <c r="AL58" i="10"/>
  <c r="AM58" i="10" s="1"/>
  <c r="AS56" i="10"/>
  <c r="AL56" i="10"/>
  <c r="AM56" i="10" s="1"/>
  <c r="AS34" i="10"/>
  <c r="AL34" i="10"/>
  <c r="AM34" i="10" s="1"/>
  <c r="AS36" i="10"/>
  <c r="AL36" i="10"/>
  <c r="AM36" i="10" s="1"/>
  <c r="BT32" i="10"/>
  <c r="BU32" i="10" s="1"/>
  <c r="BY32" i="10"/>
  <c r="BZ32" i="10" s="1"/>
  <c r="CA32" i="10" s="1"/>
  <c r="AS53" i="10"/>
  <c r="AL53" i="10"/>
  <c r="AM53" i="10" s="1"/>
  <c r="BS63" i="10"/>
  <c r="BN63" i="10"/>
  <c r="BO63" i="10" s="1"/>
  <c r="BE21" i="10"/>
  <c r="AZ21" i="10"/>
  <c r="BA21" i="10" s="1"/>
  <c r="BM48" i="10"/>
  <c r="BF48" i="10"/>
  <c r="BG48" i="10" s="1"/>
  <c r="AS47" i="10"/>
  <c r="AL47" i="10"/>
  <c r="AM47" i="10" s="1"/>
  <c r="AS64" i="10"/>
  <c r="AL64" i="10"/>
  <c r="AM64" i="10" s="1"/>
  <c r="BS88" i="10"/>
  <c r="BN88" i="10"/>
  <c r="BO88" i="10" s="1"/>
  <c r="BE45" i="10"/>
  <c r="AZ45" i="10"/>
  <c r="BA45" i="10" s="1"/>
  <c r="AY75" i="10"/>
  <c r="AT75" i="10"/>
  <c r="AU75" i="10" s="1"/>
  <c r="BM68" i="10"/>
  <c r="BF68" i="10"/>
  <c r="BG68" i="10" s="1"/>
  <c r="AS66" i="10"/>
  <c r="AL66" i="10"/>
  <c r="AM66" i="10" s="1"/>
  <c r="AS42" i="10"/>
  <c r="AL42" i="10"/>
  <c r="AM42" i="10" s="1"/>
  <c r="BS41" i="10"/>
  <c r="BN41" i="10"/>
  <c r="BO41" i="10" s="1"/>
  <c r="AS27" i="10"/>
  <c r="AL27" i="10"/>
  <c r="AM27" i="10" s="1"/>
  <c r="AS87" i="10"/>
  <c r="AL87" i="10"/>
  <c r="AM87" i="10" s="1"/>
  <c r="BT95" i="10"/>
  <c r="BU95" i="10" s="1"/>
  <c r="BY95" i="10"/>
  <c r="BZ95" i="10" s="1"/>
  <c r="CA95" i="10" s="1"/>
  <c r="AU21" i="9"/>
  <c r="BH71" i="9"/>
  <c r="BI71" i="9" s="1"/>
  <c r="BH72" i="9"/>
  <c r="BI72" i="9" s="1"/>
  <c r="BH55" i="9"/>
  <c r="BI55" i="9" s="1"/>
  <c r="BH94" i="9"/>
  <c r="BI94" i="9" s="1"/>
  <c r="BH98" i="9"/>
  <c r="BI98" i="9" s="1"/>
  <c r="BH41" i="9"/>
  <c r="BI41" i="9" s="1"/>
  <c r="BH57" i="9"/>
  <c r="BI57" i="9" s="1"/>
  <c r="BH46" i="9"/>
  <c r="BI46" i="9" s="1"/>
  <c r="BH62" i="9"/>
  <c r="BI62" i="9" s="1"/>
  <c r="BH64" i="9"/>
  <c r="BI64" i="9" s="1"/>
  <c r="BH91" i="9"/>
  <c r="BI91" i="9" s="1"/>
  <c r="BH76" i="9"/>
  <c r="BI76" i="9" s="1"/>
  <c r="BH48" i="9"/>
  <c r="BI48" i="9" s="1"/>
  <c r="BH93" i="9"/>
  <c r="BI93" i="9" s="1"/>
  <c r="BH22" i="9"/>
  <c r="BI22" i="9" s="1"/>
  <c r="BH88" i="9"/>
  <c r="BI88" i="9" s="1"/>
  <c r="BH53" i="9"/>
  <c r="BI53" i="9" s="1"/>
  <c r="BH21" i="9"/>
  <c r="BI21" i="9" s="1"/>
  <c r="BM43" i="8"/>
  <c r="AY41" i="8"/>
  <c r="AS51" i="8"/>
  <c r="AY51" i="8" s="1"/>
  <c r="BE51" i="8" s="1"/>
  <c r="AS27" i="8"/>
  <c r="AS44" i="8"/>
  <c r="AY44" i="8" s="1"/>
  <c r="BE44" i="8" s="1"/>
  <c r="BM44" i="8" s="1"/>
  <c r="AS23" i="8"/>
  <c r="AT23" i="8" s="1"/>
  <c r="AU23" i="8" s="1"/>
  <c r="AS24" i="8"/>
  <c r="AT24" i="8" s="1"/>
  <c r="AU24" i="8" s="1"/>
  <c r="AS25" i="8"/>
  <c r="AT25" i="8" s="1"/>
  <c r="AU25" i="8" s="1"/>
  <c r="AS42" i="8"/>
  <c r="AY42" i="8" s="1"/>
  <c r="BE42" i="8" s="1"/>
  <c r="BF42" i="8" s="1"/>
  <c r="BG42" i="8" s="1"/>
  <c r="BF21" i="8"/>
  <c r="BG21" i="8" s="1"/>
  <c r="AL51" i="8"/>
  <c r="AM51" i="8" s="1"/>
  <c r="AS47" i="8"/>
  <c r="AY47" i="8" s="1"/>
  <c r="BE47" i="8" s="1"/>
  <c r="BF47" i="8" s="1"/>
  <c r="BG47" i="8" s="1"/>
  <c r="BF44" i="8"/>
  <c r="BG44" i="8" s="1"/>
  <c r="BF31" i="8"/>
  <c r="BG31" i="8" s="1"/>
  <c r="BF94" i="8"/>
  <c r="BG94" i="8" s="1"/>
  <c r="BE41" i="8"/>
  <c r="AF42" i="8"/>
  <c r="AG42" i="8" s="1"/>
  <c r="Z27" i="8"/>
  <c r="AA27" i="8" s="1"/>
  <c r="Z33" i="8"/>
  <c r="AA33" i="8" s="1"/>
  <c r="R22" i="8"/>
  <c r="S22" i="8" s="1"/>
  <c r="Y22" i="8"/>
  <c r="Y34" i="8"/>
  <c r="R34" i="8"/>
  <c r="S34" i="8" s="1"/>
  <c r="Y36" i="8"/>
  <c r="R36" i="8"/>
  <c r="S36" i="8" s="1"/>
  <c r="R38" i="8"/>
  <c r="S38" i="8" s="1"/>
  <c r="Y38" i="8"/>
  <c r="AF46" i="8"/>
  <c r="AG46" i="8" s="1"/>
  <c r="AK46" i="8"/>
  <c r="AL44" i="8"/>
  <c r="AM44" i="8" s="1"/>
  <c r="AL47" i="8"/>
  <c r="AM47" i="8" s="1"/>
  <c r="AF33" i="8"/>
  <c r="AG33" i="8" s="1"/>
  <c r="AK33" i="8"/>
  <c r="BA28" i="8"/>
  <c r="BA21" i="8"/>
  <c r="BA26" i="8"/>
  <c r="AE53" i="8"/>
  <c r="Z62" i="8"/>
  <c r="AA62" i="8" s="1"/>
  <c r="AS32" i="8"/>
  <c r="AY32" i="8" s="1"/>
  <c r="BE32" i="8" s="1"/>
  <c r="AS35" i="8"/>
  <c r="AY35" i="8" s="1"/>
  <c r="BE35" i="8" s="1"/>
  <c r="Z83" i="8"/>
  <c r="AA83" i="8" s="1"/>
  <c r="Z63" i="8"/>
  <c r="AA63" i="8" s="1"/>
  <c r="AE71" i="8"/>
  <c r="Z78" i="8"/>
  <c r="AA78" i="8" s="1"/>
  <c r="AE57" i="8"/>
  <c r="AK57" i="8" s="1"/>
  <c r="Z57" i="8"/>
  <c r="AA57" i="8" s="1"/>
  <c r="AE58" i="8"/>
  <c r="AK58" i="8" s="1"/>
  <c r="Z58" i="8"/>
  <c r="AA58" i="8" s="1"/>
  <c r="Z52" i="8"/>
  <c r="AA52" i="8" s="1"/>
  <c r="AE52" i="8"/>
  <c r="AK52" i="8" s="1"/>
  <c r="Z54" i="8"/>
  <c r="AA54" i="8" s="1"/>
  <c r="AE54" i="8"/>
  <c r="AK54" i="8" s="1"/>
  <c r="Z56" i="8"/>
  <c r="AA56" i="8" s="1"/>
  <c r="AE56" i="8"/>
  <c r="AK56" i="8" s="1"/>
  <c r="AE55" i="8"/>
  <c r="AK55" i="8" s="1"/>
  <c r="Z55" i="8"/>
  <c r="AA55" i="8" s="1"/>
  <c r="AS48" i="8"/>
  <c r="AY48" i="8" s="1"/>
  <c r="BE48" i="8" s="1"/>
  <c r="AL48" i="8"/>
  <c r="AM48" i="8" s="1"/>
  <c r="L68" i="5"/>
  <c r="M68" i="5" s="1"/>
  <c r="K74" i="5"/>
  <c r="Y61" i="6"/>
  <c r="T89" i="6"/>
  <c r="AD94" i="7"/>
  <c r="Z81" i="7"/>
  <c r="K72" i="5"/>
  <c r="L66" i="5"/>
  <c r="M66" i="5" s="1"/>
  <c r="Y57" i="6"/>
  <c r="L49" i="5"/>
  <c r="M49" i="5" s="1"/>
  <c r="W58" i="6"/>
  <c r="U59" i="6"/>
  <c r="V68" i="6"/>
  <c r="V77" i="6"/>
  <c r="AD101" i="7"/>
  <c r="U103" i="7"/>
  <c r="X103" i="7" s="1"/>
  <c r="W64" i="6"/>
  <c r="S59" i="6"/>
  <c r="S67" i="6"/>
  <c r="W76" i="6"/>
  <c r="U76" i="6"/>
  <c r="W78" i="6"/>
  <c r="U101" i="7"/>
  <c r="X101" i="7" s="1"/>
  <c r="AB98" i="7"/>
  <c r="U87" i="7"/>
  <c r="X87" i="7" s="1"/>
  <c r="X95" i="6"/>
  <c r="S75" i="6"/>
  <c r="T62" i="6"/>
  <c r="U98" i="7"/>
  <c r="X98" i="7" s="1"/>
  <c r="AB107" i="7"/>
  <c r="U86" i="7"/>
  <c r="X86" i="7" s="1"/>
  <c r="K53" i="5"/>
  <c r="L53" i="5" s="1"/>
  <c r="M53" i="5" s="1"/>
  <c r="L47" i="5"/>
  <c r="M47" i="5" s="1"/>
  <c r="Y67" i="6"/>
  <c r="W66" i="6"/>
  <c r="W68" i="6"/>
  <c r="U85" i="7"/>
  <c r="X85" i="7" s="1"/>
  <c r="U84" i="7"/>
  <c r="X84" i="7" s="1"/>
  <c r="G66" i="5"/>
  <c r="H66" i="5" s="1"/>
  <c r="F72" i="5"/>
  <c r="X67" i="6"/>
  <c r="X68" i="6"/>
  <c r="V66" i="6"/>
  <c r="T57" i="6"/>
  <c r="U83" i="7"/>
  <c r="X83" i="7" s="1"/>
  <c r="Q128" i="7"/>
  <c r="AF28" i="8"/>
  <c r="AG28" i="8" s="1"/>
  <c r="AT45" i="8"/>
  <c r="AU45" i="8" s="1"/>
  <c r="AT44" i="8"/>
  <c r="AU44" i="8" s="1"/>
  <c r="AT43" i="8"/>
  <c r="AU43" i="8" s="1"/>
  <c r="AT51" i="8"/>
  <c r="AU51" i="8" s="1"/>
  <c r="AF94" i="8"/>
  <c r="AG94" i="8" s="1"/>
  <c r="AL92" i="8"/>
  <c r="AM92" i="8" s="1"/>
  <c r="AF27" i="8"/>
  <c r="AG27" i="8" s="1"/>
  <c r="Z25" i="8"/>
  <c r="AA25" i="8" s="1"/>
  <c r="Z24" i="8"/>
  <c r="AA24" i="8" s="1"/>
  <c r="Z23" i="8"/>
  <c r="AA23" i="8" s="1"/>
  <c r="Z26" i="8"/>
  <c r="AA26" i="8" s="1"/>
  <c r="AL42" i="8"/>
  <c r="AM42" i="8" s="1"/>
  <c r="AA21" i="8"/>
  <c r="AT31" i="8"/>
  <c r="AU31" i="8" s="1"/>
  <c r="Z118" i="7"/>
  <c r="U116" i="7"/>
  <c r="X116" i="7" s="1"/>
  <c r="AB115" i="7"/>
  <c r="P128" i="7"/>
  <c r="Z116" i="7"/>
  <c r="U114" i="7"/>
  <c r="X114" i="7" s="1"/>
  <c r="P127" i="7"/>
  <c r="S127" i="7" s="1"/>
  <c r="P126" i="7"/>
  <c r="S126" i="7" s="1"/>
  <c r="AD118" i="7"/>
  <c r="Z114" i="7"/>
  <c r="U112" i="7"/>
  <c r="X112" i="7" s="1"/>
  <c r="P125" i="7"/>
  <c r="S125" i="7" s="1"/>
  <c r="R128" i="7"/>
  <c r="V128" i="7"/>
  <c r="P124" i="7"/>
  <c r="S124" i="7" s="1"/>
  <c r="AD116" i="7"/>
  <c r="Z112" i="7"/>
  <c r="U118" i="7"/>
  <c r="X118" i="7" s="1"/>
  <c r="P122" i="7"/>
  <c r="S122" i="7" s="1"/>
  <c r="AD114" i="7"/>
  <c r="Q62" i="7"/>
  <c r="V62" i="7" s="1"/>
  <c r="M62" i="7"/>
  <c r="AD112" i="7"/>
  <c r="R73" i="7"/>
  <c r="V73" i="7"/>
  <c r="AD124" i="7"/>
  <c r="AB111" i="7"/>
  <c r="P64" i="7"/>
  <c r="S64" i="7" s="1"/>
  <c r="Z117" i="7"/>
  <c r="AD128" i="7"/>
  <c r="R51" i="7"/>
  <c r="S51" i="7" s="1"/>
  <c r="V51" i="7"/>
  <c r="U115" i="7"/>
  <c r="X115" i="7" s="1"/>
  <c r="AB123" i="7"/>
  <c r="P62" i="7"/>
  <c r="S62" i="7" s="1"/>
  <c r="Z115" i="7"/>
  <c r="Z113" i="7"/>
  <c r="U113" i="7"/>
  <c r="X113" i="7" s="1"/>
  <c r="Z64" i="7"/>
  <c r="R117" i="7"/>
  <c r="S117" i="7" s="1"/>
  <c r="V117" i="7"/>
  <c r="AB117" i="7"/>
  <c r="Z111" i="7"/>
  <c r="U111" i="7"/>
  <c r="X111" i="7" s="1"/>
  <c r="U127" i="7"/>
  <c r="X127" i="7" s="1"/>
  <c r="S73" i="7"/>
  <c r="AB128" i="7"/>
  <c r="Z127" i="7"/>
  <c r="U125" i="7"/>
  <c r="X125" i="7" s="1"/>
  <c r="U68" i="7"/>
  <c r="X68" i="7" s="1"/>
  <c r="R84" i="7"/>
  <c r="V84" i="7"/>
  <c r="U117" i="7"/>
  <c r="X117" i="7" s="1"/>
  <c r="AB126" i="7"/>
  <c r="P74" i="7"/>
  <c r="S74" i="7" s="1"/>
  <c r="Z125" i="7"/>
  <c r="U123" i="7"/>
  <c r="X123" i="7" s="1"/>
  <c r="U67" i="7"/>
  <c r="X67" i="7" s="1"/>
  <c r="AD111" i="7"/>
  <c r="AD115" i="7"/>
  <c r="P123" i="7"/>
  <c r="S123" i="7" s="1"/>
  <c r="AB127" i="7"/>
  <c r="P118" i="7"/>
  <c r="S118" i="7" s="1"/>
  <c r="AB118" i="7"/>
  <c r="P116" i="7"/>
  <c r="S116" i="7" s="1"/>
  <c r="AB116" i="7"/>
  <c r="P114" i="7"/>
  <c r="S114" i="7" s="1"/>
  <c r="AB114" i="7"/>
  <c r="AB112" i="7"/>
  <c r="AB113" i="7"/>
  <c r="AB105" i="7"/>
  <c r="AB103" i="7"/>
  <c r="P107" i="7"/>
  <c r="S107" i="7" s="1"/>
  <c r="AB101" i="7"/>
  <c r="P105" i="7"/>
  <c r="S105" i="7" s="1"/>
  <c r="AD107" i="7"/>
  <c r="P103" i="7"/>
  <c r="S103" i="7" s="1"/>
  <c r="P108" i="7"/>
  <c r="S108" i="7" s="1"/>
  <c r="AD105" i="7"/>
  <c r="P101" i="7"/>
  <c r="S101" i="7" s="1"/>
  <c r="U96" i="7"/>
  <c r="X96" i="7" s="1"/>
  <c r="AD91" i="7"/>
  <c r="AB97" i="7"/>
  <c r="AB96" i="7"/>
  <c r="AE96" i="7" s="1"/>
  <c r="P98" i="7"/>
  <c r="S98" i="7" s="1"/>
  <c r="AB93" i="7"/>
  <c r="AE93" i="7" s="1"/>
  <c r="U93" i="7"/>
  <c r="X93" i="7" s="1"/>
  <c r="P97" i="7"/>
  <c r="S97" i="7" s="1"/>
  <c r="AD93" i="7"/>
  <c r="AF92" i="7" s="1"/>
  <c r="AB92" i="7"/>
  <c r="AE91" i="7" s="1"/>
  <c r="U92" i="7"/>
  <c r="X92" i="7" s="1"/>
  <c r="P96" i="7"/>
  <c r="S96" i="7" s="1"/>
  <c r="U91" i="7"/>
  <c r="X91" i="7" s="1"/>
  <c r="P95" i="7"/>
  <c r="S95" i="7" s="1"/>
  <c r="AB95" i="7"/>
  <c r="U94" i="7"/>
  <c r="X94" i="7" s="1"/>
  <c r="P94" i="7"/>
  <c r="S94" i="7" s="1"/>
  <c r="AB94" i="7"/>
  <c r="AB91" i="7"/>
  <c r="P93" i="7"/>
  <c r="S93" i="7" s="1"/>
  <c r="U95" i="7"/>
  <c r="X95" i="7" s="1"/>
  <c r="P92" i="7"/>
  <c r="S92" i="7" s="1"/>
  <c r="U97" i="7"/>
  <c r="X97" i="7" s="1"/>
  <c r="U82" i="7"/>
  <c r="X82" i="7" s="1"/>
  <c r="U81" i="7"/>
  <c r="X81" i="7" s="1"/>
  <c r="P88" i="7"/>
  <c r="S88" i="7" s="1"/>
  <c r="P86" i="7"/>
  <c r="S86" i="7" s="1"/>
  <c r="P85" i="7"/>
  <c r="S85" i="7" s="1"/>
  <c r="AB87" i="7"/>
  <c r="Z88" i="7"/>
  <c r="P84" i="7"/>
  <c r="AB86" i="7"/>
  <c r="AE86" i="7" s="1"/>
  <c r="Z84" i="7"/>
  <c r="P83" i="7"/>
  <c r="S83" i="7" s="1"/>
  <c r="P87" i="7"/>
  <c r="S87" i="7" s="1"/>
  <c r="AB82" i="7"/>
  <c r="Z83" i="7"/>
  <c r="P82" i="7"/>
  <c r="S82" i="7" s="1"/>
  <c r="Z82" i="7"/>
  <c r="U88" i="7"/>
  <c r="X88" i="7" s="1"/>
  <c r="P71" i="7"/>
  <c r="S71" i="7" s="1"/>
  <c r="P78" i="7"/>
  <c r="S78" i="7" s="1"/>
  <c r="U64" i="7"/>
  <c r="X64" i="7" s="1"/>
  <c r="Z95" i="7"/>
  <c r="AD66" i="7"/>
  <c r="U63" i="7"/>
  <c r="X63" i="7" s="1"/>
  <c r="Z94" i="7"/>
  <c r="AD62" i="7"/>
  <c r="AF62" i="7" s="1"/>
  <c r="U62" i="7"/>
  <c r="X62" i="7" s="1"/>
  <c r="Z93" i="7"/>
  <c r="AD61" i="7"/>
  <c r="U61" i="7"/>
  <c r="X61" i="7" s="1"/>
  <c r="AB78" i="7"/>
  <c r="Z92" i="7"/>
  <c r="AB77" i="7"/>
  <c r="Z91" i="7"/>
  <c r="Z67" i="7"/>
  <c r="P58" i="7"/>
  <c r="S58" i="7" s="1"/>
  <c r="P57" i="7"/>
  <c r="S57" i="7" s="1"/>
  <c r="P56" i="7"/>
  <c r="S56" i="7" s="1"/>
  <c r="AB85" i="7"/>
  <c r="AB76" i="7"/>
  <c r="AE75" i="7" s="1"/>
  <c r="AB84" i="7"/>
  <c r="AD122" i="7"/>
  <c r="AB75" i="7"/>
  <c r="AE74" i="7" s="1"/>
  <c r="AB83" i="7"/>
  <c r="AB72" i="7"/>
  <c r="AB121" i="7"/>
  <c r="AB68" i="7"/>
  <c r="AB71" i="7"/>
  <c r="AE78" i="7" s="1"/>
  <c r="AD88" i="7"/>
  <c r="AB67" i="7"/>
  <c r="AE66" i="7" s="1"/>
  <c r="AD87" i="7"/>
  <c r="AB81" i="7"/>
  <c r="AD86" i="7"/>
  <c r="AD85" i="7"/>
  <c r="AD126" i="7"/>
  <c r="AD127" i="7"/>
  <c r="AD84" i="7"/>
  <c r="AF83" i="7" s="1"/>
  <c r="AD83" i="7"/>
  <c r="AD82" i="7"/>
  <c r="AF81" i="7" s="1"/>
  <c r="Z68" i="7"/>
  <c r="Z66" i="7"/>
  <c r="AB66" i="7"/>
  <c r="Z63" i="7"/>
  <c r="AD68" i="7"/>
  <c r="AB65" i="7"/>
  <c r="Z62" i="7"/>
  <c r="AD67" i="7"/>
  <c r="AB64" i="7"/>
  <c r="Z61" i="7"/>
  <c r="AB63" i="7"/>
  <c r="AD65" i="7"/>
  <c r="AB62" i="7"/>
  <c r="Z87" i="7"/>
  <c r="AD113" i="7"/>
  <c r="AD64" i="7"/>
  <c r="AF63" i="7" s="1"/>
  <c r="AB61" i="7"/>
  <c r="Z86" i="7"/>
  <c r="AB88" i="7"/>
  <c r="Z85" i="7"/>
  <c r="N74" i="7"/>
  <c r="I91" i="7"/>
  <c r="N88" i="7"/>
  <c r="N72" i="7"/>
  <c r="N85" i="7"/>
  <c r="I63" i="7"/>
  <c r="N98" i="7"/>
  <c r="N58" i="7"/>
  <c r="I75" i="7"/>
  <c r="N84" i="7"/>
  <c r="I62" i="7"/>
  <c r="N97" i="7"/>
  <c r="N57" i="7"/>
  <c r="N83" i="7"/>
  <c r="I61" i="7"/>
  <c r="N63" i="7"/>
  <c r="N87" i="7"/>
  <c r="N96" i="7"/>
  <c r="N56" i="7"/>
  <c r="I73" i="7"/>
  <c r="N82" i="7"/>
  <c r="I88" i="7"/>
  <c r="N95" i="7"/>
  <c r="N55" i="7"/>
  <c r="I72" i="7"/>
  <c r="N81" i="7"/>
  <c r="I87" i="7"/>
  <c r="I65" i="7"/>
  <c r="N94" i="7"/>
  <c r="N54" i="7"/>
  <c r="I86" i="7"/>
  <c r="N67" i="7"/>
  <c r="I71" i="7"/>
  <c r="N93" i="7"/>
  <c r="N53" i="7"/>
  <c r="I98" i="7"/>
  <c r="I58" i="7"/>
  <c r="N64" i="7"/>
  <c r="I85" i="7"/>
  <c r="N62" i="7"/>
  <c r="N92" i="7"/>
  <c r="N52" i="7"/>
  <c r="I97" i="7"/>
  <c r="I84" i="7"/>
  <c r="N91" i="7"/>
  <c r="I96" i="7"/>
  <c r="I56" i="7"/>
  <c r="N78" i="7"/>
  <c r="I95" i="7"/>
  <c r="I55" i="7"/>
  <c r="I82" i="7"/>
  <c r="N66" i="7"/>
  <c r="N71" i="7"/>
  <c r="N77" i="7"/>
  <c r="I94" i="7"/>
  <c r="I54" i="7"/>
  <c r="I81" i="7"/>
  <c r="N73" i="7"/>
  <c r="N76" i="7"/>
  <c r="N61" i="7"/>
  <c r="N65" i="7"/>
  <c r="N75" i="7"/>
  <c r="I92" i="7"/>
  <c r="I52" i="7"/>
  <c r="AE54" i="7"/>
  <c r="AF55" i="7"/>
  <c r="AF76" i="7"/>
  <c r="AE92" i="7"/>
  <c r="AE52" i="7"/>
  <c r="AF91" i="7"/>
  <c r="N86" i="7"/>
  <c r="N68" i="7"/>
  <c r="AF51" i="7"/>
  <c r="AE83" i="7"/>
  <c r="AF52" i="7"/>
  <c r="AE56" i="7"/>
  <c r="AE55" i="7"/>
  <c r="I83" i="7"/>
  <c r="I93" i="7"/>
  <c r="I68" i="7"/>
  <c r="I67" i="7"/>
  <c r="I78" i="7"/>
  <c r="I66" i="7"/>
  <c r="I77" i="7"/>
  <c r="I76" i="7"/>
  <c r="I64" i="7"/>
  <c r="I74" i="7"/>
  <c r="AF97" i="7"/>
  <c r="AF57" i="7"/>
  <c r="AE73" i="7"/>
  <c r="AF73" i="7"/>
  <c r="AF71" i="7"/>
  <c r="I57" i="7"/>
  <c r="I53" i="7"/>
  <c r="AF72" i="7"/>
  <c r="AF95" i="7"/>
  <c r="AF93" i="7"/>
  <c r="AF53" i="7"/>
  <c r="AE97" i="7"/>
  <c r="AE57" i="7"/>
  <c r="AF98" i="7"/>
  <c r="AF58" i="7"/>
  <c r="AF77" i="7"/>
  <c r="AE53" i="7"/>
  <c r="AF74" i="7"/>
  <c r="AF94" i="7"/>
  <c r="AF54" i="7"/>
  <c r="AF75" i="7"/>
  <c r="AE51" i="7"/>
  <c r="AE77" i="7"/>
  <c r="AE58" i="7"/>
  <c r="AF78" i="7"/>
  <c r="AE98" i="7"/>
  <c r="AF96" i="7"/>
  <c r="AF56" i="7"/>
  <c r="Z77" i="6"/>
  <c r="Y79" i="6"/>
  <c r="Z72" i="6"/>
  <c r="Z89" i="6"/>
  <c r="Y81" i="6"/>
  <c r="Y72" i="6"/>
  <c r="X71" i="6"/>
  <c r="X100" i="6"/>
  <c r="T59" i="6"/>
  <c r="X88" i="6"/>
  <c r="V79" i="6"/>
  <c r="V72" i="6"/>
  <c r="Y88" i="6"/>
  <c r="Y66" i="6"/>
  <c r="X59" i="6"/>
  <c r="S90" i="6"/>
  <c r="V58" i="6"/>
  <c r="U88" i="6"/>
  <c r="T66" i="6"/>
  <c r="S81" i="6"/>
  <c r="W61" i="6"/>
  <c r="Z66" i="6"/>
  <c r="Y68" i="6"/>
  <c r="X79" i="6"/>
  <c r="V70" i="6"/>
  <c r="W82" i="6"/>
  <c r="T67" i="6"/>
  <c r="X58" i="6"/>
  <c r="X63" i="6"/>
  <c r="T63" i="6"/>
  <c r="W81" i="6"/>
  <c r="V78" i="6"/>
  <c r="V71" i="6"/>
  <c r="X96" i="6"/>
  <c r="U72" i="6"/>
  <c r="U69" i="6"/>
  <c r="U71" i="6"/>
  <c r="S99" i="6"/>
  <c r="S78" i="6"/>
  <c r="Z69" i="6"/>
  <c r="W62" i="6"/>
  <c r="Z90" i="6"/>
  <c r="X72" i="6"/>
  <c r="V69" i="6"/>
  <c r="S97" i="6"/>
  <c r="T90" i="6"/>
  <c r="S73" i="6"/>
  <c r="T77" i="6"/>
  <c r="X75" i="6"/>
  <c r="S69" i="6"/>
  <c r="T72" i="6"/>
  <c r="S66" i="6"/>
  <c r="V82" i="6"/>
  <c r="S63" i="6"/>
  <c r="V62" i="6"/>
  <c r="Z88" i="6"/>
  <c r="Y80" i="6"/>
  <c r="W70" i="6"/>
  <c r="S70" i="6"/>
  <c r="T69" i="6"/>
  <c r="X99" i="6"/>
  <c r="W67" i="6"/>
  <c r="W69" i="6"/>
  <c r="Z98" i="6"/>
  <c r="T64" i="6"/>
  <c r="X97" i="6"/>
  <c r="S68" i="6"/>
  <c r="V67" i="6"/>
  <c r="Z58" i="6"/>
  <c r="X57" i="6"/>
  <c r="V73" i="6"/>
  <c r="U66" i="6"/>
  <c r="Z76" i="6"/>
  <c r="Y77" i="6"/>
  <c r="S61" i="6"/>
  <c r="V60" i="6"/>
  <c r="Z81" i="6"/>
  <c r="Y78" i="6"/>
  <c r="X69" i="6"/>
  <c r="T81" i="6"/>
  <c r="U89" i="6"/>
  <c r="S89" i="6"/>
  <c r="U98" i="6"/>
  <c r="V99" i="6"/>
  <c r="W59" i="6"/>
  <c r="S60" i="6"/>
  <c r="T78" i="6"/>
  <c r="V97" i="6"/>
  <c r="Z68" i="6"/>
  <c r="S57" i="6"/>
  <c r="Y75" i="6"/>
  <c r="W73" i="6"/>
  <c r="Z64" i="6"/>
  <c r="T68" i="6"/>
  <c r="V75" i="6"/>
  <c r="Y58" i="6"/>
  <c r="W57" i="6"/>
  <c r="U73" i="6"/>
  <c r="X77" i="6"/>
  <c r="Z60" i="6"/>
  <c r="U62" i="6"/>
  <c r="Z79" i="6"/>
  <c r="Z71" i="6"/>
  <c r="T79" i="6"/>
  <c r="V89" i="6"/>
  <c r="T60" i="6"/>
  <c r="T82" i="6"/>
  <c r="W99" i="6"/>
  <c r="X64" i="6"/>
  <c r="W75" i="6"/>
  <c r="V59" i="6"/>
  <c r="X76" i="6"/>
  <c r="U75" i="6"/>
  <c r="Z62" i="6"/>
  <c r="Z78" i="6"/>
  <c r="T70" i="6"/>
  <c r="Y98" i="6"/>
  <c r="T98" i="6"/>
  <c r="Y99" i="6"/>
  <c r="U78" i="6"/>
  <c r="Z75" i="6"/>
  <c r="X82" i="6"/>
  <c r="X66" i="6"/>
  <c r="S77" i="6"/>
  <c r="Y76" i="6"/>
  <c r="V57" i="6"/>
  <c r="T73" i="6"/>
  <c r="V76" i="6"/>
  <c r="W77" i="6"/>
  <c r="Y63" i="6"/>
  <c r="U60" i="6"/>
  <c r="S71" i="6"/>
  <c r="Y69" i="6"/>
  <c r="W90" i="6"/>
  <c r="U80" i="6"/>
  <c r="S80" i="6"/>
  <c r="W97" i="6"/>
  <c r="Q94" i="6"/>
  <c r="Q96" i="6"/>
  <c r="Q93" i="6"/>
  <c r="Z100" i="6" s="1"/>
  <c r="Q95" i="6"/>
  <c r="K94" i="6"/>
  <c r="K96" i="6"/>
  <c r="K93" i="6"/>
  <c r="W100" i="6" s="1"/>
  <c r="K95" i="6"/>
  <c r="I95" i="6"/>
  <c r="I94" i="6"/>
  <c r="I96" i="6"/>
  <c r="I93" i="6"/>
  <c r="V100" i="6" s="1"/>
  <c r="G95" i="6"/>
  <c r="G94" i="6"/>
  <c r="G96" i="6"/>
  <c r="G93" i="6"/>
  <c r="U100" i="6" s="1"/>
  <c r="E95" i="6"/>
  <c r="E94" i="6"/>
  <c r="E96" i="6"/>
  <c r="T95" i="6" s="1"/>
  <c r="E93" i="6"/>
  <c r="T100" i="6" s="1"/>
  <c r="C94" i="6"/>
  <c r="C95" i="6"/>
  <c r="S100" i="6"/>
  <c r="K84" i="6"/>
  <c r="W91" i="6" s="1"/>
  <c r="K86" i="6"/>
  <c r="K85" i="6"/>
  <c r="K87" i="6"/>
  <c r="Q86" i="6"/>
  <c r="Q85" i="6"/>
  <c r="Q87" i="6"/>
  <c r="Z87" i="6" s="1"/>
  <c r="Q84" i="6"/>
  <c r="Z91" i="6" s="1"/>
  <c r="O86" i="6"/>
  <c r="O85" i="6"/>
  <c r="O84" i="6"/>
  <c r="Y91" i="6" s="1"/>
  <c r="O87" i="6"/>
  <c r="Y86" i="6" s="1"/>
  <c r="M86" i="6"/>
  <c r="M85" i="6"/>
  <c r="M84" i="6"/>
  <c r="X91" i="6" s="1"/>
  <c r="M87" i="6"/>
  <c r="O96" i="6"/>
  <c r="Y96" i="6" s="1"/>
  <c r="O94" i="6"/>
  <c r="O95" i="6"/>
  <c r="O93" i="6"/>
  <c r="Y100" i="6" s="1"/>
  <c r="I84" i="6"/>
  <c r="V91" i="6" s="1"/>
  <c r="I86" i="6"/>
  <c r="I87" i="6"/>
  <c r="V87" i="6" s="1"/>
  <c r="I85" i="6"/>
  <c r="G84" i="6"/>
  <c r="U91" i="6" s="1"/>
  <c r="G86" i="6"/>
  <c r="G85" i="6"/>
  <c r="U84" i="6" s="1"/>
  <c r="G87" i="6"/>
  <c r="U86" i="6" s="1"/>
  <c r="E87" i="6"/>
  <c r="E86" i="6"/>
  <c r="E85" i="6"/>
  <c r="T84" i="6" s="1"/>
  <c r="S91" i="6"/>
  <c r="C87" i="6"/>
  <c r="S87" i="6" s="1"/>
  <c r="K79" i="5"/>
  <c r="L79" i="5" s="1"/>
  <c r="M79" i="5" s="1"/>
  <c r="L29" i="5"/>
  <c r="M29" i="5" s="1"/>
  <c r="K35" i="5"/>
  <c r="L35" i="5" s="1"/>
  <c r="M35" i="5" s="1"/>
  <c r="F54" i="5"/>
  <c r="G54" i="5" s="1"/>
  <c r="H54" i="5" s="1"/>
  <c r="F53" i="5"/>
  <c r="G53" i="5" s="1"/>
  <c r="H53" i="5" s="1"/>
  <c r="K54" i="5"/>
  <c r="L54" i="5" s="1"/>
  <c r="M54" i="5" s="1"/>
  <c r="K41" i="5"/>
  <c r="L41" i="5" s="1"/>
  <c r="M41" i="5" s="1"/>
  <c r="F35" i="5"/>
  <c r="G35" i="5" s="1"/>
  <c r="F37" i="5"/>
  <c r="G37" i="5" s="1"/>
  <c r="H37" i="5" s="1"/>
  <c r="K37" i="5"/>
  <c r="K43" i="5" s="1"/>
  <c r="L43" i="5" s="1"/>
  <c r="M43" i="5" s="1"/>
  <c r="F36" i="5"/>
  <c r="G36" i="5" s="1"/>
  <c r="H36" i="5" s="1"/>
  <c r="F55" i="5"/>
  <c r="G55" i="5" s="1"/>
  <c r="H55" i="5" s="1"/>
  <c r="F60" i="5"/>
  <c r="G60" i="5" s="1"/>
  <c r="H60" i="5" s="1"/>
  <c r="K60" i="5"/>
  <c r="L60" i="5" s="1"/>
  <c r="M60" i="5" s="1"/>
  <c r="K61" i="5"/>
  <c r="L61" i="5" s="1"/>
  <c r="M61" i="5" s="1"/>
  <c r="K59" i="5"/>
  <c r="L59" i="5" s="1"/>
  <c r="M59" i="5" s="1"/>
  <c r="K36" i="5"/>
  <c r="L36" i="5" s="1"/>
  <c r="M36" i="5" s="1"/>
  <c r="D42" i="3"/>
  <c r="E31" i="3"/>
  <c r="F31" i="3" s="1"/>
  <c r="G31" i="3" s="1"/>
  <c r="D36" i="3"/>
  <c r="E25" i="3"/>
  <c r="F25" i="3" s="1"/>
  <c r="G25" i="3" s="1"/>
  <c r="D39" i="3"/>
  <c r="E28" i="3"/>
  <c r="F28" i="3" s="1"/>
  <c r="G28" i="3" s="1"/>
  <c r="L15" i="3"/>
  <c r="M4" i="3"/>
  <c r="N4" i="3" s="1"/>
  <c r="D41" i="3"/>
  <c r="E30" i="3"/>
  <c r="F30" i="3" s="1"/>
  <c r="G30" i="3" s="1"/>
  <c r="L21" i="3"/>
  <c r="M10" i="3"/>
  <c r="N10" i="3" s="1"/>
  <c r="E26" i="3"/>
  <c r="F26" i="3" s="1"/>
  <c r="G26" i="3" s="1"/>
  <c r="D37" i="3"/>
  <c r="L14" i="3"/>
  <c r="M3" i="3"/>
  <c r="N3" i="3" s="1"/>
  <c r="D43" i="3"/>
  <c r="E32" i="3"/>
  <c r="F32" i="3" s="1"/>
  <c r="G32" i="3" s="1"/>
  <c r="L29" i="3"/>
  <c r="M18" i="3"/>
  <c r="N18" i="3" s="1"/>
  <c r="D38" i="3"/>
  <c r="E27" i="3"/>
  <c r="F27" i="3" s="1"/>
  <c r="G27" i="3" s="1"/>
  <c r="L17" i="3"/>
  <c r="M6" i="3"/>
  <c r="N6" i="3" s="1"/>
  <c r="L16" i="3"/>
  <c r="M5" i="3"/>
  <c r="N5" i="3" s="1"/>
  <c r="L19" i="3"/>
  <c r="M8" i="3"/>
  <c r="N8" i="3" s="1"/>
  <c r="L20" i="3"/>
  <c r="M9" i="3"/>
  <c r="N9" i="3" s="1"/>
  <c r="E29" i="3"/>
  <c r="F29" i="3" s="1"/>
  <c r="G29" i="3" s="1"/>
  <c r="D40" i="3"/>
  <c r="BR86" i="11" l="1"/>
  <c r="BS86" i="11" s="1"/>
  <c r="BY86" i="11"/>
  <c r="BZ57" i="11"/>
  <c r="CA57" i="11" s="1"/>
  <c r="CE57" i="11"/>
  <c r="CK57" i="11" s="1"/>
  <c r="CQ57" i="11" s="1"/>
  <c r="CY57" i="11" s="1"/>
  <c r="DE57" i="11" s="1"/>
  <c r="DK57" i="11" s="1"/>
  <c r="BZ27" i="11"/>
  <c r="CA27" i="11" s="1"/>
  <c r="CE27" i="11"/>
  <c r="CK27" i="11" s="1"/>
  <c r="CQ27" i="11" s="1"/>
  <c r="CY27" i="11" s="1"/>
  <c r="DE27" i="11" s="1"/>
  <c r="DK27" i="11" s="1"/>
  <c r="BZ33" i="11"/>
  <c r="CA33" i="11" s="1"/>
  <c r="CE33" i="11"/>
  <c r="CK33" i="11" s="1"/>
  <c r="CQ33" i="11" s="1"/>
  <c r="CY33" i="11" s="1"/>
  <c r="DE33" i="11" s="1"/>
  <c r="DK33" i="11" s="1"/>
  <c r="CE53" i="11"/>
  <c r="CK53" i="11" s="1"/>
  <c r="CQ53" i="11" s="1"/>
  <c r="CY53" i="11" s="1"/>
  <c r="DE53" i="11" s="1"/>
  <c r="DK53" i="11" s="1"/>
  <c r="BZ53" i="11"/>
  <c r="CA53" i="11" s="1"/>
  <c r="BZ52" i="11"/>
  <c r="CA52" i="11" s="1"/>
  <c r="CE52" i="11"/>
  <c r="CK52" i="11" s="1"/>
  <c r="CQ52" i="11" s="1"/>
  <c r="CY52" i="11" s="1"/>
  <c r="DE52" i="11" s="1"/>
  <c r="DK52" i="11" s="1"/>
  <c r="BZ36" i="11"/>
  <c r="CA36" i="11" s="1"/>
  <c r="CE36" i="11"/>
  <c r="CK36" i="11" s="1"/>
  <c r="CQ36" i="11" s="1"/>
  <c r="CY36" i="11" s="1"/>
  <c r="DE36" i="11" s="1"/>
  <c r="DK36" i="11" s="1"/>
  <c r="BZ62" i="11"/>
  <c r="CA62" i="11" s="1"/>
  <c r="CE62" i="11"/>
  <c r="CK62" i="11" s="1"/>
  <c r="CQ62" i="11" s="1"/>
  <c r="CY62" i="11" s="1"/>
  <c r="DE62" i="11" s="1"/>
  <c r="DK62" i="11" s="1"/>
  <c r="BZ64" i="11"/>
  <c r="CA64" i="11" s="1"/>
  <c r="CE64" i="11"/>
  <c r="CK64" i="11" s="1"/>
  <c r="CQ64" i="11" s="1"/>
  <c r="CY64" i="11" s="1"/>
  <c r="DE64" i="11" s="1"/>
  <c r="DK64" i="11" s="1"/>
  <c r="CE96" i="11"/>
  <c r="CK96" i="11" s="1"/>
  <c r="CQ96" i="11" s="1"/>
  <c r="CY96" i="11" s="1"/>
  <c r="DE96" i="11" s="1"/>
  <c r="DK96" i="11" s="1"/>
  <c r="BZ96" i="11"/>
  <c r="CA96" i="11" s="1"/>
  <c r="CE94" i="11"/>
  <c r="CK94" i="11" s="1"/>
  <c r="CQ94" i="11" s="1"/>
  <c r="CY94" i="11" s="1"/>
  <c r="DE94" i="11" s="1"/>
  <c r="DK94" i="11" s="1"/>
  <c r="BZ94" i="11"/>
  <c r="CA94" i="11" s="1"/>
  <c r="CE81" i="11"/>
  <c r="CK81" i="11" s="1"/>
  <c r="CQ81" i="11" s="1"/>
  <c r="CY81" i="11" s="1"/>
  <c r="DE81" i="11" s="1"/>
  <c r="DK81" i="11" s="1"/>
  <c r="BZ81" i="11"/>
  <c r="CA81" i="11" s="1"/>
  <c r="BZ37" i="11"/>
  <c r="CA37" i="11" s="1"/>
  <c r="CE37" i="11"/>
  <c r="CK37" i="11" s="1"/>
  <c r="CQ37" i="11" s="1"/>
  <c r="CY37" i="11" s="1"/>
  <c r="DE37" i="11" s="1"/>
  <c r="DK37" i="11" s="1"/>
  <c r="CE24" i="11"/>
  <c r="CK24" i="11" s="1"/>
  <c r="CQ24" i="11" s="1"/>
  <c r="CY24" i="11" s="1"/>
  <c r="DE24" i="11" s="1"/>
  <c r="DK24" i="11" s="1"/>
  <c r="BZ24" i="11"/>
  <c r="CA24" i="11" s="1"/>
  <c r="BR42" i="11"/>
  <c r="BS42" i="11" s="1"/>
  <c r="BY42" i="11"/>
  <c r="CE83" i="11"/>
  <c r="CK83" i="11" s="1"/>
  <c r="CQ83" i="11" s="1"/>
  <c r="CY83" i="11" s="1"/>
  <c r="DE83" i="11" s="1"/>
  <c r="DK83" i="11" s="1"/>
  <c r="BZ83" i="11"/>
  <c r="CA83" i="11" s="1"/>
  <c r="AX82" i="11"/>
  <c r="AY82" i="11" s="1"/>
  <c r="BE82" i="11"/>
  <c r="CE91" i="11"/>
  <c r="CK91" i="11" s="1"/>
  <c r="CQ91" i="11" s="1"/>
  <c r="CY91" i="11" s="1"/>
  <c r="DE91" i="11" s="1"/>
  <c r="DK91" i="11" s="1"/>
  <c r="BZ91" i="11"/>
  <c r="CA91" i="11" s="1"/>
  <c r="CE45" i="11"/>
  <c r="CK45" i="11" s="1"/>
  <c r="CQ45" i="11" s="1"/>
  <c r="CY45" i="11" s="1"/>
  <c r="DE45" i="11" s="1"/>
  <c r="DK45" i="11" s="1"/>
  <c r="BZ45" i="11"/>
  <c r="CA45" i="11" s="1"/>
  <c r="BY97" i="11"/>
  <c r="CE97" i="11" s="1"/>
  <c r="CK97" i="11" s="1"/>
  <c r="CQ97" i="11" s="1"/>
  <c r="CY97" i="11" s="1"/>
  <c r="DE97" i="11" s="1"/>
  <c r="DK97" i="11" s="1"/>
  <c r="BZ23" i="11"/>
  <c r="CA23" i="11" s="1"/>
  <c r="CE23" i="11"/>
  <c r="CK23" i="11" s="1"/>
  <c r="CQ23" i="11" s="1"/>
  <c r="CY23" i="11" s="1"/>
  <c r="DE23" i="11" s="1"/>
  <c r="DK23" i="11" s="1"/>
  <c r="AX85" i="11"/>
  <c r="AY85" i="11" s="1"/>
  <c r="BE85" i="11"/>
  <c r="BF85" i="11" s="1"/>
  <c r="BG85" i="11" s="1"/>
  <c r="BZ22" i="11"/>
  <c r="CA22" i="11" s="1"/>
  <c r="CE22" i="11"/>
  <c r="CK22" i="11" s="1"/>
  <c r="CQ22" i="11" s="1"/>
  <c r="CY22" i="11" s="1"/>
  <c r="DE22" i="11" s="1"/>
  <c r="DK22" i="11" s="1"/>
  <c r="BZ55" i="11"/>
  <c r="CA55" i="11" s="1"/>
  <c r="CE55" i="11"/>
  <c r="CK55" i="11" s="1"/>
  <c r="CQ55" i="11" s="1"/>
  <c r="CY55" i="11" s="1"/>
  <c r="DE55" i="11" s="1"/>
  <c r="DK55" i="11" s="1"/>
  <c r="BK84" i="11"/>
  <c r="BQ84" i="11" s="1"/>
  <c r="BR84" i="11" s="1"/>
  <c r="BS84" i="11" s="1"/>
  <c r="CE61" i="11"/>
  <c r="CK61" i="11" s="1"/>
  <c r="CQ61" i="11" s="1"/>
  <c r="CY61" i="11" s="1"/>
  <c r="DE61" i="11" s="1"/>
  <c r="DK61" i="11" s="1"/>
  <c r="BZ61" i="11"/>
  <c r="CA61" i="11" s="1"/>
  <c r="CE68" i="11"/>
  <c r="CK68" i="11" s="1"/>
  <c r="CQ68" i="11" s="1"/>
  <c r="CY68" i="11" s="1"/>
  <c r="DE68" i="11" s="1"/>
  <c r="DK68" i="11" s="1"/>
  <c r="BZ68" i="11"/>
  <c r="CA68" i="11" s="1"/>
  <c r="BZ38" i="11"/>
  <c r="CA38" i="11" s="1"/>
  <c r="CE38" i="11"/>
  <c r="CK38" i="11" s="1"/>
  <c r="CQ38" i="11" s="1"/>
  <c r="CY38" i="11" s="1"/>
  <c r="DE38" i="11" s="1"/>
  <c r="DK38" i="11" s="1"/>
  <c r="BZ26" i="11"/>
  <c r="CA26" i="11" s="1"/>
  <c r="CE26" i="11"/>
  <c r="CK26" i="11" s="1"/>
  <c r="CQ26" i="11" s="1"/>
  <c r="CY26" i="11" s="1"/>
  <c r="DE26" i="11" s="1"/>
  <c r="DK26" i="11" s="1"/>
  <c r="BZ35" i="11"/>
  <c r="CA35" i="11" s="1"/>
  <c r="CE35" i="11"/>
  <c r="CK35" i="11" s="1"/>
  <c r="CQ35" i="11" s="1"/>
  <c r="CY35" i="11" s="1"/>
  <c r="DE35" i="11" s="1"/>
  <c r="DK35" i="11" s="1"/>
  <c r="CE95" i="11"/>
  <c r="CK95" i="11" s="1"/>
  <c r="CQ95" i="11" s="1"/>
  <c r="CY95" i="11" s="1"/>
  <c r="DE95" i="11" s="1"/>
  <c r="DK95" i="11" s="1"/>
  <c r="BZ95" i="11"/>
  <c r="CA95" i="11" s="1"/>
  <c r="CE56" i="11"/>
  <c r="CK56" i="11" s="1"/>
  <c r="CQ56" i="11" s="1"/>
  <c r="CY56" i="11" s="1"/>
  <c r="DE56" i="11" s="1"/>
  <c r="DK56" i="11" s="1"/>
  <c r="BZ56" i="11"/>
  <c r="CA56" i="11" s="1"/>
  <c r="BF82" i="11"/>
  <c r="BG82" i="11" s="1"/>
  <c r="BK82" i="11"/>
  <c r="BQ82" i="11" s="1"/>
  <c r="ES43" i="11"/>
  <c r="EL43" i="11"/>
  <c r="EM43" i="11" s="1"/>
  <c r="ES87" i="11"/>
  <c r="EL87" i="11"/>
  <c r="EM87" i="11" s="1"/>
  <c r="EY54" i="11"/>
  <c r="ET54" i="11"/>
  <c r="EU54" i="11" s="1"/>
  <c r="DY44" i="11"/>
  <c r="EE44" i="11" s="1"/>
  <c r="EK44" i="11" s="1"/>
  <c r="ES44" i="11" s="1"/>
  <c r="EY44" i="11" s="1"/>
  <c r="FE44" i="11" s="1"/>
  <c r="FK44" i="11" s="1"/>
  <c r="DQ44" i="11"/>
  <c r="DY25" i="11"/>
  <c r="EE25" i="11" s="1"/>
  <c r="EK25" i="11" s="1"/>
  <c r="ES25" i="11" s="1"/>
  <c r="EY25" i="11" s="1"/>
  <c r="FE25" i="11" s="1"/>
  <c r="FK25" i="11" s="1"/>
  <c r="DQ25" i="11"/>
  <c r="BZ86" i="11"/>
  <c r="CA86" i="11" s="1"/>
  <c r="CE86" i="11"/>
  <c r="CK86" i="11" s="1"/>
  <c r="CQ86" i="11" s="1"/>
  <c r="CY86" i="11" s="1"/>
  <c r="DE86" i="11" s="1"/>
  <c r="DK86" i="11" s="1"/>
  <c r="DY31" i="11"/>
  <c r="EE31" i="11" s="1"/>
  <c r="EK31" i="11" s="1"/>
  <c r="ES31" i="11" s="1"/>
  <c r="EY31" i="11" s="1"/>
  <c r="FE31" i="11" s="1"/>
  <c r="FK31" i="11" s="1"/>
  <c r="DQ31" i="11"/>
  <c r="DQ28" i="11"/>
  <c r="DY28" i="11"/>
  <c r="EE28" i="11" s="1"/>
  <c r="EK28" i="11" s="1"/>
  <c r="ES28" i="11" s="1"/>
  <c r="EY28" i="11" s="1"/>
  <c r="FE28" i="11" s="1"/>
  <c r="FK28" i="11" s="1"/>
  <c r="BZ97" i="11"/>
  <c r="CA97" i="11" s="1"/>
  <c r="DQ67" i="11"/>
  <c r="DY67" i="11"/>
  <c r="EE67" i="11" s="1"/>
  <c r="EK67" i="11" s="1"/>
  <c r="ES67" i="11" s="1"/>
  <c r="EY67" i="11" s="1"/>
  <c r="FE67" i="11" s="1"/>
  <c r="FK67" i="11" s="1"/>
  <c r="CQ32" i="11"/>
  <c r="CL32" i="11"/>
  <c r="CM32" i="11" s="1"/>
  <c r="DQ66" i="11"/>
  <c r="DY66" i="11"/>
  <c r="EE66" i="11" s="1"/>
  <c r="EK66" i="11" s="1"/>
  <c r="ES66" i="11" s="1"/>
  <c r="EY66" i="11" s="1"/>
  <c r="FE66" i="11" s="1"/>
  <c r="FK66" i="11" s="1"/>
  <c r="DY46" i="11"/>
  <c r="EE46" i="11" s="1"/>
  <c r="EK46" i="11" s="1"/>
  <c r="ES46" i="11" s="1"/>
  <c r="EY46" i="11" s="1"/>
  <c r="FE46" i="11" s="1"/>
  <c r="FK46" i="11" s="1"/>
  <c r="DQ46" i="11"/>
  <c r="DQ93" i="11"/>
  <c r="DY93" i="11"/>
  <c r="EE93" i="11" s="1"/>
  <c r="EK93" i="11" s="1"/>
  <c r="ES93" i="11" s="1"/>
  <c r="EY93" i="11" s="1"/>
  <c r="FE93" i="11" s="1"/>
  <c r="FK93" i="11" s="1"/>
  <c r="CL98" i="11"/>
  <c r="CM98" i="11" s="1"/>
  <c r="CF87" i="11"/>
  <c r="CG87" i="11" s="1"/>
  <c r="CF76" i="11"/>
  <c r="CG76" i="11" s="1"/>
  <c r="CL65" i="11"/>
  <c r="CM65" i="11" s="1"/>
  <c r="BL63" i="11"/>
  <c r="BM63" i="11" s="1"/>
  <c r="CF54" i="11"/>
  <c r="CG54" i="11" s="1"/>
  <c r="CF43" i="11"/>
  <c r="CG43" i="11" s="1"/>
  <c r="BG35" i="11"/>
  <c r="BL73" i="11"/>
  <c r="BM73" i="11" s="1"/>
  <c r="BG68" i="11"/>
  <c r="BL25" i="11"/>
  <c r="BM25" i="11" s="1"/>
  <c r="BG24" i="11"/>
  <c r="BG37" i="11"/>
  <c r="BL77" i="11"/>
  <c r="BM77" i="11" s="1"/>
  <c r="BL52" i="11"/>
  <c r="BM52" i="11" s="1"/>
  <c r="BL62" i="11"/>
  <c r="BM62" i="11" s="1"/>
  <c r="BL93" i="11"/>
  <c r="BM93" i="11" s="1"/>
  <c r="BG75" i="11"/>
  <c r="BG26" i="11"/>
  <c r="BL66" i="11"/>
  <c r="BM66" i="11" s="1"/>
  <c r="BG94" i="11"/>
  <c r="BG72" i="11"/>
  <c r="BG84" i="11"/>
  <c r="BG44" i="11"/>
  <c r="BL36" i="11"/>
  <c r="BM36" i="11" s="1"/>
  <c r="BG86" i="11"/>
  <c r="BL53" i="11"/>
  <c r="BM53" i="11" s="1"/>
  <c r="BL46" i="11"/>
  <c r="BM46" i="11" s="1"/>
  <c r="BL33" i="11"/>
  <c r="BM33" i="11" s="1"/>
  <c r="BL95" i="11"/>
  <c r="BM95" i="11" s="1"/>
  <c r="BG97" i="11"/>
  <c r="BL74" i="11"/>
  <c r="BM74" i="11" s="1"/>
  <c r="BG28" i="11"/>
  <c r="BL45" i="11"/>
  <c r="BM45" i="11" s="1"/>
  <c r="BG78" i="11"/>
  <c r="BL91" i="11"/>
  <c r="BM91" i="11" s="1"/>
  <c r="BG67" i="11"/>
  <c r="BL92" i="11"/>
  <c r="BM92" i="11" s="1"/>
  <c r="BG27" i="11"/>
  <c r="BG58" i="11"/>
  <c r="BG55" i="11"/>
  <c r="BG47" i="11"/>
  <c r="BL81" i="11"/>
  <c r="BM81" i="11" s="1"/>
  <c r="BG34" i="11"/>
  <c r="BG38" i="11"/>
  <c r="BH67" i="9"/>
  <c r="BI67" i="9" s="1"/>
  <c r="AZ41" i="9"/>
  <c r="BA41" i="9" s="1"/>
  <c r="EB82" i="9"/>
  <c r="EC82" i="9" s="1"/>
  <c r="AT92" i="9"/>
  <c r="AU92" i="9" s="1"/>
  <c r="AT63" i="9"/>
  <c r="AU63" i="9" s="1"/>
  <c r="AT34" i="9"/>
  <c r="AU34" i="9" s="1"/>
  <c r="AT95" i="9"/>
  <c r="AU95" i="9" s="1"/>
  <c r="AZ94" i="9"/>
  <c r="BA94" i="9" s="1"/>
  <c r="AT61" i="9"/>
  <c r="AU61" i="9" s="1"/>
  <c r="AT56" i="9"/>
  <c r="AU56" i="9" s="1"/>
  <c r="AT47" i="9"/>
  <c r="AU47" i="9" s="1"/>
  <c r="AT74" i="9"/>
  <c r="AU74" i="9" s="1"/>
  <c r="AT37" i="9"/>
  <c r="AU37" i="9" s="1"/>
  <c r="AT27" i="9"/>
  <c r="AU27" i="9" s="1"/>
  <c r="AT68" i="9"/>
  <c r="AU68" i="9" s="1"/>
  <c r="AZ55" i="9"/>
  <c r="BA55" i="9" s="1"/>
  <c r="AZ53" i="9"/>
  <c r="BA53" i="9" s="1"/>
  <c r="AT23" i="9"/>
  <c r="AU23" i="9" s="1"/>
  <c r="AT45" i="9"/>
  <c r="AU45" i="9" s="1"/>
  <c r="AZ35" i="9"/>
  <c r="BA35" i="9" s="1"/>
  <c r="AZ88" i="9"/>
  <c r="BA88" i="9" s="1"/>
  <c r="AT33" i="9"/>
  <c r="AU33" i="9" s="1"/>
  <c r="AT52" i="9"/>
  <c r="AU52" i="9" s="1"/>
  <c r="AZ72" i="9"/>
  <c r="BA72" i="9" s="1"/>
  <c r="AZ48" i="9"/>
  <c r="BA48" i="9" s="1"/>
  <c r="AT97" i="9"/>
  <c r="AU97" i="9" s="1"/>
  <c r="AT75" i="9"/>
  <c r="AU75" i="9" s="1"/>
  <c r="AT58" i="9"/>
  <c r="AU58" i="9" s="1"/>
  <c r="AZ46" i="9"/>
  <c r="BA46" i="9" s="1"/>
  <c r="AT26" i="9"/>
  <c r="AU26" i="9" s="1"/>
  <c r="AT65" i="9"/>
  <c r="AU65" i="9" s="1"/>
  <c r="AZ71" i="9"/>
  <c r="BA71" i="9" s="1"/>
  <c r="AT85" i="9"/>
  <c r="AU85" i="9" s="1"/>
  <c r="AZ64" i="9"/>
  <c r="BA64" i="9" s="1"/>
  <c r="AZ57" i="9"/>
  <c r="BA57" i="9" s="1"/>
  <c r="AZ22" i="9"/>
  <c r="BA22" i="9" s="1"/>
  <c r="AT44" i="9"/>
  <c r="AU44" i="9" s="1"/>
  <c r="AT78" i="9"/>
  <c r="AU78" i="9" s="1"/>
  <c r="BH61" i="9"/>
  <c r="BI61" i="9" s="1"/>
  <c r="AT66" i="9"/>
  <c r="AU66" i="9" s="1"/>
  <c r="AT36" i="9"/>
  <c r="AU36" i="9" s="1"/>
  <c r="AT25" i="9"/>
  <c r="AU25" i="9" s="1"/>
  <c r="AT43" i="9"/>
  <c r="AU43" i="9" s="1"/>
  <c r="AZ67" i="9"/>
  <c r="BA67" i="9" s="1"/>
  <c r="AZ91" i="9"/>
  <c r="BA91" i="9" s="1"/>
  <c r="AT38" i="9"/>
  <c r="AU38" i="9" s="1"/>
  <c r="AT42" i="9"/>
  <c r="AU42" i="9" s="1"/>
  <c r="AT77" i="9"/>
  <c r="AU77" i="9" s="1"/>
  <c r="AT32" i="9"/>
  <c r="AU32" i="9" s="1"/>
  <c r="AT51" i="9"/>
  <c r="AU51" i="9" s="1"/>
  <c r="AT82" i="9"/>
  <c r="AU82" i="9" s="1"/>
  <c r="AT96" i="9"/>
  <c r="AU96" i="9" s="1"/>
  <c r="AT83" i="9"/>
  <c r="AU83" i="9" s="1"/>
  <c r="AT81" i="9"/>
  <c r="AU81" i="9" s="1"/>
  <c r="AZ21" i="9"/>
  <c r="BA21" i="9" s="1"/>
  <c r="AZ62" i="9"/>
  <c r="BA62" i="9" s="1"/>
  <c r="AT84" i="9"/>
  <c r="AU84" i="9" s="1"/>
  <c r="AZ76" i="9"/>
  <c r="BA76" i="9" s="1"/>
  <c r="AT31" i="9"/>
  <c r="AU31" i="9" s="1"/>
  <c r="AT87" i="9"/>
  <c r="AU87" i="9" s="1"/>
  <c r="AT86" i="9"/>
  <c r="AU86" i="9" s="1"/>
  <c r="AT24" i="9"/>
  <c r="AU24" i="9" s="1"/>
  <c r="AZ93" i="9"/>
  <c r="BA93" i="9" s="1"/>
  <c r="AT73" i="9"/>
  <c r="AU73" i="9" s="1"/>
  <c r="AZ98" i="9"/>
  <c r="BA98" i="9" s="1"/>
  <c r="BM45" i="10"/>
  <c r="BF45" i="10"/>
  <c r="BG45" i="10" s="1"/>
  <c r="AY73" i="10"/>
  <c r="AT73" i="10"/>
  <c r="AU73" i="10" s="1"/>
  <c r="AY82" i="10"/>
  <c r="AT82" i="10"/>
  <c r="AU82" i="10" s="1"/>
  <c r="AY83" i="10"/>
  <c r="AT83" i="10"/>
  <c r="AU83" i="10" s="1"/>
  <c r="BE98" i="10"/>
  <c r="AZ98" i="10"/>
  <c r="BA98" i="10" s="1"/>
  <c r="AY87" i="10"/>
  <c r="AT87" i="10"/>
  <c r="AU87" i="10" s="1"/>
  <c r="BY88" i="10"/>
  <c r="BZ88" i="10" s="1"/>
  <c r="CA88" i="10" s="1"/>
  <c r="BT88" i="10"/>
  <c r="BU88" i="10" s="1"/>
  <c r="AY36" i="10"/>
  <c r="AT36" i="10"/>
  <c r="AU36" i="10" s="1"/>
  <c r="BE61" i="10"/>
  <c r="AZ61" i="10"/>
  <c r="BA61" i="10" s="1"/>
  <c r="AY67" i="10"/>
  <c r="AT67" i="10"/>
  <c r="AU67" i="10" s="1"/>
  <c r="AY43" i="10"/>
  <c r="AT43" i="10"/>
  <c r="AU43" i="10" s="1"/>
  <c r="AY92" i="10"/>
  <c r="AT92" i="10"/>
  <c r="AU92" i="10" s="1"/>
  <c r="AY27" i="10"/>
  <c r="AT27" i="10"/>
  <c r="AU27" i="10" s="1"/>
  <c r="AY64" i="10"/>
  <c r="AT64" i="10"/>
  <c r="AU64" i="10" s="1"/>
  <c r="AY34" i="10"/>
  <c r="AT34" i="10"/>
  <c r="AU34" i="10" s="1"/>
  <c r="BE65" i="10"/>
  <c r="AZ65" i="10"/>
  <c r="BA65" i="10" s="1"/>
  <c r="AY77" i="10"/>
  <c r="AT77" i="10"/>
  <c r="AU77" i="10" s="1"/>
  <c r="AY96" i="10"/>
  <c r="AT96" i="10"/>
  <c r="AU96" i="10" s="1"/>
  <c r="AY93" i="10"/>
  <c r="AT93" i="10"/>
  <c r="AU93" i="10" s="1"/>
  <c r="AZ54" i="10"/>
  <c r="BA54" i="10" s="1"/>
  <c r="BE54" i="10"/>
  <c r="AZ55" i="10"/>
  <c r="BA55" i="10" s="1"/>
  <c r="BE55" i="10"/>
  <c r="BY41" i="10"/>
  <c r="BZ41" i="10" s="1"/>
  <c r="CA41" i="10" s="1"/>
  <c r="BT41" i="10"/>
  <c r="BU41" i="10" s="1"/>
  <c r="AY47" i="10"/>
  <c r="AT47" i="10"/>
  <c r="AU47" i="10" s="1"/>
  <c r="AT56" i="10"/>
  <c r="AU56" i="10" s="1"/>
  <c r="AY56" i="10"/>
  <c r="AY86" i="10"/>
  <c r="AT86" i="10"/>
  <c r="AU86" i="10" s="1"/>
  <c r="BE78" i="10"/>
  <c r="AZ78" i="10"/>
  <c r="BA78" i="10" s="1"/>
  <c r="BE91" i="10"/>
  <c r="AZ91" i="10"/>
  <c r="BA91" i="10" s="1"/>
  <c r="AY42" i="10"/>
  <c r="AT42" i="10"/>
  <c r="AU42" i="10" s="1"/>
  <c r="BS48" i="10"/>
  <c r="BN48" i="10"/>
  <c r="BO48" i="10" s="1"/>
  <c r="AY58" i="10"/>
  <c r="AT58" i="10"/>
  <c r="AU58" i="10" s="1"/>
  <c r="AY97" i="10"/>
  <c r="AT97" i="10"/>
  <c r="AU97" i="10" s="1"/>
  <c r="BE71" i="10"/>
  <c r="AZ71" i="10"/>
  <c r="BA71" i="10" s="1"/>
  <c r="AY44" i="10"/>
  <c r="AT44" i="10"/>
  <c r="AU44" i="10" s="1"/>
  <c r="AZ24" i="10"/>
  <c r="BA24" i="10" s="1"/>
  <c r="BE24" i="10"/>
  <c r="BE46" i="10"/>
  <c r="AZ46" i="10"/>
  <c r="BA46" i="10" s="1"/>
  <c r="BE94" i="10"/>
  <c r="AZ94" i="10"/>
  <c r="BA94" i="10" s="1"/>
  <c r="BE31" i="10"/>
  <c r="AZ31" i="10"/>
  <c r="BA31" i="10" s="1"/>
  <c r="AY66" i="10"/>
  <c r="AT66" i="10"/>
  <c r="AU66" i="10" s="1"/>
  <c r="BM21" i="10"/>
  <c r="BF21" i="10"/>
  <c r="BG21" i="10" s="1"/>
  <c r="AT57" i="10"/>
  <c r="AU57" i="10" s="1"/>
  <c r="AJ89" i="10"/>
  <c r="AY57" i="10"/>
  <c r="AY72" i="10"/>
  <c r="AT72" i="10"/>
  <c r="AU72" i="10" s="1"/>
  <c r="AY74" i="10"/>
  <c r="AT74" i="10"/>
  <c r="AU74" i="10" s="1"/>
  <c r="BS26" i="10"/>
  <c r="BN26" i="10"/>
  <c r="BO26" i="10" s="1"/>
  <c r="AT84" i="10"/>
  <c r="AU84" i="10" s="1"/>
  <c r="AY84" i="10"/>
  <c r="BE35" i="10"/>
  <c r="AZ35" i="10"/>
  <c r="BA35" i="10" s="1"/>
  <c r="BS68" i="10"/>
  <c r="BN68" i="10"/>
  <c r="BO68" i="10" s="1"/>
  <c r="BY63" i="10"/>
  <c r="BZ63" i="10" s="1"/>
  <c r="CA63" i="10" s="1"/>
  <c r="BT63" i="10"/>
  <c r="BU63" i="10" s="1"/>
  <c r="BM23" i="10"/>
  <c r="BF23" i="10"/>
  <c r="BG23" i="10" s="1"/>
  <c r="AY52" i="10"/>
  <c r="AT52" i="10"/>
  <c r="AU52" i="10" s="1"/>
  <c r="BE85" i="10"/>
  <c r="AZ85" i="10"/>
  <c r="BA85" i="10" s="1"/>
  <c r="AY38" i="10"/>
  <c r="AT38" i="10"/>
  <c r="AU38" i="10" s="1"/>
  <c r="BY25" i="10"/>
  <c r="BZ25" i="10" s="1"/>
  <c r="CA25" i="10" s="1"/>
  <c r="BT25" i="10"/>
  <c r="BU25" i="10" s="1"/>
  <c r="BE75" i="10"/>
  <c r="AZ75" i="10"/>
  <c r="BA75" i="10" s="1"/>
  <c r="AY53" i="10"/>
  <c r="AT53" i="10"/>
  <c r="AU53" i="10" s="1"/>
  <c r="BE81" i="10"/>
  <c r="AZ81" i="10"/>
  <c r="BA81" i="10" s="1"/>
  <c r="AY76" i="10"/>
  <c r="AT76" i="10"/>
  <c r="AU76" i="10" s="1"/>
  <c r="BE51" i="10"/>
  <c r="AZ51" i="10"/>
  <c r="BA51" i="10" s="1"/>
  <c r="AY62" i="10"/>
  <c r="AT62" i="10"/>
  <c r="AU62" i="10" s="1"/>
  <c r="BY33" i="10"/>
  <c r="BZ33" i="10" s="1"/>
  <c r="CA33" i="10" s="1"/>
  <c r="BT33" i="10"/>
  <c r="BU33" i="10" s="1"/>
  <c r="BH51" i="9"/>
  <c r="BI51" i="9" s="1"/>
  <c r="BH81" i="9"/>
  <c r="BI81" i="9" s="1"/>
  <c r="BH31" i="9"/>
  <c r="BI31" i="9" s="1"/>
  <c r="BH37" i="9"/>
  <c r="BI37" i="9" s="1"/>
  <c r="BH26" i="9"/>
  <c r="BI26" i="9" s="1"/>
  <c r="BH32" i="9"/>
  <c r="BI32" i="9" s="1"/>
  <c r="BH83" i="9"/>
  <c r="BI83" i="9" s="1"/>
  <c r="BH43" i="9"/>
  <c r="BI43" i="9" s="1"/>
  <c r="BH87" i="9"/>
  <c r="BI87" i="9" s="1"/>
  <c r="BH78" i="9"/>
  <c r="BI78" i="9" s="1"/>
  <c r="BH45" i="9"/>
  <c r="BI45" i="9" s="1"/>
  <c r="BH52" i="9"/>
  <c r="BI52" i="9" s="1"/>
  <c r="BH42" i="9"/>
  <c r="BI42" i="9" s="1"/>
  <c r="BH97" i="9"/>
  <c r="BI97" i="9" s="1"/>
  <c r="BH27" i="9"/>
  <c r="BI27" i="9" s="1"/>
  <c r="BH25" i="9"/>
  <c r="BI25" i="9" s="1"/>
  <c r="BH82" i="9"/>
  <c r="BI82" i="9" s="1"/>
  <c r="BH47" i="9"/>
  <c r="BI47" i="9" s="1"/>
  <c r="BH36" i="9"/>
  <c r="BI36" i="9" s="1"/>
  <c r="BH63" i="9"/>
  <c r="BI63" i="9" s="1"/>
  <c r="BH84" i="9"/>
  <c r="BI84" i="9" s="1"/>
  <c r="BH77" i="9"/>
  <c r="BI77" i="9" s="1"/>
  <c r="BH85" i="9"/>
  <c r="BI85" i="9" s="1"/>
  <c r="BH75" i="9"/>
  <c r="BI75" i="9" s="1"/>
  <c r="BH23" i="9"/>
  <c r="BI23" i="9" s="1"/>
  <c r="BH96" i="9"/>
  <c r="BI96" i="9" s="1"/>
  <c r="BH95" i="9"/>
  <c r="BI95" i="9" s="1"/>
  <c r="BH34" i="9"/>
  <c r="BI34" i="9" s="1"/>
  <c r="BH66" i="9"/>
  <c r="BI66" i="9" s="1"/>
  <c r="BH38" i="9"/>
  <c r="BI38" i="9" s="1"/>
  <c r="BH65" i="9"/>
  <c r="BI65" i="9" s="1"/>
  <c r="BH33" i="9"/>
  <c r="BI33" i="9" s="1"/>
  <c r="BH44" i="9"/>
  <c r="BI44" i="9" s="1"/>
  <c r="BH58" i="9"/>
  <c r="BI58" i="9" s="1"/>
  <c r="BH74" i="9"/>
  <c r="BI74" i="9" s="1"/>
  <c r="BH73" i="9"/>
  <c r="BI73" i="9" s="1"/>
  <c r="BH24" i="9"/>
  <c r="BI24" i="9" s="1"/>
  <c r="BH56" i="9"/>
  <c r="BI56" i="9" s="1"/>
  <c r="BH86" i="9"/>
  <c r="BI86" i="9" s="1"/>
  <c r="BM47" i="8"/>
  <c r="AT47" i="8"/>
  <c r="AU47" i="8" s="1"/>
  <c r="BM42" i="8"/>
  <c r="AY25" i="8"/>
  <c r="AZ25" i="8" s="1"/>
  <c r="BA25" i="8" s="1"/>
  <c r="AY23" i="8"/>
  <c r="AZ23" i="8" s="1"/>
  <c r="BA23" i="8" s="1"/>
  <c r="AY27" i="8"/>
  <c r="AT27" i="8"/>
  <c r="AU27" i="8" s="1"/>
  <c r="BF51" i="8"/>
  <c r="BG51" i="8" s="1"/>
  <c r="BM51" i="8"/>
  <c r="BS51" i="8" s="1"/>
  <c r="BY51" i="8" s="1"/>
  <c r="AY24" i="8"/>
  <c r="AZ24" i="8" s="1"/>
  <c r="BA24" i="8" s="1"/>
  <c r="BF48" i="8"/>
  <c r="BG48" i="8" s="1"/>
  <c r="BM48" i="8"/>
  <c r="BF41" i="8"/>
  <c r="BG41" i="8" s="1"/>
  <c r="BM41" i="8"/>
  <c r="BS41" i="8" s="1"/>
  <c r="BY41" i="8" s="1"/>
  <c r="BF35" i="8"/>
  <c r="BG35" i="8" s="1"/>
  <c r="BM35" i="8"/>
  <c r="BF32" i="8"/>
  <c r="BG32" i="8" s="1"/>
  <c r="BM32" i="8"/>
  <c r="AS46" i="8"/>
  <c r="AL46" i="8"/>
  <c r="AM46" i="8" s="1"/>
  <c r="AE38" i="8"/>
  <c r="Z38" i="8"/>
  <c r="AA38" i="8" s="1"/>
  <c r="AE36" i="8"/>
  <c r="Z36" i="8"/>
  <c r="AA36" i="8" s="1"/>
  <c r="Z34" i="8"/>
  <c r="AA34" i="8" s="1"/>
  <c r="AE34" i="8"/>
  <c r="Z22" i="8"/>
  <c r="AA22" i="8" s="1"/>
  <c r="AE22" i="8"/>
  <c r="AK22" i="8" s="1"/>
  <c r="AK53" i="8"/>
  <c r="AK71" i="8"/>
  <c r="BN21" i="8"/>
  <c r="BO21" i="8" s="1"/>
  <c r="Z71" i="8"/>
  <c r="AA71" i="8" s="1"/>
  <c r="BN28" i="8"/>
  <c r="BO28" i="8" s="1"/>
  <c r="BN26" i="8"/>
  <c r="BO26" i="8" s="1"/>
  <c r="AF53" i="8"/>
  <c r="AG53" i="8" s="1"/>
  <c r="AE62" i="8"/>
  <c r="AE63" i="8"/>
  <c r="AE83" i="8"/>
  <c r="AK83" i="8" s="1"/>
  <c r="AE78" i="8"/>
  <c r="AS33" i="8"/>
  <c r="AY33" i="8" s="1"/>
  <c r="BE33" i="8" s="1"/>
  <c r="AE87" i="8"/>
  <c r="AK87" i="8" s="1"/>
  <c r="Z87" i="8"/>
  <c r="AA87" i="8" s="1"/>
  <c r="AF52" i="8"/>
  <c r="AG52" i="8" s="1"/>
  <c r="AE64" i="8"/>
  <c r="Z64" i="8"/>
  <c r="AA64" i="8" s="1"/>
  <c r="AF56" i="8"/>
  <c r="AG56" i="8" s="1"/>
  <c r="Z72" i="8"/>
  <c r="AA72" i="8" s="1"/>
  <c r="AE72" i="8"/>
  <c r="AT48" i="8"/>
  <c r="AU48" i="8" s="1"/>
  <c r="Z92" i="8"/>
  <c r="AA92" i="8" s="1"/>
  <c r="Z76" i="8"/>
  <c r="AA76" i="8" s="1"/>
  <c r="AE76" i="8"/>
  <c r="AK76" i="8" s="1"/>
  <c r="Z77" i="8"/>
  <c r="AA77" i="8" s="1"/>
  <c r="AE77" i="8"/>
  <c r="AE74" i="8"/>
  <c r="Z74" i="8"/>
  <c r="AA74" i="8" s="1"/>
  <c r="Z67" i="8"/>
  <c r="AA67" i="8" s="1"/>
  <c r="AE67" i="8"/>
  <c r="Z86" i="8"/>
  <c r="AA86" i="8" s="1"/>
  <c r="AE86" i="8"/>
  <c r="AK86" i="8" s="1"/>
  <c r="Z81" i="8"/>
  <c r="AA81" i="8" s="1"/>
  <c r="AE81" i="8"/>
  <c r="AK81" i="8" s="1"/>
  <c r="AF71" i="8"/>
  <c r="AG71" i="8" s="1"/>
  <c r="Z73" i="8"/>
  <c r="AA73" i="8" s="1"/>
  <c r="AE73" i="8"/>
  <c r="AE84" i="8"/>
  <c r="AK84" i="8" s="1"/>
  <c r="Z84" i="8"/>
  <c r="AA84" i="8" s="1"/>
  <c r="AE91" i="8"/>
  <c r="AK91" i="8" s="1"/>
  <c r="Z91" i="8"/>
  <c r="AA91" i="8" s="1"/>
  <c r="Z88" i="8"/>
  <c r="AA88" i="8" s="1"/>
  <c r="AE88" i="8"/>
  <c r="AK88" i="8" s="1"/>
  <c r="AF54" i="8"/>
  <c r="AG54" i="8" s="1"/>
  <c r="AE75" i="8"/>
  <c r="Z75" i="8"/>
  <c r="AA75" i="8" s="1"/>
  <c r="AF55" i="8"/>
  <c r="AG55" i="8" s="1"/>
  <c r="AF58" i="8"/>
  <c r="AG58" i="8" s="1"/>
  <c r="Z65" i="8"/>
  <c r="AA65" i="8" s="1"/>
  <c r="AE65" i="8"/>
  <c r="AE85" i="8"/>
  <c r="AK85" i="8" s="1"/>
  <c r="Z85" i="8"/>
  <c r="AA85" i="8" s="1"/>
  <c r="Z82" i="8"/>
  <c r="AA82" i="8" s="1"/>
  <c r="AE82" i="8"/>
  <c r="AK82" i="8" s="1"/>
  <c r="AF57" i="8"/>
  <c r="AG57" i="8" s="1"/>
  <c r="Z61" i="8"/>
  <c r="AA61" i="8" s="1"/>
  <c r="Z66" i="8"/>
  <c r="AA66" i="8" s="1"/>
  <c r="AE66" i="8"/>
  <c r="Z68" i="8"/>
  <c r="AA68" i="8" s="1"/>
  <c r="AE68" i="8"/>
  <c r="AE84" i="7"/>
  <c r="Z94" i="6"/>
  <c r="AF61" i="7"/>
  <c r="G72" i="5"/>
  <c r="H72" i="5" s="1"/>
  <c r="F78" i="5"/>
  <c r="G78" i="5" s="1"/>
  <c r="H78" i="5" s="1"/>
  <c r="K78" i="5"/>
  <c r="L78" i="5" s="1"/>
  <c r="M78" i="5" s="1"/>
  <c r="L72" i="5"/>
  <c r="M72" i="5" s="1"/>
  <c r="K80" i="5"/>
  <c r="L80" i="5" s="1"/>
  <c r="M80" i="5" s="1"/>
  <c r="L74" i="5"/>
  <c r="M74" i="5" s="1"/>
  <c r="W86" i="6"/>
  <c r="AL28" i="8"/>
  <c r="AM28" i="8" s="1"/>
  <c r="AT35" i="8"/>
  <c r="AU35" i="8" s="1"/>
  <c r="AT37" i="8"/>
  <c r="AU37" i="8" s="1"/>
  <c r="AL94" i="8"/>
  <c r="AM94" i="8" s="1"/>
  <c r="AF25" i="8"/>
  <c r="AG25" i="8" s="1"/>
  <c r="AF26" i="8"/>
  <c r="AG26" i="8" s="1"/>
  <c r="AF24" i="8"/>
  <c r="AG24" i="8" s="1"/>
  <c r="AL27" i="8"/>
  <c r="AM27" i="8" s="1"/>
  <c r="AF23" i="8"/>
  <c r="AG23" i="8" s="1"/>
  <c r="AT42" i="8"/>
  <c r="AU42" i="8" s="1"/>
  <c r="AF21" i="8"/>
  <c r="AG21" i="8" s="1"/>
  <c r="AF66" i="7"/>
  <c r="AF87" i="7"/>
  <c r="AE76" i="7"/>
  <c r="AE67" i="7"/>
  <c r="AE71" i="7"/>
  <c r="AE87" i="7"/>
  <c r="AE82" i="7"/>
  <c r="S128" i="7"/>
  <c r="AE72" i="7"/>
  <c r="AF82" i="7"/>
  <c r="AE85" i="7"/>
  <c r="S84" i="7"/>
  <c r="AE95" i="7"/>
  <c r="AE94" i="7"/>
  <c r="AF88" i="7"/>
  <c r="AF84" i="7"/>
  <c r="AF85" i="7"/>
  <c r="AE88" i="7"/>
  <c r="AF86" i="7"/>
  <c r="AE68" i="7"/>
  <c r="AE63" i="7"/>
  <c r="AE64" i="7"/>
  <c r="AE65" i="7"/>
  <c r="AF67" i="7"/>
  <c r="AE81" i="7"/>
  <c r="AF68" i="7"/>
  <c r="AE61" i="7"/>
  <c r="AF64" i="7"/>
  <c r="AF65" i="7"/>
  <c r="AE62" i="7"/>
  <c r="S95" i="6"/>
  <c r="W95" i="6"/>
  <c r="X84" i="6"/>
  <c r="S93" i="6"/>
  <c r="W93" i="6"/>
  <c r="S84" i="6"/>
  <c r="Y94" i="6"/>
  <c r="W84" i="6"/>
  <c r="V95" i="6"/>
  <c r="T85" i="6"/>
  <c r="S86" i="6"/>
  <c r="S96" i="6"/>
  <c r="T86" i="6"/>
  <c r="U94" i="6"/>
  <c r="U93" i="6"/>
  <c r="Z84" i="6"/>
  <c r="Z85" i="6"/>
  <c r="W96" i="6"/>
  <c r="X85" i="6"/>
  <c r="V85" i="6"/>
  <c r="Y84" i="6"/>
  <c r="Z95" i="6"/>
  <c r="Y85" i="6"/>
  <c r="U85" i="6"/>
  <c r="T93" i="6"/>
  <c r="T94" i="6"/>
  <c r="Z93" i="6"/>
  <c r="Z96" i="6"/>
  <c r="V84" i="6"/>
  <c r="V86" i="6"/>
  <c r="Z86" i="6"/>
  <c r="U95" i="6"/>
  <c r="T96" i="6"/>
  <c r="U87" i="6"/>
  <c r="Y93" i="6"/>
  <c r="W85" i="6"/>
  <c r="V93" i="6"/>
  <c r="Y95" i="6"/>
  <c r="V94" i="6"/>
  <c r="V96" i="6"/>
  <c r="S85" i="6"/>
  <c r="X86" i="6"/>
  <c r="W94" i="6"/>
  <c r="U96" i="6"/>
  <c r="S94" i="6"/>
  <c r="X87" i="6"/>
  <c r="W87" i="6"/>
  <c r="T87" i="6"/>
  <c r="Y87" i="6"/>
  <c r="F59" i="5"/>
  <c r="G59" i="5" s="1"/>
  <c r="H59" i="5" s="1"/>
  <c r="F41" i="5"/>
  <c r="G41" i="5" s="1"/>
  <c r="H41" i="5" s="1"/>
  <c r="H35" i="5"/>
  <c r="L37" i="5"/>
  <c r="M37" i="5" s="1"/>
  <c r="F61" i="5"/>
  <c r="G61" i="5" s="1"/>
  <c r="H61" i="5" s="1"/>
  <c r="F43" i="5"/>
  <c r="G43" i="5" s="1"/>
  <c r="H43" i="5" s="1"/>
  <c r="F42" i="5"/>
  <c r="G42" i="5" s="1"/>
  <c r="H42" i="5" s="1"/>
  <c r="K42" i="5"/>
  <c r="L42" i="5" s="1"/>
  <c r="M42" i="5" s="1"/>
  <c r="L25" i="3"/>
  <c r="M14" i="3"/>
  <c r="N14" i="3" s="1"/>
  <c r="D48" i="3"/>
  <c r="E37" i="3"/>
  <c r="F37" i="3" s="1"/>
  <c r="G37" i="3" s="1"/>
  <c r="L30" i="3"/>
  <c r="M19" i="3"/>
  <c r="N19" i="3" s="1"/>
  <c r="L32" i="3"/>
  <c r="M21" i="3"/>
  <c r="N21" i="3" s="1"/>
  <c r="D52" i="3"/>
  <c r="E41" i="3"/>
  <c r="F41" i="3" s="1"/>
  <c r="G41" i="3" s="1"/>
  <c r="L31" i="3"/>
  <c r="M20" i="3"/>
  <c r="N20" i="3" s="1"/>
  <c r="M16" i="3"/>
  <c r="N16" i="3" s="1"/>
  <c r="L27" i="3"/>
  <c r="L28" i="3"/>
  <c r="M17" i="3"/>
  <c r="N17" i="3" s="1"/>
  <c r="L26" i="3"/>
  <c r="M15" i="3"/>
  <c r="N15" i="3" s="1"/>
  <c r="D49" i="3"/>
  <c r="E38" i="3"/>
  <c r="F38" i="3" s="1"/>
  <c r="G38" i="3" s="1"/>
  <c r="D50" i="3"/>
  <c r="E39" i="3"/>
  <c r="F39" i="3" s="1"/>
  <c r="G39" i="3" s="1"/>
  <c r="L40" i="3"/>
  <c r="M29" i="3"/>
  <c r="N29" i="3" s="1"/>
  <c r="D47" i="3"/>
  <c r="E36" i="3"/>
  <c r="F36" i="3" s="1"/>
  <c r="G36" i="3" s="1"/>
  <c r="E40" i="3"/>
  <c r="F40" i="3" s="1"/>
  <c r="G40" i="3" s="1"/>
  <c r="D51" i="3"/>
  <c r="E43" i="3"/>
  <c r="F43" i="3" s="1"/>
  <c r="G43" i="3" s="1"/>
  <c r="D54" i="3"/>
  <c r="D53" i="3"/>
  <c r="E42" i="3"/>
  <c r="F42" i="3" s="1"/>
  <c r="G42" i="3" s="1"/>
  <c r="DQ36" i="11" l="1"/>
  <c r="DY36" i="11"/>
  <c r="EE36" i="11" s="1"/>
  <c r="EK36" i="11" s="1"/>
  <c r="ES36" i="11" s="1"/>
  <c r="EY36" i="11" s="1"/>
  <c r="FE36" i="11" s="1"/>
  <c r="FK36" i="11" s="1"/>
  <c r="DY56" i="11"/>
  <c r="EE56" i="11" s="1"/>
  <c r="EK56" i="11" s="1"/>
  <c r="ES56" i="11" s="1"/>
  <c r="EY56" i="11" s="1"/>
  <c r="FE56" i="11" s="1"/>
  <c r="FK56" i="11" s="1"/>
  <c r="DQ56" i="11"/>
  <c r="DQ22" i="11"/>
  <c r="DY22" i="11"/>
  <c r="EE22" i="11" s="1"/>
  <c r="EK22" i="11" s="1"/>
  <c r="ES22" i="11" s="1"/>
  <c r="EY22" i="11" s="1"/>
  <c r="FE22" i="11" s="1"/>
  <c r="FK22" i="11" s="1"/>
  <c r="DQ55" i="11"/>
  <c r="DY55" i="11"/>
  <c r="EE55" i="11" s="1"/>
  <c r="EK55" i="11" s="1"/>
  <c r="ES55" i="11" s="1"/>
  <c r="EY55" i="11" s="1"/>
  <c r="FE55" i="11" s="1"/>
  <c r="FK55" i="11" s="1"/>
  <c r="CE42" i="11"/>
  <c r="BZ42" i="11"/>
  <c r="CA42" i="11" s="1"/>
  <c r="BL82" i="11"/>
  <c r="BM82" i="11" s="1"/>
  <c r="DQ52" i="11"/>
  <c r="DY52" i="11"/>
  <c r="EE52" i="11" s="1"/>
  <c r="EK52" i="11" s="1"/>
  <c r="ES52" i="11" s="1"/>
  <c r="EY52" i="11" s="1"/>
  <c r="FE52" i="11" s="1"/>
  <c r="FK52" i="11" s="1"/>
  <c r="DQ95" i="11"/>
  <c r="DY95" i="11"/>
  <c r="EE95" i="11" s="1"/>
  <c r="EK95" i="11" s="1"/>
  <c r="ES95" i="11" s="1"/>
  <c r="EY95" i="11" s="1"/>
  <c r="FE95" i="11" s="1"/>
  <c r="FK95" i="11" s="1"/>
  <c r="DQ24" i="11"/>
  <c r="DY24" i="11"/>
  <c r="EE24" i="11" s="1"/>
  <c r="EK24" i="11" s="1"/>
  <c r="ES24" i="11" s="1"/>
  <c r="EY24" i="11" s="1"/>
  <c r="FE24" i="11" s="1"/>
  <c r="FK24" i="11" s="1"/>
  <c r="DY35" i="11"/>
  <c r="EE35" i="11" s="1"/>
  <c r="EK35" i="11" s="1"/>
  <c r="ES35" i="11" s="1"/>
  <c r="EY35" i="11" s="1"/>
  <c r="FE35" i="11" s="1"/>
  <c r="FK35" i="11" s="1"/>
  <c r="DQ35" i="11"/>
  <c r="DQ37" i="11"/>
  <c r="DY37" i="11"/>
  <c r="EE37" i="11" s="1"/>
  <c r="EK37" i="11" s="1"/>
  <c r="ES37" i="11" s="1"/>
  <c r="EY37" i="11" s="1"/>
  <c r="FE37" i="11" s="1"/>
  <c r="FK37" i="11" s="1"/>
  <c r="DY62" i="11"/>
  <c r="EE62" i="11" s="1"/>
  <c r="EK62" i="11" s="1"/>
  <c r="ES62" i="11" s="1"/>
  <c r="EY62" i="11" s="1"/>
  <c r="FE62" i="11" s="1"/>
  <c r="FK62" i="11" s="1"/>
  <c r="DQ62" i="11"/>
  <c r="DQ23" i="11"/>
  <c r="DY23" i="11"/>
  <c r="EE23" i="11" s="1"/>
  <c r="EK23" i="11" s="1"/>
  <c r="ES23" i="11" s="1"/>
  <c r="EY23" i="11" s="1"/>
  <c r="FE23" i="11" s="1"/>
  <c r="FK23" i="11" s="1"/>
  <c r="DY26" i="11"/>
  <c r="EE26" i="11" s="1"/>
  <c r="EK26" i="11" s="1"/>
  <c r="ES26" i="11" s="1"/>
  <c r="EY26" i="11" s="1"/>
  <c r="FE26" i="11" s="1"/>
  <c r="FK26" i="11" s="1"/>
  <c r="DQ26" i="11"/>
  <c r="DY33" i="11"/>
  <c r="EE33" i="11" s="1"/>
  <c r="EK33" i="11" s="1"/>
  <c r="ES33" i="11" s="1"/>
  <c r="EY33" i="11" s="1"/>
  <c r="FE33" i="11" s="1"/>
  <c r="FK33" i="11" s="1"/>
  <c r="DQ33" i="11"/>
  <c r="DY53" i="11"/>
  <c r="EE53" i="11" s="1"/>
  <c r="EK53" i="11" s="1"/>
  <c r="ES53" i="11" s="1"/>
  <c r="EY53" i="11" s="1"/>
  <c r="FE53" i="11" s="1"/>
  <c r="FK53" i="11" s="1"/>
  <c r="DQ53" i="11"/>
  <c r="DY81" i="11"/>
  <c r="EE81" i="11" s="1"/>
  <c r="EK81" i="11" s="1"/>
  <c r="ES81" i="11" s="1"/>
  <c r="EY81" i="11" s="1"/>
  <c r="FE81" i="11" s="1"/>
  <c r="FK81" i="11" s="1"/>
  <c r="DQ81" i="11"/>
  <c r="DY38" i="11"/>
  <c r="EE38" i="11" s="1"/>
  <c r="EK38" i="11" s="1"/>
  <c r="ES38" i="11" s="1"/>
  <c r="EY38" i="11" s="1"/>
  <c r="FE38" i="11" s="1"/>
  <c r="FK38" i="11" s="1"/>
  <c r="DQ38" i="11"/>
  <c r="DQ27" i="11"/>
  <c r="DY27" i="11"/>
  <c r="EE27" i="11" s="1"/>
  <c r="EK27" i="11" s="1"/>
  <c r="ES27" i="11" s="1"/>
  <c r="EY27" i="11" s="1"/>
  <c r="FE27" i="11" s="1"/>
  <c r="FK27" i="11" s="1"/>
  <c r="DY45" i="11"/>
  <c r="EE45" i="11" s="1"/>
  <c r="EK45" i="11" s="1"/>
  <c r="ES45" i="11" s="1"/>
  <c r="EY45" i="11" s="1"/>
  <c r="FE45" i="11" s="1"/>
  <c r="FK45" i="11" s="1"/>
  <c r="DQ45" i="11"/>
  <c r="DY94" i="11"/>
  <c r="EE94" i="11" s="1"/>
  <c r="EK94" i="11" s="1"/>
  <c r="ES94" i="11" s="1"/>
  <c r="EY94" i="11" s="1"/>
  <c r="FE94" i="11" s="1"/>
  <c r="FK94" i="11" s="1"/>
  <c r="DQ94" i="11"/>
  <c r="DY83" i="11"/>
  <c r="EE83" i="11" s="1"/>
  <c r="EK83" i="11" s="1"/>
  <c r="ES83" i="11" s="1"/>
  <c r="EY83" i="11" s="1"/>
  <c r="FE83" i="11" s="1"/>
  <c r="FK83" i="11" s="1"/>
  <c r="DQ83" i="11"/>
  <c r="BY84" i="11"/>
  <c r="DQ57" i="11"/>
  <c r="DY57" i="11"/>
  <c r="EE57" i="11" s="1"/>
  <c r="EK57" i="11" s="1"/>
  <c r="ES57" i="11" s="1"/>
  <c r="EY57" i="11" s="1"/>
  <c r="FE57" i="11" s="1"/>
  <c r="FK57" i="11" s="1"/>
  <c r="DY68" i="11"/>
  <c r="EE68" i="11" s="1"/>
  <c r="EK68" i="11" s="1"/>
  <c r="ES68" i="11" s="1"/>
  <c r="EY68" i="11" s="1"/>
  <c r="FE68" i="11" s="1"/>
  <c r="FK68" i="11" s="1"/>
  <c r="DQ68" i="11"/>
  <c r="DY91" i="11"/>
  <c r="EE91" i="11" s="1"/>
  <c r="EK91" i="11" s="1"/>
  <c r="ES91" i="11" s="1"/>
  <c r="EY91" i="11" s="1"/>
  <c r="FE91" i="11" s="1"/>
  <c r="FK91" i="11" s="1"/>
  <c r="DQ91" i="11"/>
  <c r="DY96" i="11"/>
  <c r="EE96" i="11" s="1"/>
  <c r="EK96" i="11" s="1"/>
  <c r="ES96" i="11" s="1"/>
  <c r="EY96" i="11" s="1"/>
  <c r="FE96" i="11" s="1"/>
  <c r="FK96" i="11" s="1"/>
  <c r="DQ96" i="11"/>
  <c r="BK85" i="11"/>
  <c r="DQ64" i="11"/>
  <c r="DY64" i="11"/>
  <c r="EE64" i="11" s="1"/>
  <c r="EK64" i="11" s="1"/>
  <c r="ES64" i="11" s="1"/>
  <c r="EY64" i="11" s="1"/>
  <c r="FE64" i="11" s="1"/>
  <c r="FK64" i="11" s="1"/>
  <c r="DY61" i="11"/>
  <c r="EE61" i="11" s="1"/>
  <c r="EK61" i="11" s="1"/>
  <c r="ES61" i="11" s="1"/>
  <c r="EY61" i="11" s="1"/>
  <c r="FE61" i="11" s="1"/>
  <c r="FK61" i="11" s="1"/>
  <c r="DQ61" i="11"/>
  <c r="BZ84" i="11"/>
  <c r="CA84" i="11" s="1"/>
  <c r="CE84" i="11"/>
  <c r="CK84" i="11" s="1"/>
  <c r="CQ84" i="11" s="1"/>
  <c r="CY84" i="11" s="1"/>
  <c r="DE84" i="11" s="1"/>
  <c r="DK84" i="11" s="1"/>
  <c r="BR82" i="11"/>
  <c r="BS82" i="11" s="1"/>
  <c r="BY82" i="11"/>
  <c r="EY43" i="11"/>
  <c r="ET43" i="11"/>
  <c r="EU43" i="11" s="1"/>
  <c r="EY87" i="11"/>
  <c r="ET87" i="11"/>
  <c r="EU87" i="11" s="1"/>
  <c r="FE54" i="11"/>
  <c r="EZ54" i="11"/>
  <c r="FA54" i="11" s="1"/>
  <c r="DY97" i="11"/>
  <c r="EE97" i="11" s="1"/>
  <c r="EK97" i="11" s="1"/>
  <c r="ES97" i="11" s="1"/>
  <c r="EY97" i="11" s="1"/>
  <c r="FE97" i="11" s="1"/>
  <c r="FK97" i="11" s="1"/>
  <c r="DQ97" i="11"/>
  <c r="DY86" i="11"/>
  <c r="EE86" i="11" s="1"/>
  <c r="EK86" i="11" s="1"/>
  <c r="ES86" i="11" s="1"/>
  <c r="EY86" i="11" s="1"/>
  <c r="FE86" i="11" s="1"/>
  <c r="FK86" i="11" s="1"/>
  <c r="DQ86" i="11"/>
  <c r="CY32" i="11"/>
  <c r="CR32" i="11"/>
  <c r="CS32" i="11" s="1"/>
  <c r="CR98" i="11"/>
  <c r="CS98" i="11" s="1"/>
  <c r="CL87" i="11"/>
  <c r="CM87" i="11" s="1"/>
  <c r="CL76" i="11"/>
  <c r="CM76" i="11" s="1"/>
  <c r="CR65" i="11"/>
  <c r="CS65" i="11" s="1"/>
  <c r="CL54" i="11"/>
  <c r="CM54" i="11" s="1"/>
  <c r="CL43" i="11"/>
  <c r="CM43" i="11" s="1"/>
  <c r="BL35" i="11"/>
  <c r="BM35" i="11" s="1"/>
  <c r="BL34" i="11"/>
  <c r="BM34" i="11" s="1"/>
  <c r="CF23" i="11"/>
  <c r="CG23" i="11" s="1"/>
  <c r="CF48" i="11"/>
  <c r="CG48" i="11" s="1"/>
  <c r="BL44" i="11"/>
  <c r="BM44" i="11" s="1"/>
  <c r="CF71" i="11"/>
  <c r="CG71" i="11" s="1"/>
  <c r="BL37" i="11"/>
  <c r="BM37" i="11" s="1"/>
  <c r="BL26" i="11"/>
  <c r="BM26" i="11" s="1"/>
  <c r="BL67" i="11"/>
  <c r="BM67" i="11" s="1"/>
  <c r="CF61" i="11"/>
  <c r="CG61" i="11" s="1"/>
  <c r="BL84" i="11"/>
  <c r="BM84" i="11" s="1"/>
  <c r="BL24" i="11"/>
  <c r="BM24" i="11" s="1"/>
  <c r="BL38" i="11"/>
  <c r="BM38" i="11" s="1"/>
  <c r="CF88" i="11"/>
  <c r="CG88" i="11" s="1"/>
  <c r="BG22" i="11"/>
  <c r="BL72" i="11"/>
  <c r="BM72" i="11" s="1"/>
  <c r="BL75" i="11"/>
  <c r="BM75" i="11" s="1"/>
  <c r="CF41" i="11"/>
  <c r="CG41" i="11" s="1"/>
  <c r="BL47" i="11"/>
  <c r="BM47" i="11" s="1"/>
  <c r="BL78" i="11"/>
  <c r="BM78" i="11" s="1"/>
  <c r="BL97" i="11"/>
  <c r="BM97" i="11" s="1"/>
  <c r="BL86" i="11"/>
  <c r="BM86" i="11" s="1"/>
  <c r="BL94" i="11"/>
  <c r="BM94" i="11" s="1"/>
  <c r="BL55" i="11"/>
  <c r="BM55" i="11" s="1"/>
  <c r="CF51" i="11"/>
  <c r="CG51" i="11" s="1"/>
  <c r="CF57" i="11"/>
  <c r="CG57" i="11" s="1"/>
  <c r="BL68" i="11"/>
  <c r="BM68" i="11" s="1"/>
  <c r="BL58" i="11"/>
  <c r="BM58" i="11" s="1"/>
  <c r="CF56" i="11"/>
  <c r="CG56" i="11" s="1"/>
  <c r="BG64" i="11"/>
  <c r="BG96" i="11"/>
  <c r="CF31" i="11"/>
  <c r="CG31" i="11" s="1"/>
  <c r="BL27" i="11"/>
  <c r="BM27" i="11" s="1"/>
  <c r="BL28" i="11"/>
  <c r="BM28" i="11" s="1"/>
  <c r="BG83" i="11"/>
  <c r="BT21" i="9"/>
  <c r="BN67" i="9"/>
  <c r="BO67" i="9" s="1"/>
  <c r="AZ83" i="9"/>
  <c r="BA83" i="9" s="1"/>
  <c r="AZ37" i="9"/>
  <c r="BA37" i="9" s="1"/>
  <c r="BN28" i="9"/>
  <c r="BO28" i="9" s="1"/>
  <c r="EH82" i="9"/>
  <c r="EI82" i="9" s="1"/>
  <c r="AZ68" i="9"/>
  <c r="BA68" i="9" s="1"/>
  <c r="AZ31" i="9"/>
  <c r="BA31" i="9" s="1"/>
  <c r="AZ81" i="9"/>
  <c r="BA81" i="9" s="1"/>
  <c r="AZ63" i="9"/>
  <c r="BA63" i="9" s="1"/>
  <c r="AZ51" i="9"/>
  <c r="BA51" i="9" s="1"/>
  <c r="AZ61" i="9"/>
  <c r="BA61" i="9" s="1"/>
  <c r="AZ33" i="9"/>
  <c r="BA33" i="9" s="1"/>
  <c r="AZ47" i="9"/>
  <c r="BA47" i="9" s="1"/>
  <c r="AZ38" i="9"/>
  <c r="BA38" i="9" s="1"/>
  <c r="AZ34" i="9"/>
  <c r="BA34" i="9" s="1"/>
  <c r="AZ32" i="9"/>
  <c r="BA32" i="9" s="1"/>
  <c r="AZ86" i="9"/>
  <c r="BA86" i="9" s="1"/>
  <c r="AZ25" i="9"/>
  <c r="BA25" i="9" s="1"/>
  <c r="AZ92" i="9"/>
  <c r="BA92" i="9" s="1"/>
  <c r="AZ82" i="9"/>
  <c r="BA82" i="9" s="1"/>
  <c r="AZ56" i="9"/>
  <c r="BA56" i="9" s="1"/>
  <c r="AZ87" i="9"/>
  <c r="BA87" i="9" s="1"/>
  <c r="AZ65" i="9"/>
  <c r="BA65" i="9" s="1"/>
  <c r="AZ66" i="9"/>
  <c r="BA66" i="9" s="1"/>
  <c r="AZ95" i="9"/>
  <c r="BA95" i="9" s="1"/>
  <c r="AZ24" i="9"/>
  <c r="BA24" i="9" s="1"/>
  <c r="AZ42" i="9"/>
  <c r="BA42" i="9" s="1"/>
  <c r="AZ78" i="9"/>
  <c r="BA78" i="9" s="1"/>
  <c r="AZ26" i="9"/>
  <c r="BA26" i="9" s="1"/>
  <c r="AZ73" i="9"/>
  <c r="BA73" i="9" s="1"/>
  <c r="AZ75" i="9"/>
  <c r="BA75" i="9" s="1"/>
  <c r="AZ27" i="9"/>
  <c r="BA27" i="9" s="1"/>
  <c r="AZ97" i="9"/>
  <c r="BA97" i="9" s="1"/>
  <c r="AZ74" i="9"/>
  <c r="BA74" i="9" s="1"/>
  <c r="AZ85" i="9"/>
  <c r="BA85" i="9" s="1"/>
  <c r="AZ36" i="9"/>
  <c r="BA36" i="9" s="1"/>
  <c r="AZ58" i="9"/>
  <c r="BA58" i="9" s="1"/>
  <c r="AZ77" i="9"/>
  <c r="BA77" i="9" s="1"/>
  <c r="AZ52" i="9"/>
  <c r="BA52" i="9" s="1"/>
  <c r="AZ44" i="9"/>
  <c r="BA44" i="9" s="1"/>
  <c r="AZ43" i="9"/>
  <c r="BA43" i="9" s="1"/>
  <c r="AZ96" i="9"/>
  <c r="BA96" i="9" s="1"/>
  <c r="AZ23" i="9"/>
  <c r="BA23" i="9" s="1"/>
  <c r="AZ84" i="9"/>
  <c r="BA84" i="9" s="1"/>
  <c r="AZ45" i="9"/>
  <c r="BA45" i="9" s="1"/>
  <c r="BM71" i="10"/>
  <c r="BF71" i="10"/>
  <c r="BG71" i="10" s="1"/>
  <c r="BM65" i="10"/>
  <c r="BF65" i="10"/>
  <c r="BG65" i="10" s="1"/>
  <c r="BE36" i="10"/>
  <c r="AZ36" i="10"/>
  <c r="BA36" i="10" s="1"/>
  <c r="BE47" i="10"/>
  <c r="AZ47" i="10"/>
  <c r="BA47" i="10" s="1"/>
  <c r="AZ34" i="10"/>
  <c r="BA34" i="10" s="1"/>
  <c r="BE34" i="10"/>
  <c r="AZ97" i="10"/>
  <c r="BA97" i="10" s="1"/>
  <c r="BE97" i="10"/>
  <c r="BE66" i="10"/>
  <c r="AZ66" i="10"/>
  <c r="BA66" i="10" s="1"/>
  <c r="AZ58" i="10"/>
  <c r="BA58" i="10" s="1"/>
  <c r="BE58" i="10"/>
  <c r="AZ64" i="10"/>
  <c r="BA64" i="10" s="1"/>
  <c r="BE64" i="10"/>
  <c r="BE87" i="10"/>
  <c r="AZ87" i="10"/>
  <c r="BA87" i="10" s="1"/>
  <c r="BE56" i="10"/>
  <c r="AZ56" i="10"/>
  <c r="BA56" i="10" s="1"/>
  <c r="BM55" i="10"/>
  <c r="BF55" i="10"/>
  <c r="BG55" i="10" s="1"/>
  <c r="BS21" i="10"/>
  <c r="BN21" i="10"/>
  <c r="BO21" i="10" s="1"/>
  <c r="BE84" i="10"/>
  <c r="AZ84" i="10"/>
  <c r="BA84" i="10" s="1"/>
  <c r="BM31" i="10"/>
  <c r="BF31" i="10"/>
  <c r="BG31" i="10" s="1"/>
  <c r="BY48" i="10"/>
  <c r="BZ48" i="10" s="1"/>
  <c r="CA48" i="10" s="1"/>
  <c r="BT48" i="10"/>
  <c r="BU48" i="10" s="1"/>
  <c r="BE27" i="10"/>
  <c r="AZ27" i="10"/>
  <c r="BA27" i="10" s="1"/>
  <c r="BM98" i="10"/>
  <c r="BF98" i="10"/>
  <c r="BG98" i="10" s="1"/>
  <c r="BS23" i="10"/>
  <c r="BN23" i="10"/>
  <c r="BO23" i="10" s="1"/>
  <c r="BF54" i="10"/>
  <c r="BG54" i="10" s="1"/>
  <c r="BM54" i="10"/>
  <c r="BM81" i="10"/>
  <c r="BF81" i="10"/>
  <c r="BG81" i="10" s="1"/>
  <c r="BM94" i="10"/>
  <c r="BF94" i="10"/>
  <c r="BG94" i="10" s="1"/>
  <c r="BE42" i="10"/>
  <c r="AZ42" i="10"/>
  <c r="BA42" i="10" s="1"/>
  <c r="BE92" i="10"/>
  <c r="AZ92" i="10"/>
  <c r="BA92" i="10" s="1"/>
  <c r="BE83" i="10"/>
  <c r="AZ83" i="10"/>
  <c r="BA83" i="10" s="1"/>
  <c r="BY68" i="10"/>
  <c r="BZ68" i="10" s="1"/>
  <c r="CA68" i="10" s="1"/>
  <c r="BT68" i="10"/>
  <c r="BU68" i="10" s="1"/>
  <c r="AZ38" i="10"/>
  <c r="BA38" i="10" s="1"/>
  <c r="BE38" i="10"/>
  <c r="BT26" i="10"/>
  <c r="BU26" i="10" s="1"/>
  <c r="BY26" i="10"/>
  <c r="BZ26" i="10" s="1"/>
  <c r="CA26" i="10" s="1"/>
  <c r="BM46" i="10"/>
  <c r="BF46" i="10"/>
  <c r="BG46" i="10" s="1"/>
  <c r="BM91" i="10"/>
  <c r="BF91" i="10"/>
  <c r="BG91" i="10" s="1"/>
  <c r="AZ93" i="10"/>
  <c r="BA93" i="10" s="1"/>
  <c r="BE93" i="10"/>
  <c r="BE43" i="10"/>
  <c r="AZ43" i="10"/>
  <c r="BA43" i="10" s="1"/>
  <c r="BE82" i="10"/>
  <c r="AZ82" i="10"/>
  <c r="BA82" i="10" s="1"/>
  <c r="BE76" i="10"/>
  <c r="AZ76" i="10"/>
  <c r="BA76" i="10" s="1"/>
  <c r="BE53" i="10"/>
  <c r="AZ53" i="10"/>
  <c r="BA53" i="10" s="1"/>
  <c r="BE62" i="10"/>
  <c r="AZ62" i="10"/>
  <c r="BA62" i="10" s="1"/>
  <c r="BM85" i="10"/>
  <c r="BF85" i="10"/>
  <c r="BG85" i="10" s="1"/>
  <c r="BE74" i="10"/>
  <c r="AZ74" i="10"/>
  <c r="BA74" i="10" s="1"/>
  <c r="BM24" i="10"/>
  <c r="BF24" i="10"/>
  <c r="BG24" i="10" s="1"/>
  <c r="BM78" i="10"/>
  <c r="BF78" i="10"/>
  <c r="BG78" i="10" s="1"/>
  <c r="BE96" i="10"/>
  <c r="AZ96" i="10"/>
  <c r="BA96" i="10" s="1"/>
  <c r="BE67" i="10"/>
  <c r="AZ67" i="10"/>
  <c r="BA67" i="10" s="1"/>
  <c r="BE73" i="10"/>
  <c r="AZ73" i="10"/>
  <c r="BA73" i="10" s="1"/>
  <c r="BM35" i="10"/>
  <c r="BF35" i="10"/>
  <c r="BG35" i="10" s="1"/>
  <c r="BM51" i="10"/>
  <c r="BF51" i="10"/>
  <c r="BG51" i="10" s="1"/>
  <c r="BE52" i="10"/>
  <c r="AZ52" i="10"/>
  <c r="BA52" i="10" s="1"/>
  <c r="BE72" i="10"/>
  <c r="AZ72" i="10"/>
  <c r="BA72" i="10" s="1"/>
  <c r="BM75" i="10"/>
  <c r="BF75" i="10"/>
  <c r="BG75" i="10" s="1"/>
  <c r="BE57" i="10"/>
  <c r="AZ57" i="10"/>
  <c r="BA57" i="10" s="1"/>
  <c r="AR89" i="10" s="1"/>
  <c r="AZ44" i="10"/>
  <c r="BA44" i="10" s="1"/>
  <c r="BE44" i="10"/>
  <c r="BE86" i="10"/>
  <c r="AZ86" i="10"/>
  <c r="BA86" i="10" s="1"/>
  <c r="BE77" i="10"/>
  <c r="AZ77" i="10"/>
  <c r="BA77" i="10" s="1"/>
  <c r="BM61" i="10"/>
  <c r="BF61" i="10"/>
  <c r="BG61" i="10" s="1"/>
  <c r="BS45" i="10"/>
  <c r="BN45" i="10"/>
  <c r="BO45" i="10" s="1"/>
  <c r="BE23" i="8"/>
  <c r="BE25" i="8"/>
  <c r="BM25" i="8" s="1"/>
  <c r="BS25" i="8" s="1"/>
  <c r="BY25" i="8" s="1"/>
  <c r="AS22" i="8"/>
  <c r="BE24" i="8"/>
  <c r="BE27" i="8"/>
  <c r="AZ27" i="8"/>
  <c r="BA27" i="8" s="1"/>
  <c r="AF22" i="8"/>
  <c r="AG22" i="8" s="1"/>
  <c r="AL71" i="8"/>
  <c r="AM71" i="8" s="1"/>
  <c r="AS53" i="8"/>
  <c r="AY53" i="8" s="1"/>
  <c r="BE53" i="8" s="1"/>
  <c r="BF33" i="8"/>
  <c r="BG33" i="8" s="1"/>
  <c r="BM33" i="8"/>
  <c r="BF23" i="8"/>
  <c r="BG23" i="8" s="1"/>
  <c r="BM23" i="8"/>
  <c r="BF24" i="8"/>
  <c r="BG24" i="8" s="1"/>
  <c r="BM24" i="8"/>
  <c r="BF25" i="8"/>
  <c r="BG25" i="8" s="1"/>
  <c r="AL53" i="8"/>
  <c r="AM53" i="8" s="1"/>
  <c r="AF34" i="8"/>
  <c r="AG34" i="8" s="1"/>
  <c r="AK34" i="8"/>
  <c r="AF36" i="8"/>
  <c r="AG36" i="8" s="1"/>
  <c r="AK36" i="8"/>
  <c r="AK38" i="8"/>
  <c r="AF38" i="8"/>
  <c r="AG38" i="8" s="1"/>
  <c r="AL22" i="8"/>
  <c r="AM22" i="8" s="1"/>
  <c r="AY46" i="8"/>
  <c r="BE46" i="8" s="1"/>
  <c r="AT46" i="8"/>
  <c r="AU46" i="8" s="1"/>
  <c r="AL76" i="8"/>
  <c r="AM76" i="8" s="1"/>
  <c r="AF78" i="8"/>
  <c r="AG78" i="8" s="1"/>
  <c r="AK78" i="8"/>
  <c r="AL78" i="8" s="1"/>
  <c r="AM78" i="8" s="1"/>
  <c r="AK75" i="8"/>
  <c r="AK66" i="8"/>
  <c r="AK64" i="8"/>
  <c r="AK74" i="8"/>
  <c r="AK67" i="8"/>
  <c r="AK77" i="8"/>
  <c r="AK63" i="8"/>
  <c r="AK61" i="8"/>
  <c r="AK73" i="8"/>
  <c r="AK62" i="8"/>
  <c r="AK72" i="8"/>
  <c r="AK68" i="8"/>
  <c r="AK65" i="8"/>
  <c r="AZ45" i="8"/>
  <c r="BA45" i="8" s="1"/>
  <c r="BS45" i="8"/>
  <c r="BY45" i="8" s="1"/>
  <c r="AZ47" i="8"/>
  <c r="BA47" i="8" s="1"/>
  <c r="BS47" i="8"/>
  <c r="BY47" i="8" s="1"/>
  <c r="BT26" i="8"/>
  <c r="BU26" i="8" s="1"/>
  <c r="BT21" i="8"/>
  <c r="BU21" i="8" s="1"/>
  <c r="BT28" i="8"/>
  <c r="BU28" i="8" s="1"/>
  <c r="AF83" i="8"/>
  <c r="AG83" i="8" s="1"/>
  <c r="AF62" i="8"/>
  <c r="AG62" i="8" s="1"/>
  <c r="AF63" i="8"/>
  <c r="AG63" i="8" s="1"/>
  <c r="AF72" i="8"/>
  <c r="AG72" i="8" s="1"/>
  <c r="AF61" i="8"/>
  <c r="AG61" i="8" s="1"/>
  <c r="AT33" i="8"/>
  <c r="AU33" i="8" s="1"/>
  <c r="AF66" i="8"/>
  <c r="AG66" i="8" s="1"/>
  <c r="AS56" i="8"/>
  <c r="AY56" i="8" s="1"/>
  <c r="BE56" i="8" s="1"/>
  <c r="AL56" i="8"/>
  <c r="AM56" i="8" s="1"/>
  <c r="AF64" i="8"/>
  <c r="AG64" i="8" s="1"/>
  <c r="AF77" i="8"/>
  <c r="AG77" i="8" s="1"/>
  <c r="AF88" i="8"/>
  <c r="AG88" i="8" s="1"/>
  <c r="AF84" i="8"/>
  <c r="AG84" i="8" s="1"/>
  <c r="AS52" i="8"/>
  <c r="AY52" i="8" s="1"/>
  <c r="BE52" i="8" s="1"/>
  <c r="AL52" i="8"/>
  <c r="AM52" i="8" s="1"/>
  <c r="AF76" i="8"/>
  <c r="AG76" i="8" s="1"/>
  <c r="AF74" i="8"/>
  <c r="AG74" i="8" s="1"/>
  <c r="AS55" i="8"/>
  <c r="AY55" i="8" s="1"/>
  <c r="BE55" i="8" s="1"/>
  <c r="AL55" i="8"/>
  <c r="AM55" i="8" s="1"/>
  <c r="AE95" i="8"/>
  <c r="AK95" i="8" s="1"/>
  <c r="Z95" i="8"/>
  <c r="AA95" i="8" s="1"/>
  <c r="AF86" i="8"/>
  <c r="AG86" i="8" s="1"/>
  <c r="AF73" i="8"/>
  <c r="AG73" i="8" s="1"/>
  <c r="AE93" i="8"/>
  <c r="AK93" i="8" s="1"/>
  <c r="Z93" i="8"/>
  <c r="AA93" i="8" s="1"/>
  <c r="AS57" i="8"/>
  <c r="AY57" i="8" s="1"/>
  <c r="BE57" i="8" s="1"/>
  <c r="AL57" i="8"/>
  <c r="AM57" i="8" s="1"/>
  <c r="AF75" i="8"/>
  <c r="AG75" i="8" s="1"/>
  <c r="AF87" i="8"/>
  <c r="AG87" i="8" s="1"/>
  <c r="AF82" i="8"/>
  <c r="AG82" i="8" s="1"/>
  <c r="AF65" i="8"/>
  <c r="AG65" i="8" s="1"/>
  <c r="AF67" i="8"/>
  <c r="AG67" i="8" s="1"/>
  <c r="AF68" i="8"/>
  <c r="AG68" i="8" s="1"/>
  <c r="AS58" i="8"/>
  <c r="AY58" i="8" s="1"/>
  <c r="BE58" i="8" s="1"/>
  <c r="AL58" i="8"/>
  <c r="AM58" i="8" s="1"/>
  <c r="AE98" i="8"/>
  <c r="AK98" i="8" s="1"/>
  <c r="Z98" i="8"/>
  <c r="AA98" i="8" s="1"/>
  <c r="AS71" i="8"/>
  <c r="AY71" i="8" s="1"/>
  <c r="AE96" i="8"/>
  <c r="AK96" i="8" s="1"/>
  <c r="Z96" i="8"/>
  <c r="AA96" i="8" s="1"/>
  <c r="AE97" i="8"/>
  <c r="AK97" i="8" s="1"/>
  <c r="Z97" i="8"/>
  <c r="AA97" i="8" s="1"/>
  <c r="AS91" i="8"/>
  <c r="AF91" i="8"/>
  <c r="AG91" i="8" s="1"/>
  <c r="AF81" i="8"/>
  <c r="AG81" i="8" s="1"/>
  <c r="AS83" i="8"/>
  <c r="AY83" i="8" s="1"/>
  <c r="BE83" i="8" s="1"/>
  <c r="AL83" i="8"/>
  <c r="AM83" i="8" s="1"/>
  <c r="AF85" i="8"/>
  <c r="AG85" i="8" s="1"/>
  <c r="AS54" i="8"/>
  <c r="AY54" i="8" s="1"/>
  <c r="BE54" i="8" s="1"/>
  <c r="AL54" i="8"/>
  <c r="AM54" i="8" s="1"/>
  <c r="AL24" i="8"/>
  <c r="AM24" i="8" s="1"/>
  <c r="AL23" i="8"/>
  <c r="AM23" i="8" s="1"/>
  <c r="AL26" i="8"/>
  <c r="AM26" i="8" s="1"/>
  <c r="AL25" i="8"/>
  <c r="AM25" i="8" s="1"/>
  <c r="AL21" i="8"/>
  <c r="AM21" i="8" s="1"/>
  <c r="L38" i="3"/>
  <c r="M27" i="3"/>
  <c r="N27" i="3" s="1"/>
  <c r="L39" i="3"/>
  <c r="M28" i="3"/>
  <c r="N28" i="3" s="1"/>
  <c r="D63" i="3"/>
  <c r="E52" i="3"/>
  <c r="F52" i="3" s="1"/>
  <c r="G52" i="3" s="1"/>
  <c r="L51" i="3"/>
  <c r="M40" i="3"/>
  <c r="N40" i="3" s="1"/>
  <c r="D62" i="3"/>
  <c r="E51" i="3"/>
  <c r="F51" i="3" s="1"/>
  <c r="G51" i="3" s="1"/>
  <c r="L42" i="3"/>
  <c r="M31" i="3"/>
  <c r="N31" i="3" s="1"/>
  <c r="D58" i="3"/>
  <c r="E47" i="3"/>
  <c r="F47" i="3" s="1"/>
  <c r="G47" i="3" s="1"/>
  <c r="L43" i="3"/>
  <c r="M32" i="3"/>
  <c r="N32" i="3" s="1"/>
  <c r="D64" i="3"/>
  <c r="E53" i="3"/>
  <c r="F53" i="3" s="1"/>
  <c r="G53" i="3" s="1"/>
  <c r="D65" i="3"/>
  <c r="E54" i="3"/>
  <c r="F54" i="3" s="1"/>
  <c r="G54" i="3" s="1"/>
  <c r="D61" i="3"/>
  <c r="E50" i="3"/>
  <c r="F50" i="3" s="1"/>
  <c r="G50" i="3" s="1"/>
  <c r="L41" i="3"/>
  <c r="M30" i="3"/>
  <c r="N30" i="3" s="1"/>
  <c r="E49" i="3"/>
  <c r="F49" i="3" s="1"/>
  <c r="G49" i="3" s="1"/>
  <c r="D60" i="3"/>
  <c r="D59" i="3"/>
  <c r="E48" i="3"/>
  <c r="F48" i="3" s="1"/>
  <c r="G48" i="3" s="1"/>
  <c r="L37" i="3"/>
  <c r="M26" i="3"/>
  <c r="N26" i="3" s="1"/>
  <c r="L36" i="3"/>
  <c r="M25" i="3"/>
  <c r="N25" i="3" s="1"/>
  <c r="CK42" i="11" l="1"/>
  <c r="CF42" i="11"/>
  <c r="CG42" i="11" s="1"/>
  <c r="BQ85" i="11"/>
  <c r="BL85" i="11"/>
  <c r="BM85" i="11" s="1"/>
  <c r="CE82" i="11"/>
  <c r="CK82" i="11" s="1"/>
  <c r="CQ82" i="11" s="1"/>
  <c r="CY82" i="11" s="1"/>
  <c r="DE82" i="11" s="1"/>
  <c r="DK82" i="11" s="1"/>
  <c r="BZ82" i="11"/>
  <c r="CA82" i="11" s="1"/>
  <c r="DQ84" i="11"/>
  <c r="DY84" i="11"/>
  <c r="EE84" i="11" s="1"/>
  <c r="EK84" i="11" s="1"/>
  <c r="ES84" i="11" s="1"/>
  <c r="EY84" i="11" s="1"/>
  <c r="FE84" i="11" s="1"/>
  <c r="FK84" i="11" s="1"/>
  <c r="FE43" i="11"/>
  <c r="EZ43" i="11"/>
  <c r="FA43" i="11" s="1"/>
  <c r="FE87" i="11"/>
  <c r="EZ87" i="11"/>
  <c r="FA87" i="11" s="1"/>
  <c r="FK54" i="11"/>
  <c r="FL54" i="11" s="1"/>
  <c r="FM54" i="11" s="1"/>
  <c r="FF54" i="11"/>
  <c r="FG54" i="11" s="1"/>
  <c r="DE32" i="11"/>
  <c r="CZ32" i="11"/>
  <c r="DA32" i="11" s="1"/>
  <c r="CZ98" i="11"/>
  <c r="DA98" i="11" s="1"/>
  <c r="CR87" i="11"/>
  <c r="CS87" i="11" s="1"/>
  <c r="CR76" i="11"/>
  <c r="CS76" i="11" s="1"/>
  <c r="CZ65" i="11"/>
  <c r="DA65" i="11" s="1"/>
  <c r="CF63" i="11"/>
  <c r="CG63" i="11" s="1"/>
  <c r="CR54" i="11"/>
  <c r="CS54" i="11" s="1"/>
  <c r="CR43" i="11"/>
  <c r="CS43" i="11" s="1"/>
  <c r="BL96" i="11"/>
  <c r="BM96" i="11" s="1"/>
  <c r="CL71" i="11"/>
  <c r="CM71" i="11" s="1"/>
  <c r="BL83" i="11"/>
  <c r="BM83" i="11" s="1"/>
  <c r="CL57" i="11"/>
  <c r="CM57" i="11" s="1"/>
  <c r="CF93" i="11"/>
  <c r="CG93" i="11" s="1"/>
  <c r="CF92" i="11"/>
  <c r="CG92" i="11" s="1"/>
  <c r="CF36" i="11"/>
  <c r="CG36" i="11" s="1"/>
  <c r="CF45" i="11"/>
  <c r="CG45" i="11" s="1"/>
  <c r="CF66" i="11"/>
  <c r="CG66" i="11" s="1"/>
  <c r="CF52" i="11"/>
  <c r="CG52" i="11" s="1"/>
  <c r="CF53" i="11"/>
  <c r="CG53" i="11" s="1"/>
  <c r="CF46" i="11"/>
  <c r="CG46" i="11" s="1"/>
  <c r="CL41" i="11"/>
  <c r="CM41" i="11" s="1"/>
  <c r="CF33" i="11"/>
  <c r="CG33" i="11" s="1"/>
  <c r="CF74" i="11"/>
  <c r="CG74" i="11" s="1"/>
  <c r="CF82" i="11"/>
  <c r="CG82" i="11" s="1"/>
  <c r="CF91" i="11"/>
  <c r="CG91" i="11" s="1"/>
  <c r="CL56" i="11"/>
  <c r="CM56" i="11" s="1"/>
  <c r="CF95" i="11"/>
  <c r="CG95" i="11" s="1"/>
  <c r="BL22" i="11"/>
  <c r="BM22" i="11" s="1"/>
  <c r="CL48" i="11"/>
  <c r="CM48" i="11" s="1"/>
  <c r="CF73" i="11"/>
  <c r="CG73" i="11" s="1"/>
  <c r="BL64" i="11"/>
  <c r="BM64" i="11" s="1"/>
  <c r="CL51" i="11"/>
  <c r="CM51" i="11" s="1"/>
  <c r="CF81" i="11"/>
  <c r="CG81" i="11" s="1"/>
  <c r="CL31" i="11"/>
  <c r="CM31" i="11" s="1"/>
  <c r="CF77" i="11"/>
  <c r="CG77" i="11" s="1"/>
  <c r="CF25" i="11"/>
  <c r="CG25" i="11" s="1"/>
  <c r="CL61" i="11"/>
  <c r="CM61" i="11" s="1"/>
  <c r="CF62" i="11"/>
  <c r="CG62" i="11" s="1"/>
  <c r="CL88" i="11"/>
  <c r="CM88" i="11" s="1"/>
  <c r="CL23" i="11"/>
  <c r="CM23" i="11" s="1"/>
  <c r="EN82" i="9"/>
  <c r="EO82" i="9" s="1"/>
  <c r="ET82" i="9"/>
  <c r="EU82" i="9" s="1"/>
  <c r="BZ28" i="9"/>
  <c r="CA28" i="9" s="1"/>
  <c r="CH28" i="9"/>
  <c r="CI28" i="9" s="1"/>
  <c r="BZ21" i="9"/>
  <c r="CA21" i="9" s="1"/>
  <c r="BT67" i="9"/>
  <c r="BU67" i="9" s="1"/>
  <c r="BN46" i="9"/>
  <c r="BO46" i="9" s="1"/>
  <c r="BN53" i="9"/>
  <c r="BO53" i="9" s="1"/>
  <c r="BT28" i="9"/>
  <c r="BU28" i="9" s="1"/>
  <c r="BN54" i="9"/>
  <c r="BO54" i="9" s="1"/>
  <c r="BS75" i="10"/>
  <c r="BN75" i="10"/>
  <c r="BO75" i="10" s="1"/>
  <c r="BS78" i="10"/>
  <c r="BN78" i="10"/>
  <c r="BO78" i="10" s="1"/>
  <c r="BF43" i="10"/>
  <c r="BG43" i="10" s="1"/>
  <c r="BM43" i="10"/>
  <c r="BM92" i="10"/>
  <c r="BF92" i="10"/>
  <c r="BG92" i="10" s="1"/>
  <c r="BS31" i="10"/>
  <c r="BN31" i="10"/>
  <c r="BO31" i="10" s="1"/>
  <c r="BM66" i="10"/>
  <c r="BF66" i="10"/>
  <c r="BG66" i="10" s="1"/>
  <c r="BM97" i="10"/>
  <c r="BF97" i="10"/>
  <c r="BG97" i="10" s="1"/>
  <c r="BM93" i="10"/>
  <c r="BF93" i="10"/>
  <c r="BG93" i="10" s="1"/>
  <c r="BS91" i="10"/>
  <c r="BN91" i="10"/>
  <c r="BO91" i="10" s="1"/>
  <c r="BS94" i="10"/>
  <c r="BN94" i="10"/>
  <c r="BO94" i="10" s="1"/>
  <c r="BM84" i="10"/>
  <c r="BF84" i="10"/>
  <c r="BG84" i="10" s="1"/>
  <c r="BM34" i="10"/>
  <c r="BF34" i="10"/>
  <c r="BG34" i="10" s="1"/>
  <c r="BY45" i="10"/>
  <c r="BZ45" i="10" s="1"/>
  <c r="CA45" i="10" s="1"/>
  <c r="BT45" i="10"/>
  <c r="BU45" i="10" s="1"/>
  <c r="BS85" i="10"/>
  <c r="BN85" i="10"/>
  <c r="BO85" i="10" s="1"/>
  <c r="BN46" i="10"/>
  <c r="BO46" i="10" s="1"/>
  <c r="BS46" i="10"/>
  <c r="BS81" i="10"/>
  <c r="BN81" i="10"/>
  <c r="BO81" i="10" s="1"/>
  <c r="BY21" i="10"/>
  <c r="BZ21" i="10" s="1"/>
  <c r="CA21" i="10" s="1"/>
  <c r="BT21" i="10"/>
  <c r="BU21" i="10" s="1"/>
  <c r="BM42" i="10"/>
  <c r="BF42" i="10"/>
  <c r="BG42" i="10" s="1"/>
  <c r="BS54" i="10"/>
  <c r="BN54" i="10"/>
  <c r="BO54" i="10" s="1"/>
  <c r="BM58" i="10"/>
  <c r="BF58" i="10"/>
  <c r="BG58" i="10" s="1"/>
  <c r="BM62" i="10"/>
  <c r="BF62" i="10"/>
  <c r="BG62" i="10" s="1"/>
  <c r="BS55" i="10"/>
  <c r="BN55" i="10"/>
  <c r="BO55" i="10" s="1"/>
  <c r="BF47" i="10"/>
  <c r="BG47" i="10" s="1"/>
  <c r="BM47" i="10"/>
  <c r="BS24" i="10"/>
  <c r="BN24" i="10"/>
  <c r="BO24" i="10" s="1"/>
  <c r="BM52" i="10"/>
  <c r="BF52" i="10"/>
  <c r="BG52" i="10" s="1"/>
  <c r="BM38" i="10"/>
  <c r="BF38" i="10"/>
  <c r="BG38" i="10" s="1"/>
  <c r="BM86" i="10"/>
  <c r="BF86" i="10"/>
  <c r="BG86" i="10" s="1"/>
  <c r="BF73" i="10"/>
  <c r="BG73" i="10" s="1"/>
  <c r="BM73" i="10"/>
  <c r="BM53" i="10"/>
  <c r="BF53" i="10"/>
  <c r="BG53" i="10" s="1"/>
  <c r="BY23" i="10"/>
  <c r="BZ23" i="10" s="1"/>
  <c r="CA23" i="10" s="1"/>
  <c r="BT23" i="10"/>
  <c r="BU23" i="10" s="1"/>
  <c r="BM56" i="10"/>
  <c r="BF56" i="10"/>
  <c r="BG56" i="10" s="1"/>
  <c r="BM36" i="10"/>
  <c r="BF36" i="10"/>
  <c r="BG36" i="10" s="1"/>
  <c r="BM72" i="10"/>
  <c r="BF72" i="10"/>
  <c r="BG72" i="10" s="1"/>
  <c r="BM74" i="10"/>
  <c r="BF74" i="10"/>
  <c r="BG74" i="10" s="1"/>
  <c r="BS61" i="10"/>
  <c r="BN61" i="10"/>
  <c r="BO61" i="10" s="1"/>
  <c r="BM44" i="10"/>
  <c r="BF44" i="10"/>
  <c r="BG44" i="10" s="1"/>
  <c r="BF77" i="10"/>
  <c r="BG77" i="10" s="1"/>
  <c r="BM77" i="10"/>
  <c r="BF67" i="10"/>
  <c r="BG67" i="10" s="1"/>
  <c r="BM67" i="10"/>
  <c r="BM76" i="10"/>
  <c r="BF76" i="10"/>
  <c r="BG76" i="10" s="1"/>
  <c r="BS98" i="10"/>
  <c r="BN98" i="10"/>
  <c r="BO98" i="10" s="1"/>
  <c r="BM87" i="10"/>
  <c r="BF87" i="10"/>
  <c r="BG87" i="10" s="1"/>
  <c r="BS65" i="10"/>
  <c r="BN65" i="10"/>
  <c r="BO65" i="10" s="1"/>
  <c r="BM64" i="10"/>
  <c r="BF64" i="10"/>
  <c r="BG64" i="10" s="1"/>
  <c r="BS51" i="10"/>
  <c r="BN51" i="10"/>
  <c r="BO51" i="10" s="1"/>
  <c r="BS35" i="10"/>
  <c r="BN35" i="10"/>
  <c r="BO35" i="10" s="1"/>
  <c r="BM57" i="10"/>
  <c r="BF57" i="10"/>
  <c r="BG57" i="10" s="1"/>
  <c r="AX89" i="10" s="1"/>
  <c r="BM96" i="10"/>
  <c r="BF96" i="10"/>
  <c r="BG96" i="10" s="1"/>
  <c r="BM82" i="10"/>
  <c r="BF82" i="10"/>
  <c r="BG82" i="10" s="1"/>
  <c r="BM83" i="10"/>
  <c r="BF83" i="10"/>
  <c r="BG83" i="10" s="1"/>
  <c r="BM27" i="10"/>
  <c r="BF27" i="10"/>
  <c r="BG27" i="10" s="1"/>
  <c r="BS71" i="10"/>
  <c r="BN71" i="10"/>
  <c r="BO71" i="10" s="1"/>
  <c r="BT25" i="8"/>
  <c r="BU25" i="8" s="1"/>
  <c r="BN25" i="8"/>
  <c r="BO25" i="8" s="1"/>
  <c r="BF53" i="8"/>
  <c r="BG53" i="8" s="1"/>
  <c r="BM53" i="8"/>
  <c r="AL72" i="8"/>
  <c r="AM72" i="8" s="1"/>
  <c r="BF54" i="8"/>
  <c r="BG54" i="8" s="1"/>
  <c r="BM54" i="8"/>
  <c r="AL77" i="8"/>
  <c r="AM77" i="8" s="1"/>
  <c r="AS36" i="8"/>
  <c r="AY36" i="8" s="1"/>
  <c r="BE36" i="8" s="1"/>
  <c r="BF36" i="8" s="1"/>
  <c r="BG36" i="8" s="1"/>
  <c r="BF55" i="8"/>
  <c r="BG55" i="8" s="1"/>
  <c r="BM55" i="8"/>
  <c r="BF52" i="8"/>
  <c r="BG52" i="8" s="1"/>
  <c r="BM52" i="8"/>
  <c r="AL74" i="8"/>
  <c r="AM74" i="8" s="1"/>
  <c r="AS34" i="8"/>
  <c r="AY34" i="8" s="1"/>
  <c r="BE34" i="8" s="1"/>
  <c r="BF34" i="8" s="1"/>
  <c r="BG34" i="8" s="1"/>
  <c r="AL64" i="8"/>
  <c r="AM64" i="8" s="1"/>
  <c r="AS61" i="8"/>
  <c r="AY61" i="8" s="1"/>
  <c r="BE61" i="8" s="1"/>
  <c r="AL75" i="8"/>
  <c r="AM75" i="8" s="1"/>
  <c r="AS68" i="8"/>
  <c r="AY68" i="8" s="1"/>
  <c r="BE68" i="8" s="1"/>
  <c r="AS62" i="8"/>
  <c r="AY62" i="8" s="1"/>
  <c r="BF57" i="8"/>
  <c r="BG57" i="8" s="1"/>
  <c r="BM57" i="8"/>
  <c r="BS57" i="8" s="1"/>
  <c r="BY57" i="8" s="1"/>
  <c r="AT53" i="8"/>
  <c r="AU53" i="8" s="1"/>
  <c r="BM27" i="8"/>
  <c r="BF27" i="8"/>
  <c r="BG27" i="8" s="1"/>
  <c r="AL73" i="8"/>
  <c r="AM73" i="8" s="1"/>
  <c r="AS38" i="8"/>
  <c r="AY38" i="8" s="1"/>
  <c r="BE38" i="8" s="1"/>
  <c r="BF38" i="8" s="1"/>
  <c r="BG38" i="8" s="1"/>
  <c r="AS67" i="8"/>
  <c r="AY67" i="8" s="1"/>
  <c r="BE67" i="8" s="1"/>
  <c r="BM67" i="8" s="1"/>
  <c r="AL66" i="8"/>
  <c r="AM66" i="8" s="1"/>
  <c r="BF56" i="8"/>
  <c r="BG56" i="8" s="1"/>
  <c r="BM56" i="8"/>
  <c r="BF58" i="8"/>
  <c r="BG58" i="8" s="1"/>
  <c r="BM58" i="8"/>
  <c r="AS63" i="8"/>
  <c r="AY63" i="8" s="1"/>
  <c r="BE63" i="8" s="1"/>
  <c r="BF63" i="8" s="1"/>
  <c r="BG63" i="8" s="1"/>
  <c r="AL65" i="8"/>
  <c r="AM65" i="8" s="1"/>
  <c r="AT22" i="8"/>
  <c r="AU22" i="8" s="1"/>
  <c r="AY22" i="8"/>
  <c r="BF83" i="8"/>
  <c r="BG83" i="8" s="1"/>
  <c r="BM83" i="8"/>
  <c r="BS83" i="8" s="1"/>
  <c r="BY83" i="8" s="1"/>
  <c r="BF46" i="8"/>
  <c r="BG46" i="8" s="1"/>
  <c r="BM46" i="8"/>
  <c r="BF68" i="8"/>
  <c r="BG68" i="8" s="1"/>
  <c r="BM68" i="8"/>
  <c r="BF61" i="8"/>
  <c r="BG61" i="8" s="1"/>
  <c r="BM61" i="8"/>
  <c r="BS61" i="8" s="1"/>
  <c r="BY61" i="8" s="1"/>
  <c r="BM63" i="8"/>
  <c r="BS24" i="8"/>
  <c r="BN24" i="8"/>
  <c r="BO24" i="8" s="1"/>
  <c r="BS23" i="8"/>
  <c r="BN23" i="8"/>
  <c r="BO23" i="8" s="1"/>
  <c r="BE62" i="8"/>
  <c r="BE71" i="8"/>
  <c r="AS78" i="8"/>
  <c r="AY78" i="8" s="1"/>
  <c r="AL68" i="8"/>
  <c r="AM68" i="8" s="1"/>
  <c r="AL67" i="8"/>
  <c r="AM67" i="8" s="1"/>
  <c r="AL62" i="8"/>
  <c r="AM62" i="8" s="1"/>
  <c r="AL63" i="8"/>
  <c r="AM63" i="8" s="1"/>
  <c r="AS64" i="8"/>
  <c r="AY64" i="8" s="1"/>
  <c r="BE64" i="8" s="1"/>
  <c r="AS65" i="8"/>
  <c r="AY65" i="8" s="1"/>
  <c r="BE65" i="8" s="1"/>
  <c r="AS66" i="8"/>
  <c r="AY66" i="8" s="1"/>
  <c r="BE66" i="8" s="1"/>
  <c r="AT91" i="8"/>
  <c r="AU91" i="8" s="1"/>
  <c r="AY91" i="8"/>
  <c r="AZ44" i="8"/>
  <c r="BA44" i="8" s="1"/>
  <c r="BS44" i="8"/>
  <c r="BY44" i="8" s="1"/>
  <c r="AZ48" i="8"/>
  <c r="BA48" i="8" s="1"/>
  <c r="BS48" i="8"/>
  <c r="BY48" i="8" s="1"/>
  <c r="AZ41" i="8"/>
  <c r="BA41" i="8" s="1"/>
  <c r="BN41" i="8"/>
  <c r="BO41" i="8" s="1"/>
  <c r="AZ46" i="8"/>
  <c r="BA46" i="8" s="1"/>
  <c r="AZ42" i="8"/>
  <c r="BA42" i="8" s="1"/>
  <c r="AZ43" i="8"/>
  <c r="BA43" i="8" s="1"/>
  <c r="BZ28" i="8"/>
  <c r="CA28" i="8" s="1"/>
  <c r="BZ26" i="8"/>
  <c r="CA26" i="8" s="1"/>
  <c r="BZ25" i="8"/>
  <c r="CA25" i="8" s="1"/>
  <c r="BZ21" i="8"/>
  <c r="CA21" i="8" s="1"/>
  <c r="BN45" i="8"/>
  <c r="BO45" i="8" s="1"/>
  <c r="BN47" i="8"/>
  <c r="BO47" i="8" s="1"/>
  <c r="AL61" i="8"/>
  <c r="AM61" i="8" s="1"/>
  <c r="AS72" i="8"/>
  <c r="AS75" i="8"/>
  <c r="AY75" i="8" s="1"/>
  <c r="AS74" i="8"/>
  <c r="AY74" i="8" s="1"/>
  <c r="AS97" i="8"/>
  <c r="AF97" i="8"/>
  <c r="AG97" i="8" s="1"/>
  <c r="AS93" i="8"/>
  <c r="AF93" i="8"/>
  <c r="AG93" i="8" s="1"/>
  <c r="AT52" i="8"/>
  <c r="AU52" i="8" s="1"/>
  <c r="AT55" i="8"/>
  <c r="AU55" i="8" s="1"/>
  <c r="AS73" i="8"/>
  <c r="AY73" i="8" s="1"/>
  <c r="AS84" i="8"/>
  <c r="AY84" i="8" s="1"/>
  <c r="AL84" i="8"/>
  <c r="AM84" i="8" s="1"/>
  <c r="AS87" i="8"/>
  <c r="AY87" i="8" s="1"/>
  <c r="AL87" i="8"/>
  <c r="AM87" i="8" s="1"/>
  <c r="AT58" i="8"/>
  <c r="AU58" i="8" s="1"/>
  <c r="AT57" i="8"/>
  <c r="AU57" i="8" s="1"/>
  <c r="AS86" i="8"/>
  <c r="AY86" i="8" s="1"/>
  <c r="AL86" i="8"/>
  <c r="AM86" i="8" s="1"/>
  <c r="AS88" i="8"/>
  <c r="AY88" i="8" s="1"/>
  <c r="AL88" i="8"/>
  <c r="AM88" i="8" s="1"/>
  <c r="AS76" i="8"/>
  <c r="AY76" i="8" s="1"/>
  <c r="AS98" i="8"/>
  <c r="AF98" i="8"/>
  <c r="AG98" i="8" s="1"/>
  <c r="AT83" i="8"/>
  <c r="AU83" i="8" s="1"/>
  <c r="AT71" i="8"/>
  <c r="AU71" i="8" s="1"/>
  <c r="AS85" i="8"/>
  <c r="AY85" i="8" s="1"/>
  <c r="AL85" i="8"/>
  <c r="AM85" i="8" s="1"/>
  <c r="AS77" i="8"/>
  <c r="AY77" i="8" s="1"/>
  <c r="AS96" i="8"/>
  <c r="AF96" i="8"/>
  <c r="AG96" i="8" s="1"/>
  <c r="AT54" i="8"/>
  <c r="AU54" i="8" s="1"/>
  <c r="AS81" i="8"/>
  <c r="AY81" i="8" s="1"/>
  <c r="AL81" i="8"/>
  <c r="AM81" i="8" s="1"/>
  <c r="AS82" i="8"/>
  <c r="AY82" i="8" s="1"/>
  <c r="AL82" i="8"/>
  <c r="AM82" i="8" s="1"/>
  <c r="AS95" i="8"/>
  <c r="AF95" i="8"/>
  <c r="AG95" i="8" s="1"/>
  <c r="AL91" i="8"/>
  <c r="AM91" i="8" s="1"/>
  <c r="AT56" i="8"/>
  <c r="AU56" i="8" s="1"/>
  <c r="AT61" i="8"/>
  <c r="AU61" i="8" s="1"/>
  <c r="D69" i="3"/>
  <c r="E58" i="3"/>
  <c r="F58" i="3" s="1"/>
  <c r="G58" i="3" s="1"/>
  <c r="M36" i="3"/>
  <c r="N36" i="3" s="1"/>
  <c r="L47" i="3"/>
  <c r="L53" i="3"/>
  <c r="M42" i="3"/>
  <c r="N42" i="3" s="1"/>
  <c r="L52" i="3"/>
  <c r="M41" i="3"/>
  <c r="N41" i="3" s="1"/>
  <c r="D70" i="3"/>
  <c r="E59" i="3"/>
  <c r="F59" i="3" s="1"/>
  <c r="G59" i="3" s="1"/>
  <c r="E60" i="3"/>
  <c r="F60" i="3" s="1"/>
  <c r="G60" i="3" s="1"/>
  <c r="D71" i="3"/>
  <c r="L62" i="3"/>
  <c r="M51" i="3"/>
  <c r="N51" i="3" s="1"/>
  <c r="E63" i="3"/>
  <c r="F63" i="3" s="1"/>
  <c r="G63" i="3" s="1"/>
  <c r="D74" i="3"/>
  <c r="L48" i="3"/>
  <c r="M37" i="3"/>
  <c r="N37" i="3" s="1"/>
  <c r="D73" i="3"/>
  <c r="E62" i="3"/>
  <c r="F62" i="3" s="1"/>
  <c r="G62" i="3" s="1"/>
  <c r="D72" i="3"/>
  <c r="E61" i="3"/>
  <c r="F61" i="3" s="1"/>
  <c r="G61" i="3" s="1"/>
  <c r="L54" i="3"/>
  <c r="M43" i="3"/>
  <c r="N43" i="3" s="1"/>
  <c r="D76" i="3"/>
  <c r="E65" i="3"/>
  <c r="F65" i="3" s="1"/>
  <c r="G65" i="3" s="1"/>
  <c r="L50" i="3"/>
  <c r="M39" i="3"/>
  <c r="N39" i="3" s="1"/>
  <c r="D75" i="3"/>
  <c r="E64" i="3"/>
  <c r="F64" i="3" s="1"/>
  <c r="G64" i="3" s="1"/>
  <c r="L49" i="3"/>
  <c r="M38" i="3"/>
  <c r="N38" i="3" s="1"/>
  <c r="BR85" i="11" l="1"/>
  <c r="BS85" i="11" s="1"/>
  <c r="BY85" i="11"/>
  <c r="CQ42" i="11"/>
  <c r="CL42" i="11"/>
  <c r="CM42" i="11" s="1"/>
  <c r="DY82" i="11"/>
  <c r="EE82" i="11" s="1"/>
  <c r="EK82" i="11" s="1"/>
  <c r="ES82" i="11" s="1"/>
  <c r="EY82" i="11" s="1"/>
  <c r="FE82" i="11" s="1"/>
  <c r="FK82" i="11" s="1"/>
  <c r="DQ82" i="11"/>
  <c r="FK43" i="11"/>
  <c r="FL43" i="11" s="1"/>
  <c r="FM43" i="11" s="1"/>
  <c r="FF43" i="11"/>
  <c r="FG43" i="11" s="1"/>
  <c r="FK87" i="11"/>
  <c r="FL87" i="11" s="1"/>
  <c r="FM87" i="11" s="1"/>
  <c r="FF87" i="11"/>
  <c r="FG87" i="11" s="1"/>
  <c r="DK32" i="11"/>
  <c r="DF32" i="11"/>
  <c r="DG32" i="11" s="1"/>
  <c r="DL98" i="11"/>
  <c r="DM98" i="11" s="1"/>
  <c r="DF98" i="11"/>
  <c r="DG98" i="11" s="1"/>
  <c r="CZ87" i="11"/>
  <c r="DA87" i="11" s="1"/>
  <c r="CZ76" i="11"/>
  <c r="DA76" i="11" s="1"/>
  <c r="CL63" i="11"/>
  <c r="CM63" i="11" s="1"/>
  <c r="DF65" i="11"/>
  <c r="DG65" i="11" s="1"/>
  <c r="CZ54" i="11"/>
  <c r="DA54" i="11" s="1"/>
  <c r="CZ43" i="11"/>
  <c r="DA43" i="11" s="1"/>
  <c r="CF35" i="11"/>
  <c r="CG35" i="11" s="1"/>
  <c r="CR56" i="11"/>
  <c r="CS56" i="11" s="1"/>
  <c r="CF34" i="11"/>
  <c r="CG34" i="11" s="1"/>
  <c r="CL25" i="11"/>
  <c r="CM25" i="11" s="1"/>
  <c r="CF27" i="11"/>
  <c r="CG27" i="11" s="1"/>
  <c r="CL95" i="11"/>
  <c r="CM95" i="11" s="1"/>
  <c r="CF86" i="11"/>
  <c r="CG86" i="11" s="1"/>
  <c r="CL52" i="11"/>
  <c r="CM52" i="11" s="1"/>
  <c r="CF72" i="11"/>
  <c r="CG72" i="11" s="1"/>
  <c r="CF55" i="11"/>
  <c r="CG55" i="11" s="1"/>
  <c r="CF28" i="11"/>
  <c r="CG28" i="11" s="1"/>
  <c r="CL74" i="11"/>
  <c r="CM74" i="11" s="1"/>
  <c r="CL82" i="11"/>
  <c r="CM82" i="11" s="1"/>
  <c r="CF26" i="11"/>
  <c r="CG26" i="11" s="1"/>
  <c r="CF94" i="11"/>
  <c r="CG94" i="11" s="1"/>
  <c r="CF37" i="11"/>
  <c r="CG37" i="11" s="1"/>
  <c r="CF47" i="11"/>
  <c r="CG47" i="11" s="1"/>
  <c r="CL73" i="11"/>
  <c r="CM73" i="11" s="1"/>
  <c r="CL33" i="11"/>
  <c r="CM33" i="11" s="1"/>
  <c r="CL66" i="11"/>
  <c r="CM66" i="11" s="1"/>
  <c r="CF68" i="11"/>
  <c r="CG68" i="11" s="1"/>
  <c r="CR23" i="11"/>
  <c r="CS23" i="11" s="1"/>
  <c r="CR31" i="11"/>
  <c r="CS31" i="11" s="1"/>
  <c r="CR48" i="11"/>
  <c r="CS48" i="11" s="1"/>
  <c r="CR41" i="11"/>
  <c r="CS41" i="11" s="1"/>
  <c r="CL45" i="11"/>
  <c r="CM45" i="11" s="1"/>
  <c r="CR71" i="11"/>
  <c r="CS71" i="11" s="1"/>
  <c r="CL46" i="11"/>
  <c r="CM46" i="11" s="1"/>
  <c r="CR88" i="11"/>
  <c r="CS88" i="11" s="1"/>
  <c r="CL81" i="11"/>
  <c r="CM81" i="11" s="1"/>
  <c r="CF67" i="11"/>
  <c r="CG67" i="11" s="1"/>
  <c r="CL91" i="11"/>
  <c r="CM91" i="11" s="1"/>
  <c r="CL36" i="11"/>
  <c r="CM36" i="11" s="1"/>
  <c r="CF75" i="11"/>
  <c r="CG75" i="11" s="1"/>
  <c r="CR57" i="11"/>
  <c r="CS57" i="11" s="1"/>
  <c r="CL62" i="11"/>
  <c r="CM62" i="11" s="1"/>
  <c r="CF44" i="11"/>
  <c r="CG44" i="11" s="1"/>
  <c r="CF78" i="11"/>
  <c r="CG78" i="11" s="1"/>
  <c r="CF24" i="11"/>
  <c r="CG24" i="11" s="1"/>
  <c r="CL53" i="11"/>
  <c r="CM53" i="11" s="1"/>
  <c r="CL92" i="11"/>
  <c r="CM92" i="11" s="1"/>
  <c r="CL77" i="11"/>
  <c r="CM77" i="11" s="1"/>
  <c r="CF97" i="11"/>
  <c r="CG97" i="11" s="1"/>
  <c r="CF84" i="11"/>
  <c r="CG84" i="11" s="1"/>
  <c r="CF38" i="11"/>
  <c r="CG38" i="11" s="1"/>
  <c r="CR61" i="11"/>
  <c r="CS61" i="11" s="1"/>
  <c r="CR51" i="11"/>
  <c r="CS51" i="11" s="1"/>
  <c r="CF58" i="11"/>
  <c r="CG58" i="11" s="1"/>
  <c r="CL93" i="11"/>
  <c r="CM93" i="11" s="1"/>
  <c r="BZ46" i="9"/>
  <c r="CA46" i="9" s="1"/>
  <c r="CH46" i="9"/>
  <c r="CI46" i="9" s="1"/>
  <c r="BZ53" i="9"/>
  <c r="CA53" i="9" s="1"/>
  <c r="CH53" i="9"/>
  <c r="CI53" i="9" s="1"/>
  <c r="BZ54" i="9"/>
  <c r="CA54" i="9" s="1"/>
  <c r="CH54" i="9"/>
  <c r="CI54" i="9" s="1"/>
  <c r="CH21" i="9"/>
  <c r="CI21" i="9" s="1"/>
  <c r="CN21" i="9"/>
  <c r="BN24" i="9"/>
  <c r="BO24" i="9" s="1"/>
  <c r="BN72" i="9"/>
  <c r="BO72" i="9" s="1"/>
  <c r="BN38" i="9"/>
  <c r="BO38" i="9" s="1"/>
  <c r="BN95" i="9"/>
  <c r="BO95" i="9" s="1"/>
  <c r="BN78" i="9"/>
  <c r="BO78" i="9" s="1"/>
  <c r="BT53" i="9"/>
  <c r="BU53" i="9" s="1"/>
  <c r="BT46" i="9"/>
  <c r="BU46" i="9" s="1"/>
  <c r="BT54" i="9"/>
  <c r="BU54" i="9" s="1"/>
  <c r="BN71" i="9"/>
  <c r="BO71" i="9" s="1"/>
  <c r="BN62" i="9"/>
  <c r="BO62" i="9" s="1"/>
  <c r="BN94" i="9"/>
  <c r="BO94" i="9" s="1"/>
  <c r="BN88" i="9"/>
  <c r="BO88" i="9" s="1"/>
  <c r="BN98" i="9"/>
  <c r="BO98" i="9" s="1"/>
  <c r="BN57" i="9"/>
  <c r="BO57" i="9" s="1"/>
  <c r="BN91" i="9"/>
  <c r="BO91" i="9" s="1"/>
  <c r="BN22" i="9"/>
  <c r="BO22" i="9" s="1"/>
  <c r="BN61" i="9"/>
  <c r="BO61" i="9" s="1"/>
  <c r="BN93" i="9"/>
  <c r="BO93" i="9" s="1"/>
  <c r="BN76" i="9"/>
  <c r="BO76" i="9" s="1"/>
  <c r="BN55" i="9"/>
  <c r="BO55" i="9" s="1"/>
  <c r="BN64" i="9"/>
  <c r="BO64" i="9" s="1"/>
  <c r="BN35" i="9"/>
  <c r="BO35" i="9" s="1"/>
  <c r="BN41" i="9"/>
  <c r="BO41" i="9" s="1"/>
  <c r="BN21" i="9"/>
  <c r="BO21" i="9" s="1"/>
  <c r="BU21" i="9"/>
  <c r="BN48" i="9"/>
  <c r="BO48" i="9" s="1"/>
  <c r="BS36" i="10"/>
  <c r="BN36" i="10"/>
  <c r="BO36" i="10" s="1"/>
  <c r="BY24" i="10"/>
  <c r="BZ24" i="10" s="1"/>
  <c r="CA24" i="10" s="1"/>
  <c r="BT24" i="10"/>
  <c r="BU24" i="10" s="1"/>
  <c r="BT81" i="10"/>
  <c r="BU81" i="10" s="1"/>
  <c r="BY81" i="10"/>
  <c r="BZ81" i="10" s="1"/>
  <c r="CA81" i="10" s="1"/>
  <c r="BS93" i="10"/>
  <c r="BN93" i="10"/>
  <c r="BO93" i="10" s="1"/>
  <c r="BS97" i="10"/>
  <c r="BN97" i="10"/>
  <c r="BO97" i="10" s="1"/>
  <c r="BS56" i="10"/>
  <c r="BN56" i="10"/>
  <c r="BO56" i="10" s="1"/>
  <c r="BY55" i="10"/>
  <c r="BZ55" i="10" s="1"/>
  <c r="CA55" i="10" s="1"/>
  <c r="BT55" i="10"/>
  <c r="BU55" i="10" s="1"/>
  <c r="BT85" i="10"/>
  <c r="BU85" i="10" s="1"/>
  <c r="BY85" i="10"/>
  <c r="BZ85" i="10" s="1"/>
  <c r="CA85" i="10" s="1"/>
  <c r="BS66" i="10"/>
  <c r="BN66" i="10"/>
  <c r="BO66" i="10" s="1"/>
  <c r="BS96" i="10"/>
  <c r="BN96" i="10"/>
  <c r="BO96" i="10" s="1"/>
  <c r="BS62" i="10"/>
  <c r="BN62" i="10"/>
  <c r="BO62" i="10" s="1"/>
  <c r="BY31" i="10"/>
  <c r="BZ31" i="10" s="1"/>
  <c r="CA31" i="10" s="1"/>
  <c r="BT31" i="10"/>
  <c r="BU31" i="10" s="1"/>
  <c r="BN76" i="10"/>
  <c r="BO76" i="10" s="1"/>
  <c r="BS76" i="10"/>
  <c r="BS67" i="10"/>
  <c r="BN67" i="10"/>
  <c r="BO67" i="10" s="1"/>
  <c r="BS77" i="10"/>
  <c r="BN77" i="10"/>
  <c r="BO77" i="10" s="1"/>
  <c r="BS73" i="10"/>
  <c r="BN73" i="10"/>
  <c r="BO73" i="10" s="1"/>
  <c r="BY98" i="10"/>
  <c r="BZ98" i="10" s="1"/>
  <c r="CA98" i="10" s="1"/>
  <c r="BT98" i="10"/>
  <c r="BU98" i="10" s="1"/>
  <c r="BS44" i="10"/>
  <c r="BN44" i="10"/>
  <c r="BO44" i="10" s="1"/>
  <c r="BS58" i="10"/>
  <c r="BN58" i="10"/>
  <c r="BO58" i="10" s="1"/>
  <c r="BS34" i="10"/>
  <c r="BN34" i="10"/>
  <c r="BO34" i="10" s="1"/>
  <c r="BS92" i="10"/>
  <c r="BN92" i="10"/>
  <c r="BO92" i="10" s="1"/>
  <c r="BS43" i="10"/>
  <c r="BN43" i="10"/>
  <c r="BO43" i="10" s="1"/>
  <c r="BS47" i="10"/>
  <c r="BN47" i="10"/>
  <c r="BO47" i="10" s="1"/>
  <c r="BD89" i="10"/>
  <c r="BS57" i="10"/>
  <c r="BN57" i="10"/>
  <c r="BO57" i="10" s="1"/>
  <c r="BY35" i="10"/>
  <c r="BZ35" i="10" s="1"/>
  <c r="CA35" i="10" s="1"/>
  <c r="BT35" i="10"/>
  <c r="BU35" i="10" s="1"/>
  <c r="BY71" i="10"/>
  <c r="BZ71" i="10" s="1"/>
  <c r="CA71" i="10" s="1"/>
  <c r="BT71" i="10"/>
  <c r="BU71" i="10" s="1"/>
  <c r="BS64" i="10"/>
  <c r="BN64" i="10"/>
  <c r="BO64" i="10" s="1"/>
  <c r="BY61" i="10"/>
  <c r="BZ61" i="10" s="1"/>
  <c r="CA61" i="10" s="1"/>
  <c r="BT61" i="10"/>
  <c r="BU61" i="10" s="1"/>
  <c r="BN86" i="10"/>
  <c r="BO86" i="10" s="1"/>
  <c r="BS86" i="10"/>
  <c r="BT54" i="10"/>
  <c r="BU54" i="10" s="1"/>
  <c r="BY54" i="10"/>
  <c r="BZ54" i="10" s="1"/>
  <c r="CA54" i="10" s="1"/>
  <c r="BS84" i="10"/>
  <c r="BN84" i="10"/>
  <c r="BO84" i="10" s="1"/>
  <c r="BY51" i="10"/>
  <c r="BZ51" i="10" s="1"/>
  <c r="CA51" i="10" s="1"/>
  <c r="BT51" i="10"/>
  <c r="BU51" i="10" s="1"/>
  <c r="BN27" i="10"/>
  <c r="BO27" i="10" s="1"/>
  <c r="BS27" i="10"/>
  <c r="BY65" i="10"/>
  <c r="BZ65" i="10" s="1"/>
  <c r="CA65" i="10" s="1"/>
  <c r="BT65" i="10"/>
  <c r="BU65" i="10" s="1"/>
  <c r="BS74" i="10"/>
  <c r="BN74" i="10"/>
  <c r="BO74" i="10" s="1"/>
  <c r="BS38" i="10"/>
  <c r="BN38" i="10"/>
  <c r="BO38" i="10" s="1"/>
  <c r="BN42" i="10"/>
  <c r="BO42" i="10" s="1"/>
  <c r="BS42" i="10"/>
  <c r="BY94" i="10"/>
  <c r="BZ94" i="10" s="1"/>
  <c r="CA94" i="10" s="1"/>
  <c r="BT94" i="10"/>
  <c r="BU94" i="10" s="1"/>
  <c r="BY78" i="10"/>
  <c r="BZ78" i="10" s="1"/>
  <c r="CA78" i="10" s="1"/>
  <c r="BT78" i="10"/>
  <c r="BU78" i="10" s="1"/>
  <c r="BY46" i="10"/>
  <c r="BZ46" i="10" s="1"/>
  <c r="CA46" i="10" s="1"/>
  <c r="BT46" i="10"/>
  <c r="BU46" i="10" s="1"/>
  <c r="BN82" i="10"/>
  <c r="BO82" i="10" s="1"/>
  <c r="BS82" i="10"/>
  <c r="BS53" i="10"/>
  <c r="BN53" i="10"/>
  <c r="BO53" i="10" s="1"/>
  <c r="BS83" i="10"/>
  <c r="BN83" i="10"/>
  <c r="BO83" i="10" s="1"/>
  <c r="BS87" i="10"/>
  <c r="BN87" i="10"/>
  <c r="BO87" i="10" s="1"/>
  <c r="BN72" i="10"/>
  <c r="BO72" i="10" s="1"/>
  <c r="BS72" i="10"/>
  <c r="BN52" i="10"/>
  <c r="BO52" i="10" s="1"/>
  <c r="BS52" i="10"/>
  <c r="BT91" i="10"/>
  <c r="BU91" i="10" s="1"/>
  <c r="BY91" i="10"/>
  <c r="BZ91" i="10" s="1"/>
  <c r="CA91" i="10" s="1"/>
  <c r="BY75" i="10"/>
  <c r="BZ75" i="10" s="1"/>
  <c r="CA75" i="10" s="1"/>
  <c r="BT75" i="10"/>
  <c r="BU75" i="10" s="1"/>
  <c r="BN46" i="8"/>
  <c r="BO46" i="8" s="1"/>
  <c r="BS46" i="8"/>
  <c r="BY46" i="8" s="1"/>
  <c r="AT67" i="8"/>
  <c r="AU67" i="8" s="1"/>
  <c r="BF67" i="8"/>
  <c r="BG67" i="8" s="1"/>
  <c r="AT38" i="8"/>
  <c r="AU38" i="8" s="1"/>
  <c r="AT34" i="8"/>
  <c r="AU34" i="8" s="1"/>
  <c r="AT36" i="8"/>
  <c r="AU36" i="8" s="1"/>
  <c r="BM34" i="8"/>
  <c r="BM38" i="8"/>
  <c r="BS27" i="8"/>
  <c r="BN27" i="8"/>
  <c r="BO27" i="8" s="1"/>
  <c r="AT62" i="8"/>
  <c r="AU62" i="8" s="1"/>
  <c r="AT63" i="8"/>
  <c r="AU63" i="8" s="1"/>
  <c r="BM36" i="8"/>
  <c r="BE22" i="8"/>
  <c r="AZ22" i="8"/>
  <c r="BA22" i="8" s="1"/>
  <c r="AT68" i="8"/>
  <c r="AU68" i="8" s="1"/>
  <c r="BF71" i="8"/>
  <c r="BG71" i="8" s="1"/>
  <c r="BM71" i="8"/>
  <c r="BS71" i="8" s="1"/>
  <c r="BY71" i="8" s="1"/>
  <c r="BF66" i="8"/>
  <c r="BG66" i="8" s="1"/>
  <c r="BM66" i="8"/>
  <c r="BF62" i="8"/>
  <c r="BG62" i="8" s="1"/>
  <c r="BM62" i="8"/>
  <c r="BS62" i="8" s="1"/>
  <c r="BY62" i="8" s="1"/>
  <c r="BF65" i="8"/>
  <c r="BG65" i="8" s="1"/>
  <c r="BM65" i="8"/>
  <c r="BF64" i="8"/>
  <c r="BG64" i="8" s="1"/>
  <c r="BM64" i="8"/>
  <c r="BY23" i="8"/>
  <c r="BZ23" i="8" s="1"/>
  <c r="CA23" i="8" s="1"/>
  <c r="BT23" i="8"/>
  <c r="BU23" i="8" s="1"/>
  <c r="BY24" i="8"/>
  <c r="BZ24" i="8" s="1"/>
  <c r="CA24" i="8" s="1"/>
  <c r="BT24" i="8"/>
  <c r="BU24" i="8" s="1"/>
  <c r="BE76" i="8"/>
  <c r="BE74" i="8"/>
  <c r="BE81" i="8"/>
  <c r="BE86" i="8"/>
  <c r="BE78" i="8"/>
  <c r="BE75" i="8"/>
  <c r="BE77" i="8"/>
  <c r="BE87" i="8"/>
  <c r="AT65" i="8"/>
  <c r="AU65" i="8" s="1"/>
  <c r="BE84" i="8"/>
  <c r="BE82" i="8"/>
  <c r="AT78" i="8"/>
  <c r="AU78" i="8" s="1"/>
  <c r="AT66" i="8"/>
  <c r="AU66" i="8" s="1"/>
  <c r="BE85" i="8"/>
  <c r="BE73" i="8"/>
  <c r="BE88" i="8"/>
  <c r="BE91" i="8"/>
  <c r="AT64" i="8"/>
  <c r="AU64" i="8" s="1"/>
  <c r="BN48" i="8"/>
  <c r="BO48" i="8" s="1"/>
  <c r="AT96" i="8"/>
  <c r="AU96" i="8" s="1"/>
  <c r="AY96" i="8"/>
  <c r="AT72" i="8"/>
  <c r="AU72" i="8" s="1"/>
  <c r="AY72" i="8"/>
  <c r="AT97" i="8"/>
  <c r="AU97" i="8" s="1"/>
  <c r="AY97" i="8"/>
  <c r="AT93" i="8"/>
  <c r="AU93" i="8" s="1"/>
  <c r="AY93" i="8"/>
  <c r="AT95" i="8"/>
  <c r="AU95" i="8" s="1"/>
  <c r="AY95" i="8"/>
  <c r="AT98" i="8"/>
  <c r="AU98" i="8" s="1"/>
  <c r="AY98" i="8"/>
  <c r="BN42" i="8"/>
  <c r="BO42" i="8" s="1"/>
  <c r="BS42" i="8"/>
  <c r="BY42" i="8" s="1"/>
  <c r="BN44" i="8"/>
  <c r="BO44" i="8" s="1"/>
  <c r="BN43" i="8"/>
  <c r="BO43" i="8" s="1"/>
  <c r="BS43" i="8"/>
  <c r="BY43" i="8" s="1"/>
  <c r="BT47" i="8"/>
  <c r="BU47" i="8" s="1"/>
  <c r="BT45" i="8"/>
  <c r="BU45" i="8" s="1"/>
  <c r="BT41" i="8"/>
  <c r="BU41" i="8" s="1"/>
  <c r="AZ92" i="8"/>
  <c r="BA92" i="8" s="1"/>
  <c r="BT46" i="8"/>
  <c r="BU46" i="8" s="1"/>
  <c r="AZ91" i="8"/>
  <c r="BA91" i="8" s="1"/>
  <c r="AZ97" i="8"/>
  <c r="BA97" i="8" s="1"/>
  <c r="BT48" i="8"/>
  <c r="BU48" i="8" s="1"/>
  <c r="BT44" i="8"/>
  <c r="BU44" i="8" s="1"/>
  <c r="AZ94" i="8"/>
  <c r="BA94" i="8" s="1"/>
  <c r="AT81" i="8"/>
  <c r="AU81" i="8" s="1"/>
  <c r="AT88" i="8"/>
  <c r="AU88" i="8" s="1"/>
  <c r="AT86" i="8"/>
  <c r="AU86" i="8" s="1"/>
  <c r="AT73" i="8"/>
  <c r="AU73" i="8" s="1"/>
  <c r="AL93" i="8"/>
  <c r="AM93" i="8" s="1"/>
  <c r="AT76" i="8"/>
  <c r="AU76" i="8" s="1"/>
  <c r="AT85" i="8"/>
  <c r="AU85" i="8" s="1"/>
  <c r="AL97" i="8"/>
  <c r="AM97" i="8" s="1"/>
  <c r="AL98" i="8"/>
  <c r="AM98" i="8" s="1"/>
  <c r="AL95" i="8"/>
  <c r="AM95" i="8" s="1"/>
  <c r="AT87" i="8"/>
  <c r="AU87" i="8" s="1"/>
  <c r="AT74" i="8"/>
  <c r="AU74" i="8" s="1"/>
  <c r="AL96" i="8"/>
  <c r="AM96" i="8" s="1"/>
  <c r="AT77" i="8"/>
  <c r="AU77" i="8" s="1"/>
  <c r="AT82" i="8"/>
  <c r="AU82" i="8" s="1"/>
  <c r="AT84" i="8"/>
  <c r="AU84" i="8" s="1"/>
  <c r="AT75" i="8"/>
  <c r="AU75" i="8" s="1"/>
  <c r="L60" i="3"/>
  <c r="M49" i="3"/>
  <c r="N49" i="3" s="1"/>
  <c r="D86" i="3"/>
  <c r="E86" i="3" s="1"/>
  <c r="F86" i="3" s="1"/>
  <c r="G86" i="3" s="1"/>
  <c r="E75" i="3"/>
  <c r="F75" i="3" s="1"/>
  <c r="G75" i="3" s="1"/>
  <c r="D85" i="3"/>
  <c r="E85" i="3" s="1"/>
  <c r="F85" i="3" s="1"/>
  <c r="G85" i="3" s="1"/>
  <c r="E74" i="3"/>
  <c r="F74" i="3" s="1"/>
  <c r="G74" i="3" s="1"/>
  <c r="D83" i="3"/>
  <c r="E83" i="3" s="1"/>
  <c r="F83" i="3" s="1"/>
  <c r="G83" i="3" s="1"/>
  <c r="E72" i="3"/>
  <c r="F72" i="3" s="1"/>
  <c r="G72" i="3" s="1"/>
  <c r="L73" i="3"/>
  <c r="M62" i="3"/>
  <c r="N62" i="3" s="1"/>
  <c r="D82" i="3"/>
  <c r="E82" i="3" s="1"/>
  <c r="F82" i="3" s="1"/>
  <c r="G82" i="3" s="1"/>
  <c r="E71" i="3"/>
  <c r="F71" i="3" s="1"/>
  <c r="G71" i="3" s="1"/>
  <c r="M50" i="3"/>
  <c r="N50" i="3" s="1"/>
  <c r="L61" i="3"/>
  <c r="D81" i="3"/>
  <c r="E81" i="3" s="1"/>
  <c r="F81" i="3" s="1"/>
  <c r="G81" i="3" s="1"/>
  <c r="E70" i="3"/>
  <c r="F70" i="3" s="1"/>
  <c r="G70" i="3" s="1"/>
  <c r="L65" i="3"/>
  <c r="M54" i="3"/>
  <c r="N54" i="3" s="1"/>
  <c r="L63" i="3"/>
  <c r="M52" i="3"/>
  <c r="N52" i="3" s="1"/>
  <c r="L64" i="3"/>
  <c r="M53" i="3"/>
  <c r="N53" i="3" s="1"/>
  <c r="D87" i="3"/>
  <c r="E87" i="3" s="1"/>
  <c r="F87" i="3" s="1"/>
  <c r="G87" i="3" s="1"/>
  <c r="E76" i="3"/>
  <c r="F76" i="3" s="1"/>
  <c r="G76" i="3" s="1"/>
  <c r="M47" i="3"/>
  <c r="N47" i="3" s="1"/>
  <c r="L58" i="3"/>
  <c r="D84" i="3"/>
  <c r="E84" i="3" s="1"/>
  <c r="F84" i="3" s="1"/>
  <c r="G84" i="3" s="1"/>
  <c r="E73" i="3"/>
  <c r="F73" i="3" s="1"/>
  <c r="G73" i="3" s="1"/>
  <c r="L59" i="3"/>
  <c r="M48" i="3"/>
  <c r="N48" i="3" s="1"/>
  <c r="E69" i="3"/>
  <c r="F69" i="3" s="1"/>
  <c r="G69" i="3" s="1"/>
  <c r="D80" i="3"/>
  <c r="E80" i="3" s="1"/>
  <c r="F80" i="3" s="1"/>
  <c r="G80" i="3" s="1"/>
  <c r="CY42" i="11" l="1"/>
  <c r="CR42" i="11"/>
  <c r="CS42" i="11" s="1"/>
  <c r="BZ85" i="11"/>
  <c r="CA85" i="11" s="1"/>
  <c r="CE85" i="11"/>
  <c r="DL32" i="11"/>
  <c r="DM32" i="11" s="1"/>
  <c r="DY32" i="11"/>
  <c r="DQ32" i="11"/>
  <c r="DR32" i="11" s="1"/>
  <c r="DS32" i="11" s="1"/>
  <c r="DF87" i="11"/>
  <c r="DG87" i="11" s="1"/>
  <c r="DL87" i="11"/>
  <c r="DM87" i="11" s="1"/>
  <c r="DF76" i="11"/>
  <c r="DG76" i="11" s="1"/>
  <c r="DR65" i="11"/>
  <c r="DS65" i="11" s="1"/>
  <c r="DL65" i="11"/>
  <c r="DM65" i="11" s="1"/>
  <c r="CR63" i="11"/>
  <c r="CS63" i="11" s="1"/>
  <c r="DF54" i="11"/>
  <c r="DG54" i="11" s="1"/>
  <c r="DL43" i="11"/>
  <c r="DM43" i="11" s="1"/>
  <c r="DF43" i="11"/>
  <c r="DG43" i="11" s="1"/>
  <c r="CL35" i="11"/>
  <c r="CM35" i="11" s="1"/>
  <c r="CL78" i="11"/>
  <c r="CM78" i="11" s="1"/>
  <c r="CR93" i="11"/>
  <c r="CS93" i="11" s="1"/>
  <c r="CZ23" i="11"/>
  <c r="DA23" i="11" s="1"/>
  <c r="CL58" i="11"/>
  <c r="CM58" i="11" s="1"/>
  <c r="CL97" i="11"/>
  <c r="CM97" i="11" s="1"/>
  <c r="CL44" i="11"/>
  <c r="CM44" i="11" s="1"/>
  <c r="CZ88" i="11"/>
  <c r="DA88" i="11" s="1"/>
  <c r="CL68" i="11"/>
  <c r="CM68" i="11" s="1"/>
  <c r="CL94" i="11"/>
  <c r="CM94" i="11" s="1"/>
  <c r="CR46" i="11"/>
  <c r="CS46" i="11" s="1"/>
  <c r="CR52" i="11"/>
  <c r="CS52" i="11" s="1"/>
  <c r="CZ51" i="11"/>
  <c r="DA51" i="11" s="1"/>
  <c r="CR77" i="11"/>
  <c r="CS77" i="11" s="1"/>
  <c r="CR62" i="11"/>
  <c r="CS62" i="11" s="1"/>
  <c r="CF83" i="11"/>
  <c r="CG83" i="11" s="1"/>
  <c r="CF64" i="11"/>
  <c r="CG64" i="11" s="1"/>
  <c r="CL86" i="11"/>
  <c r="CM86" i="11" s="1"/>
  <c r="CF96" i="11"/>
  <c r="CG96" i="11" s="1"/>
  <c r="CZ57" i="11"/>
  <c r="DA57" i="11" s="1"/>
  <c r="CZ71" i="11"/>
  <c r="DA71" i="11" s="1"/>
  <c r="CR66" i="11"/>
  <c r="CS66" i="11" s="1"/>
  <c r="CL26" i="11"/>
  <c r="CM26" i="11" s="1"/>
  <c r="CR95" i="11"/>
  <c r="CS95" i="11" s="1"/>
  <c r="CZ61" i="11"/>
  <c r="DA61" i="11" s="1"/>
  <c r="CR45" i="11"/>
  <c r="CS45" i="11" s="1"/>
  <c r="CR92" i="11"/>
  <c r="CS92" i="11" s="1"/>
  <c r="CL75" i="11"/>
  <c r="CM75" i="11" s="1"/>
  <c r="CR33" i="11"/>
  <c r="CS33" i="11" s="1"/>
  <c r="CR82" i="11"/>
  <c r="CS82" i="11" s="1"/>
  <c r="CL27" i="11"/>
  <c r="CM27" i="11" s="1"/>
  <c r="CL38" i="11"/>
  <c r="CM38" i="11" s="1"/>
  <c r="CR53" i="11"/>
  <c r="CS53" i="11" s="1"/>
  <c r="CR36" i="11"/>
  <c r="CS36" i="11" s="1"/>
  <c r="CZ41" i="11"/>
  <c r="DA41" i="11" s="1"/>
  <c r="CR73" i="11"/>
  <c r="CS73" i="11" s="1"/>
  <c r="CR74" i="11"/>
  <c r="CS74" i="11" s="1"/>
  <c r="CR25" i="11"/>
  <c r="CS25" i="11" s="1"/>
  <c r="CZ48" i="11"/>
  <c r="DA48" i="11" s="1"/>
  <c r="CL34" i="11"/>
  <c r="CM34" i="11" s="1"/>
  <c r="CR81" i="11"/>
  <c r="CS81" i="11" s="1"/>
  <c r="CL24" i="11"/>
  <c r="CM24" i="11" s="1"/>
  <c r="CR91" i="11"/>
  <c r="CS91" i="11" s="1"/>
  <c r="CL47" i="11"/>
  <c r="CM47" i="11" s="1"/>
  <c r="CL28" i="11"/>
  <c r="CM28" i="11" s="1"/>
  <c r="CL72" i="11"/>
  <c r="CM72" i="11" s="1"/>
  <c r="CL84" i="11"/>
  <c r="CM84" i="11" s="1"/>
  <c r="CF22" i="11"/>
  <c r="CG22" i="11" s="1"/>
  <c r="CL67" i="11"/>
  <c r="CM67" i="11" s="1"/>
  <c r="CZ31" i="11"/>
  <c r="DA31" i="11" s="1"/>
  <c r="CL37" i="11"/>
  <c r="CM37" i="11" s="1"/>
  <c r="CL55" i="11"/>
  <c r="CM55" i="11" s="1"/>
  <c r="CZ56" i="11"/>
  <c r="DA56" i="11" s="1"/>
  <c r="BZ94" i="9"/>
  <c r="CA94" i="9" s="1"/>
  <c r="CH94" i="9"/>
  <c r="CI94" i="9" s="1"/>
  <c r="BZ95" i="9"/>
  <c r="CA95" i="9" s="1"/>
  <c r="CH95" i="9"/>
  <c r="CI95" i="9" s="1"/>
  <c r="BZ57" i="9"/>
  <c r="CA57" i="9" s="1"/>
  <c r="CH57" i="9"/>
  <c r="CI57" i="9" s="1"/>
  <c r="BZ62" i="9"/>
  <c r="CA62" i="9" s="1"/>
  <c r="CH62" i="9"/>
  <c r="CI62" i="9" s="1"/>
  <c r="BZ35" i="9"/>
  <c r="CA35" i="9" s="1"/>
  <c r="CH35" i="9"/>
  <c r="CI35" i="9" s="1"/>
  <c r="BZ98" i="9"/>
  <c r="CA98" i="9" s="1"/>
  <c r="CH98" i="9"/>
  <c r="CI98" i="9" s="1"/>
  <c r="BZ72" i="9"/>
  <c r="CA72" i="9" s="1"/>
  <c r="CH72" i="9"/>
  <c r="CI72" i="9" s="1"/>
  <c r="CH91" i="9"/>
  <c r="CI91" i="9" s="1"/>
  <c r="BZ64" i="9"/>
  <c r="CA64" i="9" s="1"/>
  <c r="CH64" i="9"/>
  <c r="CI64" i="9" s="1"/>
  <c r="BZ61" i="9"/>
  <c r="CA61" i="9" s="1"/>
  <c r="CH61" i="9"/>
  <c r="CI61" i="9" s="1"/>
  <c r="BZ48" i="9"/>
  <c r="CA48" i="9" s="1"/>
  <c r="CH48" i="9"/>
  <c r="CI48" i="9" s="1"/>
  <c r="BZ38" i="9"/>
  <c r="CA38" i="9" s="1"/>
  <c r="CH38" i="9"/>
  <c r="CI38" i="9" s="1"/>
  <c r="BZ88" i="9"/>
  <c r="CA88" i="9" s="1"/>
  <c r="CH88" i="9"/>
  <c r="CI88" i="9" s="1"/>
  <c r="BZ76" i="9"/>
  <c r="CA76" i="9" s="1"/>
  <c r="CH76" i="9"/>
  <c r="CI76" i="9" s="1"/>
  <c r="BZ93" i="9"/>
  <c r="CA93" i="9" s="1"/>
  <c r="CH93" i="9"/>
  <c r="CI93" i="9" s="1"/>
  <c r="BZ78" i="9"/>
  <c r="CA78" i="9" s="1"/>
  <c r="CH78" i="9"/>
  <c r="CI78" i="9" s="1"/>
  <c r="BZ22" i="9"/>
  <c r="CA22" i="9" s="1"/>
  <c r="CH22" i="9"/>
  <c r="CI22" i="9" s="1"/>
  <c r="CO21" i="9"/>
  <c r="CN67" i="9"/>
  <c r="CO67" i="9" s="1"/>
  <c r="BT78" i="9"/>
  <c r="BU78" i="9" s="1"/>
  <c r="BT95" i="9"/>
  <c r="BU95" i="9" s="1"/>
  <c r="BT38" i="9"/>
  <c r="BU38" i="9" s="1"/>
  <c r="BT72" i="9"/>
  <c r="BU72" i="9" s="1"/>
  <c r="BT24" i="9"/>
  <c r="BU24" i="9" s="1"/>
  <c r="BT48" i="9"/>
  <c r="BU48" i="9" s="1"/>
  <c r="BN81" i="9"/>
  <c r="BO81" i="9" s="1"/>
  <c r="BN37" i="9"/>
  <c r="BO37" i="9" s="1"/>
  <c r="BN26" i="9"/>
  <c r="BO26" i="9" s="1"/>
  <c r="BZ26" i="9"/>
  <c r="CA26" i="9" s="1"/>
  <c r="CZ28" i="9"/>
  <c r="DA28" i="9" s="1"/>
  <c r="CN28" i="9"/>
  <c r="CO28" i="9" s="1"/>
  <c r="BT94" i="9"/>
  <c r="BU94" i="9" s="1"/>
  <c r="BT55" i="9"/>
  <c r="BU55" i="9" s="1"/>
  <c r="BT62" i="9"/>
  <c r="BU62" i="9" s="1"/>
  <c r="BT22" i="9"/>
  <c r="BU22" i="9" s="1"/>
  <c r="BT76" i="9"/>
  <c r="BU76" i="9" s="1"/>
  <c r="BT91" i="9"/>
  <c r="BU91" i="9" s="1"/>
  <c r="BT71" i="9"/>
  <c r="BU71" i="9" s="1"/>
  <c r="BT88" i="9"/>
  <c r="BU88" i="9" s="1"/>
  <c r="BT35" i="9"/>
  <c r="BU35" i="9" s="1"/>
  <c r="BT57" i="9"/>
  <c r="BU57" i="9" s="1"/>
  <c r="BT93" i="9"/>
  <c r="BU93" i="9" s="1"/>
  <c r="BT41" i="9"/>
  <c r="BU41" i="9" s="1"/>
  <c r="BT64" i="9"/>
  <c r="BU64" i="9" s="1"/>
  <c r="BT61" i="9"/>
  <c r="BU61" i="9" s="1"/>
  <c r="BT98" i="9"/>
  <c r="BU98" i="9" s="1"/>
  <c r="BN84" i="9"/>
  <c r="BO84" i="9" s="1"/>
  <c r="BN44" i="9"/>
  <c r="BO44" i="9" s="1"/>
  <c r="BN31" i="9"/>
  <c r="BO31" i="9" s="1"/>
  <c r="BN86" i="9"/>
  <c r="BO86" i="9" s="1"/>
  <c r="BN97" i="9"/>
  <c r="BO97" i="9" s="1"/>
  <c r="BN52" i="9"/>
  <c r="BO52" i="9" s="1"/>
  <c r="BN43" i="9"/>
  <c r="BO43" i="9" s="1"/>
  <c r="BN32" i="9"/>
  <c r="BO32" i="9" s="1"/>
  <c r="BN92" i="9"/>
  <c r="BO92" i="9" s="1"/>
  <c r="BN96" i="9"/>
  <c r="BO96" i="9" s="1"/>
  <c r="BN36" i="9"/>
  <c r="BO36" i="9" s="1"/>
  <c r="BN27" i="9"/>
  <c r="BO27" i="9" s="1"/>
  <c r="BN77" i="9"/>
  <c r="BO77" i="9" s="1"/>
  <c r="BN25" i="9"/>
  <c r="BO25" i="9" s="1"/>
  <c r="BN87" i="9"/>
  <c r="BO87" i="9" s="1"/>
  <c r="BN73" i="9"/>
  <c r="BO73" i="9" s="1"/>
  <c r="BN85" i="9"/>
  <c r="BO85" i="9" s="1"/>
  <c r="BN45" i="9"/>
  <c r="BO45" i="9" s="1"/>
  <c r="BN83" i="9"/>
  <c r="BO83" i="9" s="1"/>
  <c r="BN63" i="9"/>
  <c r="BO63" i="9" s="1"/>
  <c r="BN47" i="9"/>
  <c r="BO47" i="9" s="1"/>
  <c r="BN34" i="9"/>
  <c r="BO34" i="9" s="1"/>
  <c r="BN23" i="9"/>
  <c r="BO23" i="9" s="1"/>
  <c r="BN66" i="9"/>
  <c r="BO66" i="9" s="1"/>
  <c r="BN51" i="9"/>
  <c r="BO51" i="9" s="1"/>
  <c r="BN33" i="9"/>
  <c r="BO33" i="9" s="1"/>
  <c r="BN74" i="9"/>
  <c r="BO74" i="9" s="1"/>
  <c r="BN56" i="9"/>
  <c r="BO56" i="9" s="1"/>
  <c r="BN42" i="9"/>
  <c r="BO42" i="9" s="1"/>
  <c r="BZ75" i="9"/>
  <c r="CA75" i="9" s="1"/>
  <c r="BN75" i="9"/>
  <c r="BO75" i="9" s="1"/>
  <c r="BN65" i="9"/>
  <c r="BO65" i="9" s="1"/>
  <c r="BN58" i="9"/>
  <c r="BO58" i="9" s="1"/>
  <c r="BN68" i="9"/>
  <c r="BO68" i="9" s="1"/>
  <c r="BY73" i="10"/>
  <c r="BZ73" i="10" s="1"/>
  <c r="CA73" i="10" s="1"/>
  <c r="BT73" i="10"/>
  <c r="BU73" i="10" s="1"/>
  <c r="BY72" i="10"/>
  <c r="BZ72" i="10" s="1"/>
  <c r="CA72" i="10" s="1"/>
  <c r="BT72" i="10"/>
  <c r="BU72" i="10" s="1"/>
  <c r="BY67" i="10"/>
  <c r="BZ67" i="10" s="1"/>
  <c r="CA67" i="10" s="1"/>
  <c r="BT67" i="10"/>
  <c r="BU67" i="10" s="1"/>
  <c r="BT56" i="10"/>
  <c r="BU56" i="10" s="1"/>
  <c r="BY56" i="10"/>
  <c r="BZ56" i="10" s="1"/>
  <c r="CA56" i="10" s="1"/>
  <c r="BY77" i="10"/>
  <c r="BZ77" i="10" s="1"/>
  <c r="CA77" i="10" s="1"/>
  <c r="BT77" i="10"/>
  <c r="BU77" i="10" s="1"/>
  <c r="BY76" i="10"/>
  <c r="BZ76" i="10" s="1"/>
  <c r="CA76" i="10" s="1"/>
  <c r="BT76" i="10"/>
  <c r="BU76" i="10" s="1"/>
  <c r="BY84" i="10"/>
  <c r="BZ84" i="10" s="1"/>
  <c r="CA84" i="10" s="1"/>
  <c r="BT84" i="10"/>
  <c r="BU84" i="10" s="1"/>
  <c r="BY92" i="10"/>
  <c r="BZ92" i="10" s="1"/>
  <c r="CA92" i="10" s="1"/>
  <c r="BT92" i="10"/>
  <c r="BU92" i="10" s="1"/>
  <c r="BY97" i="10"/>
  <c r="BZ97" i="10" s="1"/>
  <c r="CA97" i="10" s="1"/>
  <c r="BT97" i="10"/>
  <c r="BU97" i="10" s="1"/>
  <c r="BY57" i="10"/>
  <c r="BZ57" i="10" s="1"/>
  <c r="CA57" i="10" s="1"/>
  <c r="BR89" i="10" s="1"/>
  <c r="BT57" i="10"/>
  <c r="BU57" i="10" s="1"/>
  <c r="BL89" i="10" s="1"/>
  <c r="BY87" i="10"/>
  <c r="BZ87" i="10" s="1"/>
  <c r="CA87" i="10" s="1"/>
  <c r="BT87" i="10"/>
  <c r="BU87" i="10" s="1"/>
  <c r="BY38" i="10"/>
  <c r="BZ38" i="10" s="1"/>
  <c r="CA38" i="10" s="1"/>
  <c r="BT38" i="10"/>
  <c r="BU38" i="10" s="1"/>
  <c r="BY34" i="10"/>
  <c r="BZ34" i="10" s="1"/>
  <c r="CA34" i="10" s="1"/>
  <c r="BT34" i="10"/>
  <c r="BU34" i="10" s="1"/>
  <c r="BY93" i="10"/>
  <c r="BZ93" i="10" s="1"/>
  <c r="CA93" i="10" s="1"/>
  <c r="BT93" i="10"/>
  <c r="BU93" i="10" s="1"/>
  <c r="BY47" i="10"/>
  <c r="BZ47" i="10" s="1"/>
  <c r="CA47" i="10" s="1"/>
  <c r="BT47" i="10"/>
  <c r="BU47" i="10" s="1"/>
  <c r="BY83" i="10"/>
  <c r="BZ83" i="10" s="1"/>
  <c r="CA83" i="10" s="1"/>
  <c r="BT83" i="10"/>
  <c r="BU83" i="10" s="1"/>
  <c r="BY74" i="10"/>
  <c r="BZ74" i="10" s="1"/>
  <c r="CA74" i="10" s="1"/>
  <c r="BT74" i="10"/>
  <c r="BU74" i="10" s="1"/>
  <c r="BY64" i="10"/>
  <c r="BZ64" i="10" s="1"/>
  <c r="CA64" i="10" s="1"/>
  <c r="BT64" i="10"/>
  <c r="BU64" i="10" s="1"/>
  <c r="BY43" i="10"/>
  <c r="BZ43" i="10" s="1"/>
  <c r="CA43" i="10" s="1"/>
  <c r="BT43" i="10"/>
  <c r="BU43" i="10" s="1"/>
  <c r="BT58" i="10"/>
  <c r="BU58" i="10" s="1"/>
  <c r="BY58" i="10"/>
  <c r="BZ58" i="10" s="1"/>
  <c r="CA58" i="10" s="1"/>
  <c r="BY62" i="10"/>
  <c r="BZ62" i="10" s="1"/>
  <c r="CA62" i="10" s="1"/>
  <c r="BT62" i="10"/>
  <c r="BU62" i="10" s="1"/>
  <c r="BY53" i="10"/>
  <c r="BZ53" i="10" s="1"/>
  <c r="CA53" i="10" s="1"/>
  <c r="BT53" i="10"/>
  <c r="BU53" i="10" s="1"/>
  <c r="BY42" i="10"/>
  <c r="BZ42" i="10" s="1"/>
  <c r="CA42" i="10" s="1"/>
  <c r="BT42" i="10"/>
  <c r="BU42" i="10" s="1"/>
  <c r="BY82" i="10"/>
  <c r="BZ82" i="10" s="1"/>
  <c r="CA82" i="10" s="1"/>
  <c r="BT82" i="10"/>
  <c r="BU82" i="10" s="1"/>
  <c r="BY27" i="10"/>
  <c r="BZ27" i="10" s="1"/>
  <c r="CA27" i="10" s="1"/>
  <c r="BT27" i="10"/>
  <c r="BU27" i="10" s="1"/>
  <c r="BY44" i="10"/>
  <c r="BZ44" i="10" s="1"/>
  <c r="CA44" i="10" s="1"/>
  <c r="BT44" i="10"/>
  <c r="BU44" i="10" s="1"/>
  <c r="BY96" i="10"/>
  <c r="BZ96" i="10" s="1"/>
  <c r="CA96" i="10" s="1"/>
  <c r="BT96" i="10"/>
  <c r="BU96" i="10" s="1"/>
  <c r="BY52" i="10"/>
  <c r="BZ52" i="10" s="1"/>
  <c r="CA52" i="10" s="1"/>
  <c r="BT52" i="10"/>
  <c r="BU52" i="10" s="1"/>
  <c r="BY86" i="10"/>
  <c r="BZ86" i="10" s="1"/>
  <c r="CA86" i="10" s="1"/>
  <c r="BT86" i="10"/>
  <c r="BU86" i="10" s="1"/>
  <c r="BY66" i="10"/>
  <c r="BZ66" i="10" s="1"/>
  <c r="CA66" i="10" s="1"/>
  <c r="BT66" i="10"/>
  <c r="BU66" i="10" s="1"/>
  <c r="BT36" i="10"/>
  <c r="BU36" i="10" s="1"/>
  <c r="BY36" i="10"/>
  <c r="BZ36" i="10" s="1"/>
  <c r="CA36" i="10" s="1"/>
  <c r="BM22" i="8"/>
  <c r="BF22" i="8"/>
  <c r="BG22" i="8" s="1"/>
  <c r="BY27" i="8"/>
  <c r="BZ27" i="8" s="1"/>
  <c r="CA27" i="8" s="1"/>
  <c r="BT27" i="8"/>
  <c r="BU27" i="8" s="1"/>
  <c r="BF77" i="8"/>
  <c r="BG77" i="8" s="1"/>
  <c r="BM77" i="8"/>
  <c r="BS77" i="8" s="1"/>
  <c r="BY77" i="8" s="1"/>
  <c r="BF75" i="8"/>
  <c r="BG75" i="8" s="1"/>
  <c r="BM75" i="8"/>
  <c r="BS75" i="8" s="1"/>
  <c r="BY75" i="8" s="1"/>
  <c r="BF73" i="8"/>
  <c r="BG73" i="8" s="1"/>
  <c r="BM73" i="8"/>
  <c r="BS73" i="8" s="1"/>
  <c r="BY73" i="8" s="1"/>
  <c r="BF74" i="8"/>
  <c r="BG74" i="8" s="1"/>
  <c r="BM74" i="8"/>
  <c r="BS74" i="8" s="1"/>
  <c r="BY74" i="8" s="1"/>
  <c r="BF78" i="8"/>
  <c r="BG78" i="8" s="1"/>
  <c r="BM78" i="8"/>
  <c r="BS78" i="8" s="1"/>
  <c r="BY78" i="8" s="1"/>
  <c r="BF76" i="8"/>
  <c r="BG76" i="8" s="1"/>
  <c r="BM76" i="8"/>
  <c r="BS76" i="8" s="1"/>
  <c r="BY76" i="8" s="1"/>
  <c r="BF87" i="8"/>
  <c r="BG87" i="8" s="1"/>
  <c r="BM87" i="8"/>
  <c r="BS87" i="8" s="1"/>
  <c r="BY87" i="8" s="1"/>
  <c r="BF84" i="8"/>
  <c r="BG84" i="8" s="1"/>
  <c r="BM84" i="8"/>
  <c r="BS84" i="8" s="1"/>
  <c r="BY84" i="8" s="1"/>
  <c r="BF88" i="8"/>
  <c r="BG88" i="8" s="1"/>
  <c r="BM88" i="8"/>
  <c r="BS88" i="8" s="1"/>
  <c r="BY88" i="8" s="1"/>
  <c r="BF82" i="8"/>
  <c r="BG82" i="8" s="1"/>
  <c r="BM82" i="8"/>
  <c r="BS82" i="8" s="1"/>
  <c r="BY82" i="8" s="1"/>
  <c r="BF85" i="8"/>
  <c r="BG85" i="8" s="1"/>
  <c r="BM85" i="8"/>
  <c r="BS85" i="8" s="1"/>
  <c r="BY85" i="8" s="1"/>
  <c r="BF86" i="8"/>
  <c r="BG86" i="8" s="1"/>
  <c r="BM86" i="8"/>
  <c r="BS86" i="8" s="1"/>
  <c r="BY86" i="8" s="1"/>
  <c r="BF81" i="8"/>
  <c r="BG81" i="8" s="1"/>
  <c r="BM81" i="8"/>
  <c r="BS81" i="8" s="1"/>
  <c r="BY81" i="8" s="1"/>
  <c r="BF91" i="8"/>
  <c r="BG91" i="8" s="1"/>
  <c r="BM91" i="8"/>
  <c r="BS91" i="8" s="1"/>
  <c r="BY91" i="8" s="1"/>
  <c r="BE98" i="8"/>
  <c r="BE95" i="8"/>
  <c r="BE97" i="8"/>
  <c r="BE96" i="8"/>
  <c r="BE93" i="8"/>
  <c r="BE72" i="8"/>
  <c r="AZ95" i="8"/>
  <c r="BA95" i="8" s="1"/>
  <c r="AZ98" i="8"/>
  <c r="BA98" i="8" s="1"/>
  <c r="BT42" i="8"/>
  <c r="BU42" i="8" s="1"/>
  <c r="AZ96" i="8"/>
  <c r="BA96" i="8" s="1"/>
  <c r="AZ93" i="8"/>
  <c r="BA93" i="8" s="1"/>
  <c r="BT43" i="8"/>
  <c r="BU43" i="8" s="1"/>
  <c r="AZ67" i="8"/>
  <c r="BA67" i="8" s="1"/>
  <c r="BS67" i="8"/>
  <c r="BY67" i="8" s="1"/>
  <c r="AZ62" i="8"/>
  <c r="BA62" i="8" s="1"/>
  <c r="BN62" i="8"/>
  <c r="BO62" i="8" s="1"/>
  <c r="AZ66" i="8"/>
  <c r="BA66" i="8" s="1"/>
  <c r="AZ63" i="8"/>
  <c r="BA63" i="8" s="1"/>
  <c r="AZ61" i="8"/>
  <c r="BA61" i="8" s="1"/>
  <c r="BN61" i="8"/>
  <c r="BO61" i="8" s="1"/>
  <c r="AZ64" i="8"/>
  <c r="BA64" i="8" s="1"/>
  <c r="AZ68" i="8"/>
  <c r="BA68" i="8" s="1"/>
  <c r="AZ65" i="8"/>
  <c r="BA65" i="8" s="1"/>
  <c r="AZ54" i="8"/>
  <c r="BA54" i="8" s="1"/>
  <c r="BS54" i="8"/>
  <c r="BY54" i="8" s="1"/>
  <c r="AZ56" i="8"/>
  <c r="BA56" i="8" s="1"/>
  <c r="AZ51" i="8"/>
  <c r="BA51" i="8" s="1"/>
  <c r="BN51" i="8"/>
  <c r="BO51" i="8" s="1"/>
  <c r="AZ52" i="8"/>
  <c r="BA52" i="8" s="1"/>
  <c r="AZ57" i="8"/>
  <c r="BA57" i="8" s="1"/>
  <c r="BN57" i="8"/>
  <c r="BO57" i="8" s="1"/>
  <c r="AZ55" i="8"/>
  <c r="BA55" i="8" s="1"/>
  <c r="AZ53" i="8"/>
  <c r="BA53" i="8" s="1"/>
  <c r="AZ58" i="8"/>
  <c r="BA58" i="8" s="1"/>
  <c r="BZ43" i="8"/>
  <c r="CA43" i="8" s="1"/>
  <c r="BZ44" i="8"/>
  <c r="CA44" i="8" s="1"/>
  <c r="BZ42" i="8"/>
  <c r="CA42" i="8" s="1"/>
  <c r="AZ76" i="8"/>
  <c r="BA76" i="8" s="1"/>
  <c r="BN94" i="8"/>
  <c r="BO94" i="8" s="1"/>
  <c r="BZ46" i="8"/>
  <c r="CA46" i="8" s="1"/>
  <c r="BZ48" i="8"/>
  <c r="CA48" i="8" s="1"/>
  <c r="AZ85" i="8"/>
  <c r="BA85" i="8" s="1"/>
  <c r="AZ72" i="8"/>
  <c r="BA72" i="8" s="1"/>
  <c r="BN92" i="8"/>
  <c r="BO92" i="8" s="1"/>
  <c r="BZ41" i="8"/>
  <c r="CA41" i="8" s="1"/>
  <c r="BZ47" i="8"/>
  <c r="CA47" i="8" s="1"/>
  <c r="BZ45" i="8"/>
  <c r="CA45" i="8" s="1"/>
  <c r="AZ81" i="8"/>
  <c r="BA81" i="8" s="1"/>
  <c r="AZ77" i="8"/>
  <c r="BA77" i="8" s="1"/>
  <c r="AZ71" i="8"/>
  <c r="BA71" i="8" s="1"/>
  <c r="AZ75" i="8"/>
  <c r="BA75" i="8" s="1"/>
  <c r="AZ82" i="8"/>
  <c r="BA82" i="8" s="1"/>
  <c r="AZ86" i="8"/>
  <c r="BA86" i="8" s="1"/>
  <c r="AZ74" i="8"/>
  <c r="BA74" i="8" s="1"/>
  <c r="AZ88" i="8"/>
  <c r="BA88" i="8" s="1"/>
  <c r="AZ87" i="8"/>
  <c r="BA87" i="8" s="1"/>
  <c r="AZ83" i="8"/>
  <c r="BA83" i="8" s="1"/>
  <c r="AZ73" i="8"/>
  <c r="BA73" i="8" s="1"/>
  <c r="AZ84" i="8"/>
  <c r="BA84" i="8" s="1"/>
  <c r="AZ78" i="8"/>
  <c r="BA78" i="8" s="1"/>
  <c r="L84" i="3"/>
  <c r="M84" i="3" s="1"/>
  <c r="N84" i="3" s="1"/>
  <c r="M73" i="3"/>
  <c r="N73" i="3" s="1"/>
  <c r="L69" i="3"/>
  <c r="M58" i="3"/>
  <c r="N58" i="3" s="1"/>
  <c r="M64" i="3"/>
  <c r="N64" i="3" s="1"/>
  <c r="L75" i="3"/>
  <c r="L72" i="3"/>
  <c r="M61" i="3"/>
  <c r="N61" i="3" s="1"/>
  <c r="L70" i="3"/>
  <c r="M59" i="3"/>
  <c r="N59" i="3" s="1"/>
  <c r="L74" i="3"/>
  <c r="M63" i="3"/>
  <c r="N63" i="3" s="1"/>
  <c r="L76" i="3"/>
  <c r="M65" i="3"/>
  <c r="N65" i="3" s="1"/>
  <c r="L71" i="3"/>
  <c r="M60" i="3"/>
  <c r="N60" i="3" s="1"/>
  <c r="CK85" i="11" l="1"/>
  <c r="CF85" i="11"/>
  <c r="CG85" i="11" s="1"/>
  <c r="DE42" i="11"/>
  <c r="CZ42" i="11"/>
  <c r="DA42" i="11" s="1"/>
  <c r="EE32" i="11"/>
  <c r="DZ32" i="11"/>
  <c r="EA32" i="11" s="1"/>
  <c r="DR76" i="11"/>
  <c r="DS76" i="11" s="1"/>
  <c r="DL76" i="11"/>
  <c r="DM76" i="11" s="1"/>
  <c r="CZ63" i="11"/>
  <c r="DA63" i="11" s="1"/>
  <c r="DZ65" i="11"/>
  <c r="EA65" i="11" s="1"/>
  <c r="DZ54" i="11"/>
  <c r="EA54" i="11" s="1"/>
  <c r="DR54" i="11"/>
  <c r="DS54" i="11" s="1"/>
  <c r="DL54" i="11"/>
  <c r="DM54" i="11" s="1"/>
  <c r="CR35" i="11"/>
  <c r="CS35" i="11" s="1"/>
  <c r="CR55" i="11"/>
  <c r="CS55" i="11" s="1"/>
  <c r="DF56" i="11"/>
  <c r="DG56" i="11" s="1"/>
  <c r="CR28" i="11"/>
  <c r="CS28" i="11" s="1"/>
  <c r="CZ25" i="11"/>
  <c r="DA25" i="11" s="1"/>
  <c r="CL83" i="11"/>
  <c r="CM83" i="11" s="1"/>
  <c r="CZ74" i="11"/>
  <c r="DA74" i="11" s="1"/>
  <c r="CZ77" i="11"/>
  <c r="DA77" i="11" s="1"/>
  <c r="CR37" i="11"/>
  <c r="CS37" i="11" s="1"/>
  <c r="CZ91" i="11"/>
  <c r="DA91" i="11" s="1"/>
  <c r="CZ33" i="11"/>
  <c r="DA33" i="11" s="1"/>
  <c r="CR44" i="11"/>
  <c r="CS44" i="11" s="1"/>
  <c r="CR68" i="11"/>
  <c r="CS68" i="11" s="1"/>
  <c r="CZ66" i="11"/>
  <c r="DA66" i="11" s="1"/>
  <c r="DF31" i="11"/>
  <c r="DG31" i="11" s="1"/>
  <c r="CR24" i="11"/>
  <c r="CS24" i="11" s="1"/>
  <c r="DF41" i="11"/>
  <c r="DG41" i="11" s="1"/>
  <c r="DF71" i="11"/>
  <c r="DG71" i="11" s="1"/>
  <c r="DF51" i="11"/>
  <c r="DG51" i="11" s="1"/>
  <c r="CZ62" i="11"/>
  <c r="DA62" i="11" s="1"/>
  <c r="CZ73" i="11"/>
  <c r="DA73" i="11" s="1"/>
  <c r="CR67" i="11"/>
  <c r="CS67" i="11" s="1"/>
  <c r="CZ36" i="11"/>
  <c r="DA36" i="11" s="1"/>
  <c r="CZ52" i="11"/>
  <c r="DA52" i="11" s="1"/>
  <c r="CR97" i="11"/>
  <c r="CS97" i="11" s="1"/>
  <c r="CZ82" i="11"/>
  <c r="DA82" i="11" s="1"/>
  <c r="CZ81" i="11"/>
  <c r="DA81" i="11" s="1"/>
  <c r="CR75" i="11"/>
  <c r="CS75" i="11" s="1"/>
  <c r="DF57" i="11"/>
  <c r="DG57" i="11" s="1"/>
  <c r="CR47" i="11"/>
  <c r="CS47" i="11" s="1"/>
  <c r="CZ92" i="11"/>
  <c r="DA92" i="11" s="1"/>
  <c r="CR58" i="11"/>
  <c r="CS58" i="11" s="1"/>
  <c r="DF88" i="11"/>
  <c r="DG88" i="11" s="1"/>
  <c r="CL22" i="11"/>
  <c r="CM22" i="11" s="1"/>
  <c r="CR34" i="11"/>
  <c r="CS34" i="11" s="1"/>
  <c r="CZ53" i="11"/>
  <c r="DA53" i="11" s="1"/>
  <c r="CL96" i="11"/>
  <c r="CM96" i="11" s="1"/>
  <c r="CZ46" i="11"/>
  <c r="DA46" i="11" s="1"/>
  <c r="DF48" i="11"/>
  <c r="DG48" i="11" s="1"/>
  <c r="CR86" i="11"/>
  <c r="CS86" i="11" s="1"/>
  <c r="DF23" i="11"/>
  <c r="DG23" i="11" s="1"/>
  <c r="CR26" i="11"/>
  <c r="CS26" i="11" s="1"/>
  <c r="CR84" i="11"/>
  <c r="CS84" i="11" s="1"/>
  <c r="CZ45" i="11"/>
  <c r="DA45" i="11" s="1"/>
  <c r="CR27" i="11"/>
  <c r="CS27" i="11" s="1"/>
  <c r="DF61" i="11"/>
  <c r="DG61" i="11" s="1"/>
  <c r="CL64" i="11"/>
  <c r="CM64" i="11" s="1"/>
  <c r="CZ93" i="11"/>
  <c r="DA93" i="11" s="1"/>
  <c r="CR72" i="11"/>
  <c r="CS72" i="11" s="1"/>
  <c r="CR38" i="11"/>
  <c r="CS38" i="11" s="1"/>
  <c r="CZ95" i="11"/>
  <c r="DA95" i="11" s="1"/>
  <c r="CR94" i="11"/>
  <c r="CS94" i="11" s="1"/>
  <c r="CR78" i="11"/>
  <c r="CS78" i="11" s="1"/>
  <c r="BZ42" i="9"/>
  <c r="CA42" i="9" s="1"/>
  <c r="CH42" i="9"/>
  <c r="CI42" i="9" s="1"/>
  <c r="BZ86" i="9"/>
  <c r="CA86" i="9" s="1"/>
  <c r="CH86" i="9"/>
  <c r="CI86" i="9" s="1"/>
  <c r="BZ77" i="9"/>
  <c r="CA77" i="9" s="1"/>
  <c r="CH77" i="9"/>
  <c r="CI77" i="9" s="1"/>
  <c r="BZ27" i="9"/>
  <c r="CA27" i="9" s="1"/>
  <c r="CH27" i="9"/>
  <c r="CI27" i="9" s="1"/>
  <c r="BZ45" i="9"/>
  <c r="CA45" i="9" s="1"/>
  <c r="CH45" i="9"/>
  <c r="CI45" i="9" s="1"/>
  <c r="BZ91" i="9"/>
  <c r="CA91" i="9" s="1"/>
  <c r="BZ47" i="9"/>
  <c r="CA47" i="9" s="1"/>
  <c r="CH47" i="9"/>
  <c r="CI47" i="9" s="1"/>
  <c r="BZ36" i="9"/>
  <c r="CA36" i="9" s="1"/>
  <c r="CH36" i="9"/>
  <c r="CI36" i="9" s="1"/>
  <c r="BZ44" i="9"/>
  <c r="CA44" i="9" s="1"/>
  <c r="CH44" i="9"/>
  <c r="CI44" i="9" s="1"/>
  <c r="BZ92" i="9"/>
  <c r="CA92" i="9" s="1"/>
  <c r="CH92" i="9"/>
  <c r="CI92" i="9" s="1"/>
  <c r="BZ84" i="9"/>
  <c r="CA84" i="9" s="1"/>
  <c r="CH84" i="9"/>
  <c r="CI84" i="9" s="1"/>
  <c r="BZ63" i="9"/>
  <c r="CA63" i="9" s="1"/>
  <c r="CH63" i="9"/>
  <c r="CI63" i="9" s="1"/>
  <c r="BZ51" i="9"/>
  <c r="CA51" i="9" s="1"/>
  <c r="CH51" i="9"/>
  <c r="CI51" i="9" s="1"/>
  <c r="BZ58" i="9"/>
  <c r="CA58" i="9" s="1"/>
  <c r="CH58" i="9"/>
  <c r="CI58" i="9" s="1"/>
  <c r="BZ32" i="9"/>
  <c r="CA32" i="9" s="1"/>
  <c r="CH32" i="9"/>
  <c r="CI32" i="9" s="1"/>
  <c r="CH97" i="9"/>
  <c r="CI97" i="9" s="1"/>
  <c r="BZ97" i="9"/>
  <c r="CA97" i="9" s="1"/>
  <c r="BZ56" i="9"/>
  <c r="CA56" i="9" s="1"/>
  <c r="CH56" i="9"/>
  <c r="CI56" i="9" s="1"/>
  <c r="BZ71" i="9"/>
  <c r="CA71" i="9" s="1"/>
  <c r="CH71" i="9"/>
  <c r="CI71" i="9" s="1"/>
  <c r="BZ83" i="9"/>
  <c r="CA83" i="9" s="1"/>
  <c r="CH83" i="9"/>
  <c r="CI83" i="9" s="1"/>
  <c r="BZ65" i="9"/>
  <c r="CA65" i="9" s="1"/>
  <c r="CH65" i="9"/>
  <c r="CI65" i="9" s="1"/>
  <c r="BZ23" i="9"/>
  <c r="CA23" i="9" s="1"/>
  <c r="CH23" i="9"/>
  <c r="CI23" i="9" s="1"/>
  <c r="BZ87" i="9"/>
  <c r="CA87" i="9" s="1"/>
  <c r="CH87" i="9"/>
  <c r="CI87" i="9" s="1"/>
  <c r="BZ43" i="9"/>
  <c r="CA43" i="9" s="1"/>
  <c r="CH43" i="9"/>
  <c r="CI43" i="9" s="1"/>
  <c r="BZ31" i="9"/>
  <c r="CA31" i="9" s="1"/>
  <c r="CH31" i="9"/>
  <c r="CI31" i="9" s="1"/>
  <c r="BZ73" i="9"/>
  <c r="CA73" i="9" s="1"/>
  <c r="CH73" i="9"/>
  <c r="CI73" i="9" s="1"/>
  <c r="BZ37" i="9"/>
  <c r="CA37" i="9" s="1"/>
  <c r="CH37" i="9"/>
  <c r="CI37" i="9" s="1"/>
  <c r="BZ85" i="9"/>
  <c r="CA85" i="9" s="1"/>
  <c r="CH85" i="9"/>
  <c r="CI85" i="9" s="1"/>
  <c r="BZ66" i="9"/>
  <c r="CA66" i="9" s="1"/>
  <c r="CH66" i="9"/>
  <c r="CI66" i="9" s="1"/>
  <c r="BZ34" i="9"/>
  <c r="CA34" i="9" s="1"/>
  <c r="CH34" i="9"/>
  <c r="CI34" i="9" s="1"/>
  <c r="BZ25" i="9"/>
  <c r="CA25" i="9" s="1"/>
  <c r="CH25" i="9"/>
  <c r="CI25" i="9" s="1"/>
  <c r="BZ52" i="9"/>
  <c r="CA52" i="9" s="1"/>
  <c r="CH52" i="9"/>
  <c r="CI52" i="9" s="1"/>
  <c r="BZ74" i="9"/>
  <c r="CA74" i="9" s="1"/>
  <c r="CH74" i="9"/>
  <c r="CI74" i="9" s="1"/>
  <c r="BZ96" i="9"/>
  <c r="CA96" i="9" s="1"/>
  <c r="CH96" i="9"/>
  <c r="CI96" i="9" s="1"/>
  <c r="BZ68" i="9"/>
  <c r="CA68" i="9" s="1"/>
  <c r="CH68" i="9"/>
  <c r="CI68" i="9" s="1"/>
  <c r="CZ21" i="9"/>
  <c r="DA21" i="9" s="1"/>
  <c r="CT21" i="9"/>
  <c r="CU21" i="9" s="1"/>
  <c r="CT67" i="9"/>
  <c r="CU67" i="9" s="1"/>
  <c r="CZ67" i="9"/>
  <c r="DA67" i="9" s="1"/>
  <c r="CN53" i="9"/>
  <c r="CO53" i="9" s="1"/>
  <c r="CN46" i="9"/>
  <c r="CO46" i="9" s="1"/>
  <c r="BT97" i="9"/>
  <c r="BU97" i="9" s="1"/>
  <c r="BT83" i="9"/>
  <c r="BU83" i="9" s="1"/>
  <c r="BT81" i="9"/>
  <c r="BU81" i="9" s="1"/>
  <c r="BT37" i="9"/>
  <c r="BU37" i="9" s="1"/>
  <c r="CT28" i="9"/>
  <c r="CU28" i="9" s="1"/>
  <c r="BT26" i="9"/>
  <c r="BU26" i="9" s="1"/>
  <c r="BT43" i="9"/>
  <c r="BU43" i="9" s="1"/>
  <c r="BT34" i="9"/>
  <c r="BU34" i="9" s="1"/>
  <c r="BT66" i="9"/>
  <c r="BU66" i="9" s="1"/>
  <c r="BT23" i="9"/>
  <c r="BU23" i="9" s="1"/>
  <c r="BT25" i="9"/>
  <c r="BU25" i="9" s="1"/>
  <c r="BT27" i="9"/>
  <c r="BU27" i="9" s="1"/>
  <c r="CZ54" i="9"/>
  <c r="DA54" i="9" s="1"/>
  <c r="CN54" i="9"/>
  <c r="CO54" i="9" s="1"/>
  <c r="BT58" i="9"/>
  <c r="BU58" i="9" s="1"/>
  <c r="BT75" i="9"/>
  <c r="BU75" i="9" s="1"/>
  <c r="BT42" i="9"/>
  <c r="BU42" i="9" s="1"/>
  <c r="BT77" i="9"/>
  <c r="BU77" i="9" s="1"/>
  <c r="BT63" i="9"/>
  <c r="BU63" i="9" s="1"/>
  <c r="BT31" i="9"/>
  <c r="BU31" i="9" s="1"/>
  <c r="BT36" i="9"/>
  <c r="BU36" i="9" s="1"/>
  <c r="BT73" i="9"/>
  <c r="BU73" i="9" s="1"/>
  <c r="BT65" i="9"/>
  <c r="BU65" i="9" s="1"/>
  <c r="BT52" i="9"/>
  <c r="BU52" i="9" s="1"/>
  <c r="BT96" i="9"/>
  <c r="BU96" i="9" s="1"/>
  <c r="BT47" i="9"/>
  <c r="BU47" i="9" s="1"/>
  <c r="BT86" i="9"/>
  <c r="BU86" i="9" s="1"/>
  <c r="BT33" i="9"/>
  <c r="BU33" i="9" s="1"/>
  <c r="BT45" i="9"/>
  <c r="BU45" i="9" s="1"/>
  <c r="BT44" i="9"/>
  <c r="BU44" i="9" s="1"/>
  <c r="BT74" i="9"/>
  <c r="BU74" i="9" s="1"/>
  <c r="BT51" i="9"/>
  <c r="BU51" i="9" s="1"/>
  <c r="BT32" i="9"/>
  <c r="BU32" i="9" s="1"/>
  <c r="BT87" i="9"/>
  <c r="BU87" i="9" s="1"/>
  <c r="BT56" i="9"/>
  <c r="BU56" i="9" s="1"/>
  <c r="BT68" i="9"/>
  <c r="BU68" i="9" s="1"/>
  <c r="BT85" i="9"/>
  <c r="BU85" i="9" s="1"/>
  <c r="BT92" i="9"/>
  <c r="BU92" i="9" s="1"/>
  <c r="BT84" i="9"/>
  <c r="BU84" i="9" s="1"/>
  <c r="BN78" i="8"/>
  <c r="BO78" i="8" s="1"/>
  <c r="BN91" i="8"/>
  <c r="BO91" i="8" s="1"/>
  <c r="BN22" i="8"/>
  <c r="BO22" i="8" s="1"/>
  <c r="BS22" i="8"/>
  <c r="BN84" i="8"/>
  <c r="BO84" i="8" s="1"/>
  <c r="BF72" i="8"/>
  <c r="BG72" i="8" s="1"/>
  <c r="BM72" i="8"/>
  <c r="BS72" i="8" s="1"/>
  <c r="BY72" i="8" s="1"/>
  <c r="BF96" i="8"/>
  <c r="BG96" i="8" s="1"/>
  <c r="BM96" i="8"/>
  <c r="BF93" i="8"/>
  <c r="BG93" i="8" s="1"/>
  <c r="BM93" i="8"/>
  <c r="BS93" i="8" s="1"/>
  <c r="BY93" i="8" s="1"/>
  <c r="BF95" i="8"/>
  <c r="BG95" i="8" s="1"/>
  <c r="BM95" i="8"/>
  <c r="BF98" i="8"/>
  <c r="BG98" i="8" s="1"/>
  <c r="BM98" i="8"/>
  <c r="BF97" i="8"/>
  <c r="BG97" i="8" s="1"/>
  <c r="BM97" i="8"/>
  <c r="BN54" i="8"/>
  <c r="BO54" i="8" s="1"/>
  <c r="BN67" i="8"/>
  <c r="BO67" i="8" s="1"/>
  <c r="BN66" i="8"/>
  <c r="BO66" i="8" s="1"/>
  <c r="BS66" i="8"/>
  <c r="BY66" i="8" s="1"/>
  <c r="BN65" i="8"/>
  <c r="BO65" i="8" s="1"/>
  <c r="BS65" i="8"/>
  <c r="BY65" i="8" s="1"/>
  <c r="BN68" i="8"/>
  <c r="BO68" i="8" s="1"/>
  <c r="BS68" i="8"/>
  <c r="BY68" i="8" s="1"/>
  <c r="BN64" i="8"/>
  <c r="BO64" i="8" s="1"/>
  <c r="BS64" i="8"/>
  <c r="BY64" i="8" s="1"/>
  <c r="BN56" i="8"/>
  <c r="BO56" i="8" s="1"/>
  <c r="BS56" i="8"/>
  <c r="BY56" i="8" s="1"/>
  <c r="BN58" i="8"/>
  <c r="BO58" i="8" s="1"/>
  <c r="BS58" i="8"/>
  <c r="BY58" i="8" s="1"/>
  <c r="BN53" i="8"/>
  <c r="BO53" i="8" s="1"/>
  <c r="BS53" i="8"/>
  <c r="BY53" i="8" s="1"/>
  <c r="BN55" i="8"/>
  <c r="BO55" i="8" s="1"/>
  <c r="BS55" i="8"/>
  <c r="BY55" i="8" s="1"/>
  <c r="BN52" i="8"/>
  <c r="BO52" i="8" s="1"/>
  <c r="BS52" i="8"/>
  <c r="BY52" i="8" s="1"/>
  <c r="BN63" i="8"/>
  <c r="BO63" i="8" s="1"/>
  <c r="BS63" i="8"/>
  <c r="BY63" i="8" s="1"/>
  <c r="BT94" i="8"/>
  <c r="BU94" i="8" s="1"/>
  <c r="BT51" i="8"/>
  <c r="BU51" i="8" s="1"/>
  <c r="BN76" i="8"/>
  <c r="BO76" i="8" s="1"/>
  <c r="BN86" i="8"/>
  <c r="BO86" i="8" s="1"/>
  <c r="BN87" i="8"/>
  <c r="BO87" i="8" s="1"/>
  <c r="BN73" i="8"/>
  <c r="BO73" i="8" s="1"/>
  <c r="BT67" i="8"/>
  <c r="BU67" i="8" s="1"/>
  <c r="BT54" i="8"/>
  <c r="BU54" i="8" s="1"/>
  <c r="BN74" i="8"/>
  <c r="BO74" i="8" s="1"/>
  <c r="BT92" i="8"/>
  <c r="BU92" i="8" s="1"/>
  <c r="BN75" i="8"/>
  <c r="BO75" i="8" s="1"/>
  <c r="BN77" i="8"/>
  <c r="BO77" i="8" s="1"/>
  <c r="BT62" i="8"/>
  <c r="BU62" i="8" s="1"/>
  <c r="BN83" i="8"/>
  <c r="BO83" i="8" s="1"/>
  <c r="BN88" i="8"/>
  <c r="BO88" i="8" s="1"/>
  <c r="BN82" i="8"/>
  <c r="BO82" i="8" s="1"/>
  <c r="BT91" i="8"/>
  <c r="BU91" i="8" s="1"/>
  <c r="BT61" i="8"/>
  <c r="BU61" i="8" s="1"/>
  <c r="BN71" i="8"/>
  <c r="BO71" i="8" s="1"/>
  <c r="BN81" i="8"/>
  <c r="BO81" i="8" s="1"/>
  <c r="BN85" i="8"/>
  <c r="BO85" i="8" s="1"/>
  <c r="BT57" i="8"/>
  <c r="BU57" i="8" s="1"/>
  <c r="M70" i="3"/>
  <c r="N70" i="3" s="1"/>
  <c r="L81" i="3"/>
  <c r="M81" i="3" s="1"/>
  <c r="N81" i="3" s="1"/>
  <c r="L82" i="3"/>
  <c r="M82" i="3" s="1"/>
  <c r="N82" i="3" s="1"/>
  <c r="M71" i="3"/>
  <c r="N71" i="3" s="1"/>
  <c r="L87" i="3"/>
  <c r="M87" i="3" s="1"/>
  <c r="N87" i="3" s="1"/>
  <c r="M76" i="3"/>
  <c r="N76" i="3" s="1"/>
  <c r="L85" i="3"/>
  <c r="M85" i="3" s="1"/>
  <c r="N85" i="3" s="1"/>
  <c r="M74" i="3"/>
  <c r="N74" i="3" s="1"/>
  <c r="L83" i="3"/>
  <c r="M83" i="3" s="1"/>
  <c r="N83" i="3" s="1"/>
  <c r="M72" i="3"/>
  <c r="N72" i="3" s="1"/>
  <c r="L86" i="3"/>
  <c r="M86" i="3" s="1"/>
  <c r="N86" i="3" s="1"/>
  <c r="M75" i="3"/>
  <c r="N75" i="3" s="1"/>
  <c r="L80" i="3"/>
  <c r="M80" i="3" s="1"/>
  <c r="N80" i="3" s="1"/>
  <c r="M69" i="3"/>
  <c r="N69" i="3" s="1"/>
  <c r="DK42" i="11" l="1"/>
  <c r="DF42" i="11"/>
  <c r="DG42" i="11" s="1"/>
  <c r="CQ85" i="11"/>
  <c r="CL85" i="11"/>
  <c r="CM85" i="11" s="1"/>
  <c r="EK32" i="11"/>
  <c r="EF32" i="11"/>
  <c r="EG32" i="11" s="1"/>
  <c r="EF76" i="11"/>
  <c r="EG76" i="11" s="1"/>
  <c r="DZ76" i="11"/>
  <c r="EA76" i="11" s="1"/>
  <c r="EL65" i="11"/>
  <c r="EM65" i="11" s="1"/>
  <c r="EF65" i="11"/>
  <c r="EG65" i="11" s="1"/>
  <c r="DF63" i="11"/>
  <c r="DG63" i="11" s="1"/>
  <c r="CZ35" i="11"/>
  <c r="DA35" i="11" s="1"/>
  <c r="CR64" i="11"/>
  <c r="CS64" i="11" s="1"/>
  <c r="DL31" i="11"/>
  <c r="DM31" i="11" s="1"/>
  <c r="DR31" i="11"/>
  <c r="DS31" i="11" s="1"/>
  <c r="DF52" i="11"/>
  <c r="DG52" i="11" s="1"/>
  <c r="DF74" i="11"/>
  <c r="DG74" i="11" s="1"/>
  <c r="DF95" i="11"/>
  <c r="DG95" i="11" s="1"/>
  <c r="CZ27" i="11"/>
  <c r="DA27" i="11" s="1"/>
  <c r="DF46" i="11"/>
  <c r="DG46" i="11" s="1"/>
  <c r="CZ47" i="11"/>
  <c r="DA47" i="11" s="1"/>
  <c r="CZ67" i="11"/>
  <c r="DA67" i="11" s="1"/>
  <c r="DF66" i="11"/>
  <c r="DG66" i="11" s="1"/>
  <c r="CR83" i="11"/>
  <c r="CS83" i="11" s="1"/>
  <c r="CZ58" i="11"/>
  <c r="DA58" i="11" s="1"/>
  <c r="CZ94" i="11"/>
  <c r="DA94" i="11" s="1"/>
  <c r="CZ38" i="11"/>
  <c r="DA38" i="11" s="1"/>
  <c r="DR57" i="11"/>
  <c r="DS57" i="11" s="1"/>
  <c r="DL57" i="11"/>
  <c r="DM57" i="11" s="1"/>
  <c r="CZ78" i="11"/>
  <c r="DA78" i="11" s="1"/>
  <c r="DF45" i="11"/>
  <c r="DG45" i="11" s="1"/>
  <c r="CR96" i="11"/>
  <c r="CS96" i="11" s="1"/>
  <c r="DF73" i="11"/>
  <c r="DG73" i="11" s="1"/>
  <c r="CZ68" i="11"/>
  <c r="DA68" i="11" s="1"/>
  <c r="DF77" i="11"/>
  <c r="DG77" i="11" s="1"/>
  <c r="DF36" i="11"/>
  <c r="DG36" i="11" s="1"/>
  <c r="CZ86" i="11"/>
  <c r="DA86" i="11" s="1"/>
  <c r="DF92" i="11"/>
  <c r="DG92" i="11" s="1"/>
  <c r="DF53" i="11"/>
  <c r="DG53" i="11" s="1"/>
  <c r="CZ75" i="11"/>
  <c r="DA75" i="11" s="1"/>
  <c r="DF62" i="11"/>
  <c r="DG62" i="11" s="1"/>
  <c r="CZ44" i="11"/>
  <c r="DA44" i="11" s="1"/>
  <c r="DF25" i="11"/>
  <c r="DG25" i="11" s="1"/>
  <c r="CZ72" i="11"/>
  <c r="DA72" i="11" s="1"/>
  <c r="CZ84" i="11"/>
  <c r="DA84" i="11" s="1"/>
  <c r="CZ34" i="11"/>
  <c r="DA34" i="11" s="1"/>
  <c r="DF81" i="11"/>
  <c r="DG81" i="11" s="1"/>
  <c r="DR51" i="11"/>
  <c r="DS51" i="11" s="1"/>
  <c r="DL51" i="11"/>
  <c r="DM51" i="11" s="1"/>
  <c r="DF33" i="11"/>
  <c r="DG33" i="11" s="1"/>
  <c r="CZ28" i="11"/>
  <c r="DA28" i="11" s="1"/>
  <c r="CZ24" i="11"/>
  <c r="DA24" i="11" s="1"/>
  <c r="DR48" i="11"/>
  <c r="DS48" i="11" s="1"/>
  <c r="DL48" i="11"/>
  <c r="DM48" i="11" s="1"/>
  <c r="DL61" i="11"/>
  <c r="DM61" i="11" s="1"/>
  <c r="DR61" i="11"/>
  <c r="DS61" i="11" s="1"/>
  <c r="DF93" i="11"/>
  <c r="DG93" i="11" s="1"/>
  <c r="CZ26" i="11"/>
  <c r="DA26" i="11" s="1"/>
  <c r="CR22" i="11"/>
  <c r="CS22" i="11" s="1"/>
  <c r="DF82" i="11"/>
  <c r="DG82" i="11" s="1"/>
  <c r="DL71" i="11"/>
  <c r="DM71" i="11" s="1"/>
  <c r="DR71" i="11"/>
  <c r="DS71" i="11" s="1"/>
  <c r="DF91" i="11"/>
  <c r="DG91" i="11" s="1"/>
  <c r="DR56" i="11"/>
  <c r="DS56" i="11" s="1"/>
  <c r="DL56" i="11"/>
  <c r="DM56" i="11" s="1"/>
  <c r="CZ55" i="11"/>
  <c r="DA55" i="11" s="1"/>
  <c r="DR23" i="11"/>
  <c r="DS23" i="11" s="1"/>
  <c r="DL23" i="11"/>
  <c r="DM23" i="11" s="1"/>
  <c r="DR88" i="11"/>
  <c r="DS88" i="11" s="1"/>
  <c r="DL88" i="11"/>
  <c r="DM88" i="11" s="1"/>
  <c r="CZ97" i="11"/>
  <c r="DA97" i="11" s="1"/>
  <c r="DL41" i="11"/>
  <c r="DM41" i="11" s="1"/>
  <c r="DR41" i="11"/>
  <c r="DS41" i="11" s="1"/>
  <c r="CZ37" i="11"/>
  <c r="DA37" i="11" s="1"/>
  <c r="DH21" i="9"/>
  <c r="DI21" i="9" s="1"/>
  <c r="CN72" i="9"/>
  <c r="CO72" i="9" s="1"/>
  <c r="DH67" i="9"/>
  <c r="DI67" i="9" s="1"/>
  <c r="CN78" i="9"/>
  <c r="CO78" i="9" s="1"/>
  <c r="CN95" i="9"/>
  <c r="CO95" i="9" s="1"/>
  <c r="CN24" i="9"/>
  <c r="CO24" i="9" s="1"/>
  <c r="CN38" i="9"/>
  <c r="CO38" i="9" s="1"/>
  <c r="CZ46" i="9"/>
  <c r="DA46" i="9" s="1"/>
  <c r="CT46" i="9"/>
  <c r="CU46" i="9" s="1"/>
  <c r="CZ53" i="9"/>
  <c r="DA53" i="9" s="1"/>
  <c r="CT53" i="9"/>
  <c r="CU53" i="9" s="1"/>
  <c r="CN48" i="9"/>
  <c r="CO48" i="9" s="1"/>
  <c r="CZ48" i="9"/>
  <c r="DA48" i="9" s="1"/>
  <c r="DH28" i="9"/>
  <c r="DI28" i="9" s="1"/>
  <c r="CZ94" i="9"/>
  <c r="DA94" i="9" s="1"/>
  <c r="CN94" i="9"/>
  <c r="CO94" i="9" s="1"/>
  <c r="CZ62" i="9"/>
  <c r="DA62" i="9" s="1"/>
  <c r="CN62" i="9"/>
  <c r="CO62" i="9" s="1"/>
  <c r="CN76" i="9"/>
  <c r="CO76" i="9" s="1"/>
  <c r="CZ76" i="9"/>
  <c r="DA76" i="9" s="1"/>
  <c r="CZ61" i="9"/>
  <c r="DA61" i="9" s="1"/>
  <c r="CN61" i="9"/>
  <c r="CO61" i="9" s="1"/>
  <c r="CZ41" i="9"/>
  <c r="DA41" i="9" s="1"/>
  <c r="CN41" i="9"/>
  <c r="CO41" i="9" s="1"/>
  <c r="CZ98" i="9"/>
  <c r="DA98" i="9" s="1"/>
  <c r="CN98" i="9"/>
  <c r="CO98" i="9" s="1"/>
  <c r="CZ35" i="9"/>
  <c r="DA35" i="9" s="1"/>
  <c r="CN35" i="9"/>
  <c r="CO35" i="9" s="1"/>
  <c r="CN57" i="9"/>
  <c r="CO57" i="9" s="1"/>
  <c r="CZ57" i="9"/>
  <c r="DA57" i="9" s="1"/>
  <c r="CZ91" i="9"/>
  <c r="DA91" i="9" s="1"/>
  <c r="CN91" i="9"/>
  <c r="CO91" i="9" s="1"/>
  <c r="CZ64" i="9"/>
  <c r="DA64" i="9" s="1"/>
  <c r="CN64" i="9"/>
  <c r="CO64" i="9" s="1"/>
  <c r="CT54" i="9"/>
  <c r="CU54" i="9" s="1"/>
  <c r="CZ88" i="9"/>
  <c r="DA88" i="9" s="1"/>
  <c r="CN88" i="9"/>
  <c r="CO88" i="9" s="1"/>
  <c r="CN93" i="9"/>
  <c r="CO93" i="9" s="1"/>
  <c r="CZ93" i="9"/>
  <c r="DA93" i="9" s="1"/>
  <c r="CZ71" i="9"/>
  <c r="DA71" i="9" s="1"/>
  <c r="CN71" i="9"/>
  <c r="CO71" i="9" s="1"/>
  <c r="CZ55" i="9"/>
  <c r="DA55" i="9" s="1"/>
  <c r="CN55" i="9"/>
  <c r="CO55" i="9" s="1"/>
  <c r="CZ22" i="9"/>
  <c r="DA22" i="9" s="1"/>
  <c r="CN22" i="9"/>
  <c r="CO22" i="9" s="1"/>
  <c r="BT93" i="8"/>
  <c r="BU93" i="8" s="1"/>
  <c r="BN72" i="8"/>
  <c r="BO72" i="8" s="1"/>
  <c r="BY22" i="8"/>
  <c r="BZ22" i="8" s="1"/>
  <c r="CA22" i="8" s="1"/>
  <c r="BT22" i="8"/>
  <c r="BU22" i="8" s="1"/>
  <c r="BN93" i="8"/>
  <c r="BO93" i="8" s="1"/>
  <c r="BT68" i="8"/>
  <c r="BU68" i="8" s="1"/>
  <c r="BN97" i="8"/>
  <c r="BO97" i="8" s="1"/>
  <c r="BS97" i="8"/>
  <c r="BS98" i="8"/>
  <c r="BN98" i="8"/>
  <c r="BO98" i="8" s="1"/>
  <c r="BN96" i="8"/>
  <c r="BO96" i="8" s="1"/>
  <c r="BS96" i="8"/>
  <c r="BS95" i="8"/>
  <c r="BN95" i="8"/>
  <c r="BO95" i="8" s="1"/>
  <c r="BT52" i="8"/>
  <c r="BU52" i="8" s="1"/>
  <c r="BT58" i="8"/>
  <c r="BU58" i="8" s="1"/>
  <c r="BT53" i="8"/>
  <c r="BU53" i="8" s="1"/>
  <c r="BT64" i="8"/>
  <c r="BU64" i="8" s="1"/>
  <c r="BT65" i="8"/>
  <c r="BU65" i="8" s="1"/>
  <c r="BT66" i="8"/>
  <c r="BU66" i="8" s="1"/>
  <c r="BT56" i="8"/>
  <c r="BU56" i="8" s="1"/>
  <c r="BT63" i="8"/>
  <c r="BU63" i="8" s="1"/>
  <c r="BT55" i="8"/>
  <c r="BU55" i="8" s="1"/>
  <c r="BT84" i="8"/>
  <c r="BU84" i="8" s="1"/>
  <c r="BZ67" i="8"/>
  <c r="CA67" i="8" s="1"/>
  <c r="BT78" i="8"/>
  <c r="BU78" i="8" s="1"/>
  <c r="BT73" i="8"/>
  <c r="BU73" i="8" s="1"/>
  <c r="BZ61" i="8"/>
  <c r="CA61" i="8" s="1"/>
  <c r="BT87" i="8"/>
  <c r="BU87" i="8" s="1"/>
  <c r="BZ57" i="8"/>
  <c r="CA57" i="8" s="1"/>
  <c r="BZ91" i="8"/>
  <c r="CA91" i="8" s="1"/>
  <c r="BT85" i="8"/>
  <c r="BU85" i="8" s="1"/>
  <c r="BT88" i="8"/>
  <c r="BU88" i="8" s="1"/>
  <c r="BZ62" i="8"/>
  <c r="CA62" i="8" s="1"/>
  <c r="BZ63" i="8"/>
  <c r="CA63" i="8" s="1"/>
  <c r="BZ52" i="8"/>
  <c r="CA52" i="8" s="1"/>
  <c r="BZ66" i="8"/>
  <c r="CA66" i="8" s="1"/>
  <c r="BZ64" i="8"/>
  <c r="CA64" i="8" s="1"/>
  <c r="BT76" i="8"/>
  <c r="BU76" i="8" s="1"/>
  <c r="BT82" i="8"/>
  <c r="BU82" i="8" s="1"/>
  <c r="BZ65" i="8"/>
  <c r="CA65" i="8" s="1"/>
  <c r="BZ94" i="8"/>
  <c r="CA94" i="8" s="1"/>
  <c r="BT77" i="8"/>
  <c r="BU77" i="8" s="1"/>
  <c r="BT86" i="8"/>
  <c r="BU86" i="8" s="1"/>
  <c r="BT71" i="8"/>
  <c r="BU71" i="8" s="1"/>
  <c r="BZ51" i="8"/>
  <c r="CA51" i="8" s="1"/>
  <c r="BT83" i="8"/>
  <c r="BU83" i="8" s="1"/>
  <c r="BZ55" i="8"/>
  <c r="CA55" i="8" s="1"/>
  <c r="BZ92" i="8"/>
  <c r="CA92" i="8" s="1"/>
  <c r="BT81" i="8"/>
  <c r="BU81" i="8" s="1"/>
  <c r="BZ93" i="8"/>
  <c r="CA93" i="8" s="1"/>
  <c r="BZ54" i="8"/>
  <c r="CA54" i="8" s="1"/>
  <c r="BT72" i="8"/>
  <c r="BU72" i="8" s="1"/>
  <c r="BZ58" i="8"/>
  <c r="CA58" i="8" s="1"/>
  <c r="BT75" i="8"/>
  <c r="BU75" i="8" s="1"/>
  <c r="BT74" i="8"/>
  <c r="BU74" i="8" s="1"/>
  <c r="BZ56" i="8"/>
  <c r="CA56" i="8" s="1"/>
  <c r="BZ53" i="8"/>
  <c r="CA53" i="8" s="1"/>
  <c r="BZ68" i="8"/>
  <c r="CA68" i="8" s="1"/>
  <c r="AL34" i="8"/>
  <c r="AM34" i="8" s="1"/>
  <c r="AL36" i="8"/>
  <c r="AM36" i="8" s="1"/>
  <c r="AL35" i="8"/>
  <c r="AM35" i="8" s="1"/>
  <c r="AL31" i="8"/>
  <c r="AM31" i="8" s="1"/>
  <c r="AL37" i="8"/>
  <c r="AM37" i="8" s="1"/>
  <c r="AL38" i="8"/>
  <c r="AM38" i="8" s="1"/>
  <c r="AL33" i="8"/>
  <c r="AM33" i="8" s="1"/>
  <c r="CY85" i="11" l="1"/>
  <c r="CR85" i="11"/>
  <c r="CS85" i="11" s="1"/>
  <c r="DY42" i="11"/>
  <c r="DL42" i="11"/>
  <c r="DM42" i="11" s="1"/>
  <c r="DQ42" i="11"/>
  <c r="DR42" i="11" s="1"/>
  <c r="DS42" i="11" s="1"/>
  <c r="ES32" i="11"/>
  <c r="EL32" i="11"/>
  <c r="EM32" i="11" s="1"/>
  <c r="DR63" i="11"/>
  <c r="DS63" i="11" s="1"/>
  <c r="DL63" i="11"/>
  <c r="DM63" i="11" s="1"/>
  <c r="DF35" i="11"/>
  <c r="DG35" i="11" s="1"/>
  <c r="DZ57" i="11"/>
  <c r="EA57" i="11" s="1"/>
  <c r="DR33" i="11"/>
  <c r="DS33" i="11" s="1"/>
  <c r="DL33" i="11"/>
  <c r="DM33" i="11" s="1"/>
  <c r="DF38" i="11"/>
  <c r="DG38" i="11" s="1"/>
  <c r="DF27" i="11"/>
  <c r="DG27" i="11" s="1"/>
  <c r="DR36" i="11"/>
  <c r="DS36" i="11" s="1"/>
  <c r="DL36" i="11"/>
  <c r="DM36" i="11" s="1"/>
  <c r="DZ23" i="11"/>
  <c r="EA23" i="11" s="1"/>
  <c r="DR77" i="11"/>
  <c r="DS77" i="11" s="1"/>
  <c r="DL77" i="11"/>
  <c r="DM77" i="11" s="1"/>
  <c r="DF55" i="11"/>
  <c r="DG55" i="11" s="1"/>
  <c r="DR93" i="11"/>
  <c r="DS93" i="11" s="1"/>
  <c r="DL93" i="11"/>
  <c r="DM93" i="11" s="1"/>
  <c r="DR81" i="11"/>
  <c r="DS81" i="11" s="1"/>
  <c r="DL81" i="11"/>
  <c r="DM81" i="11" s="1"/>
  <c r="DR53" i="11"/>
  <c r="DS53" i="11" s="1"/>
  <c r="DL53" i="11"/>
  <c r="DM53" i="11" s="1"/>
  <c r="DF94" i="11"/>
  <c r="DG94" i="11" s="1"/>
  <c r="DR95" i="11"/>
  <c r="DS95" i="11" s="1"/>
  <c r="DL95" i="11"/>
  <c r="DM95" i="11" s="1"/>
  <c r="DF37" i="11"/>
  <c r="DG37" i="11" s="1"/>
  <c r="DF26" i="11"/>
  <c r="DG26" i="11" s="1"/>
  <c r="DZ51" i="11"/>
  <c r="EA51" i="11" s="1"/>
  <c r="DL74" i="11"/>
  <c r="DM74" i="11" s="1"/>
  <c r="DR74" i="11"/>
  <c r="DS74" i="11" s="1"/>
  <c r="DR82" i="11"/>
  <c r="DS82" i="11" s="1"/>
  <c r="DL82" i="11"/>
  <c r="DM82" i="11" s="1"/>
  <c r="DZ61" i="11"/>
  <c r="EA61" i="11" s="1"/>
  <c r="DZ56" i="11"/>
  <c r="EA56" i="11" s="1"/>
  <c r="DF34" i="11"/>
  <c r="DG34" i="11" s="1"/>
  <c r="DR73" i="11"/>
  <c r="DS73" i="11" s="1"/>
  <c r="DL73" i="11"/>
  <c r="DM73" i="11" s="1"/>
  <c r="CZ83" i="11"/>
  <c r="DA83" i="11" s="1"/>
  <c r="DR52" i="11"/>
  <c r="DS52" i="11" s="1"/>
  <c r="DL52" i="11"/>
  <c r="DM52" i="11" s="1"/>
  <c r="DF68" i="11"/>
  <c r="DG68" i="11" s="1"/>
  <c r="DR91" i="11"/>
  <c r="DS91" i="11" s="1"/>
  <c r="DL91" i="11"/>
  <c r="DM91" i="11" s="1"/>
  <c r="DF84" i="11"/>
  <c r="DG84" i="11" s="1"/>
  <c r="CZ96" i="11"/>
  <c r="DA96" i="11" s="1"/>
  <c r="DZ31" i="11"/>
  <c r="EA31" i="11" s="1"/>
  <c r="CZ22" i="11"/>
  <c r="DA22" i="11" s="1"/>
  <c r="DR62" i="11"/>
  <c r="DS62" i="11" s="1"/>
  <c r="DL62" i="11"/>
  <c r="DM62" i="11" s="1"/>
  <c r="DF75" i="11"/>
  <c r="DG75" i="11" s="1"/>
  <c r="DF58" i="11"/>
  <c r="DG58" i="11" s="1"/>
  <c r="DF97" i="11"/>
  <c r="DG97" i="11" s="1"/>
  <c r="DZ48" i="11"/>
  <c r="EA48" i="11" s="1"/>
  <c r="DF72" i="11"/>
  <c r="DG72" i="11" s="1"/>
  <c r="DR66" i="11"/>
  <c r="DS66" i="11" s="1"/>
  <c r="DL66" i="11"/>
  <c r="DM66" i="11" s="1"/>
  <c r="DF44" i="11"/>
  <c r="DG44" i="11" s="1"/>
  <c r="DZ41" i="11"/>
  <c r="EA41" i="11" s="1"/>
  <c r="DZ71" i="11"/>
  <c r="EA71" i="11" s="1"/>
  <c r="DR92" i="11"/>
  <c r="DS92" i="11" s="1"/>
  <c r="DL92" i="11"/>
  <c r="DM92" i="11" s="1"/>
  <c r="DR45" i="11"/>
  <c r="DS45" i="11" s="1"/>
  <c r="DL45" i="11"/>
  <c r="DM45" i="11" s="1"/>
  <c r="DF24" i="11"/>
  <c r="DG24" i="11" s="1"/>
  <c r="DR25" i="11"/>
  <c r="DS25" i="11" s="1"/>
  <c r="DL25" i="11"/>
  <c r="DM25" i="11" s="1"/>
  <c r="DF67" i="11"/>
  <c r="DG67" i="11" s="1"/>
  <c r="CZ64" i="11"/>
  <c r="DA64" i="11" s="1"/>
  <c r="DF28" i="11"/>
  <c r="DG28" i="11" s="1"/>
  <c r="DL46" i="11"/>
  <c r="DM46" i="11" s="1"/>
  <c r="DR46" i="11"/>
  <c r="DS46" i="11" s="1"/>
  <c r="DZ88" i="11"/>
  <c r="EA88" i="11" s="1"/>
  <c r="DF86" i="11"/>
  <c r="DG86" i="11" s="1"/>
  <c r="DF78" i="11"/>
  <c r="DG78" i="11" s="1"/>
  <c r="DF47" i="11"/>
  <c r="DG47" i="11" s="1"/>
  <c r="DN21" i="9"/>
  <c r="DO21" i="9" s="1"/>
  <c r="DN67" i="9"/>
  <c r="DO67" i="9" s="1"/>
  <c r="CT72" i="9"/>
  <c r="CU72" i="9" s="1"/>
  <c r="CZ72" i="9"/>
  <c r="DA72" i="9" s="1"/>
  <c r="DH53" i="9"/>
  <c r="DI53" i="9" s="1"/>
  <c r="DH46" i="9"/>
  <c r="DI46" i="9" s="1"/>
  <c r="CZ38" i="9"/>
  <c r="DA38" i="9" s="1"/>
  <c r="CT38" i="9"/>
  <c r="CU38" i="9" s="1"/>
  <c r="CZ24" i="9"/>
  <c r="DA24" i="9" s="1"/>
  <c r="CT24" i="9"/>
  <c r="CU24" i="9" s="1"/>
  <c r="CZ95" i="9"/>
  <c r="DA95" i="9" s="1"/>
  <c r="CT95" i="9"/>
  <c r="CU95" i="9" s="1"/>
  <c r="CZ78" i="9"/>
  <c r="DA78" i="9" s="1"/>
  <c r="CT78" i="9"/>
  <c r="CU78" i="9" s="1"/>
  <c r="CZ97" i="9"/>
  <c r="DA97" i="9" s="1"/>
  <c r="CN97" i="9"/>
  <c r="CO97" i="9" s="1"/>
  <c r="CT48" i="9"/>
  <c r="CU48" i="9" s="1"/>
  <c r="CZ83" i="9"/>
  <c r="DA83" i="9" s="1"/>
  <c r="CN83" i="9"/>
  <c r="CO83" i="9" s="1"/>
  <c r="CZ81" i="9"/>
  <c r="DA81" i="9" s="1"/>
  <c r="CN81" i="9"/>
  <c r="CO81" i="9" s="1"/>
  <c r="CN37" i="9"/>
  <c r="CO37" i="9" s="1"/>
  <c r="CZ37" i="9"/>
  <c r="DA37" i="9" s="1"/>
  <c r="DN28" i="9"/>
  <c r="DO28" i="9" s="1"/>
  <c r="CN26" i="9"/>
  <c r="CO26" i="9" s="1"/>
  <c r="CZ26" i="9"/>
  <c r="DA26" i="9" s="1"/>
  <c r="CT61" i="9"/>
  <c r="CU61" i="9" s="1"/>
  <c r="CT22" i="9"/>
  <c r="CU22" i="9" s="1"/>
  <c r="CZ68" i="9"/>
  <c r="DA68" i="9" s="1"/>
  <c r="CN68" i="9"/>
  <c r="CO68" i="9" s="1"/>
  <c r="CZ74" i="9"/>
  <c r="DA74" i="9" s="1"/>
  <c r="CN74" i="9"/>
  <c r="CO74" i="9" s="1"/>
  <c r="CT62" i="9"/>
  <c r="CU62" i="9" s="1"/>
  <c r="CN51" i="9"/>
  <c r="CO51" i="9" s="1"/>
  <c r="CZ51" i="9"/>
  <c r="DA51" i="9" s="1"/>
  <c r="CN77" i="9"/>
  <c r="CO77" i="9" s="1"/>
  <c r="CZ77" i="9"/>
  <c r="DA77" i="9" s="1"/>
  <c r="CT76" i="9"/>
  <c r="CU76" i="9" s="1"/>
  <c r="CZ31" i="9"/>
  <c r="DA31" i="9" s="1"/>
  <c r="CN31" i="9"/>
  <c r="CO31" i="9" s="1"/>
  <c r="CT93" i="9"/>
  <c r="CU93" i="9" s="1"/>
  <c r="CN56" i="9"/>
  <c r="CO56" i="9" s="1"/>
  <c r="CZ56" i="9"/>
  <c r="DA56" i="9" s="1"/>
  <c r="CT98" i="9"/>
  <c r="CU98" i="9" s="1"/>
  <c r="CN66" i="9"/>
  <c r="CO66" i="9" s="1"/>
  <c r="CZ66" i="9"/>
  <c r="DA66" i="9" s="1"/>
  <c r="CT35" i="9"/>
  <c r="CU35" i="9" s="1"/>
  <c r="CZ92" i="9"/>
  <c r="DA92" i="9" s="1"/>
  <c r="CN92" i="9"/>
  <c r="CO92" i="9" s="1"/>
  <c r="CT55" i="9"/>
  <c r="CU55" i="9" s="1"/>
  <c r="CT71" i="9"/>
  <c r="CU71" i="9" s="1"/>
  <c r="CT57" i="9"/>
  <c r="CU57" i="9" s="1"/>
  <c r="CZ36" i="9"/>
  <c r="DA36" i="9" s="1"/>
  <c r="CN36" i="9"/>
  <c r="CO36" i="9" s="1"/>
  <c r="CT88" i="9"/>
  <c r="CU88" i="9" s="1"/>
  <c r="CZ33" i="9"/>
  <c r="DA33" i="9" s="1"/>
  <c r="CN33" i="9"/>
  <c r="CO33" i="9" s="1"/>
  <c r="CT91" i="9"/>
  <c r="CU91" i="9" s="1"/>
  <c r="CZ27" i="9"/>
  <c r="DA27" i="9" s="1"/>
  <c r="CN27" i="9"/>
  <c r="CO27" i="9" s="1"/>
  <c r="CZ43" i="9"/>
  <c r="DA43" i="9" s="1"/>
  <c r="CN43" i="9"/>
  <c r="CO43" i="9" s="1"/>
  <c r="CZ87" i="9"/>
  <c r="DA87" i="9" s="1"/>
  <c r="CN87" i="9"/>
  <c r="CO87" i="9" s="1"/>
  <c r="CZ32" i="9"/>
  <c r="DA32" i="9" s="1"/>
  <c r="CN32" i="9"/>
  <c r="CO32" i="9" s="1"/>
  <c r="CZ86" i="9"/>
  <c r="DA86" i="9" s="1"/>
  <c r="CN86" i="9"/>
  <c r="CO86" i="9" s="1"/>
  <c r="CZ25" i="9"/>
  <c r="DA25" i="9" s="1"/>
  <c r="CN25" i="9"/>
  <c r="CO25" i="9" s="1"/>
  <c r="CT94" i="9"/>
  <c r="CU94" i="9" s="1"/>
  <c r="CZ45" i="9"/>
  <c r="DA45" i="9" s="1"/>
  <c r="CN45" i="9"/>
  <c r="CO45" i="9" s="1"/>
  <c r="CZ85" i="9"/>
  <c r="DA85" i="9" s="1"/>
  <c r="CN85" i="9"/>
  <c r="CO85" i="9" s="1"/>
  <c r="CZ65" i="9"/>
  <c r="DA65" i="9" s="1"/>
  <c r="CN65" i="9"/>
  <c r="CO65" i="9" s="1"/>
  <c r="DH54" i="9"/>
  <c r="DI54" i="9" s="1"/>
  <c r="CZ52" i="9"/>
  <c r="DA52" i="9" s="1"/>
  <c r="CN52" i="9"/>
  <c r="CO52" i="9" s="1"/>
  <c r="CZ58" i="9"/>
  <c r="DA58" i="9" s="1"/>
  <c r="CN58" i="9"/>
  <c r="CO58" i="9" s="1"/>
  <c r="CZ96" i="9"/>
  <c r="DA96" i="9" s="1"/>
  <c r="CN96" i="9"/>
  <c r="CO96" i="9" s="1"/>
  <c r="CZ42" i="9"/>
  <c r="DA42" i="9" s="1"/>
  <c r="CN42" i="9"/>
  <c r="CO42" i="9" s="1"/>
  <c r="CN75" i="9"/>
  <c r="CO75" i="9" s="1"/>
  <c r="CZ75" i="9"/>
  <c r="DA75" i="9" s="1"/>
  <c r="CN73" i="9"/>
  <c r="CO73" i="9" s="1"/>
  <c r="CZ73" i="9"/>
  <c r="DA73" i="9" s="1"/>
  <c r="CT64" i="9"/>
  <c r="CU64" i="9" s="1"/>
  <c r="CN84" i="9"/>
  <c r="CO84" i="9" s="1"/>
  <c r="CZ84" i="9"/>
  <c r="DA84" i="9" s="1"/>
  <c r="CZ63" i="9"/>
  <c r="DA63" i="9" s="1"/>
  <c r="CN63" i="9"/>
  <c r="CO63" i="9" s="1"/>
  <c r="CZ47" i="9"/>
  <c r="DA47" i="9" s="1"/>
  <c r="CN47" i="9"/>
  <c r="CO47" i="9" s="1"/>
  <c r="CZ44" i="9"/>
  <c r="DA44" i="9" s="1"/>
  <c r="CN44" i="9"/>
  <c r="CO44" i="9" s="1"/>
  <c r="CZ34" i="9"/>
  <c r="DA34" i="9" s="1"/>
  <c r="CN34" i="9"/>
  <c r="CO34" i="9" s="1"/>
  <c r="CT41" i="9"/>
  <c r="CU41" i="9" s="1"/>
  <c r="CZ23" i="9"/>
  <c r="DA23" i="9" s="1"/>
  <c r="CN23" i="9"/>
  <c r="CO23" i="9" s="1"/>
  <c r="BY98" i="8"/>
  <c r="BZ98" i="8" s="1"/>
  <c r="CA98" i="8" s="1"/>
  <c r="BT98" i="8"/>
  <c r="BU98" i="8" s="1"/>
  <c r="BY95" i="8"/>
  <c r="BZ95" i="8" s="1"/>
  <c r="CA95" i="8" s="1"/>
  <c r="BT95" i="8"/>
  <c r="BU95" i="8" s="1"/>
  <c r="BY97" i="8"/>
  <c r="BZ97" i="8" s="1"/>
  <c r="CA97" i="8" s="1"/>
  <c r="BT97" i="8"/>
  <c r="BU97" i="8" s="1"/>
  <c r="BY96" i="8"/>
  <c r="BZ96" i="8" s="1"/>
  <c r="CA96" i="8" s="1"/>
  <c r="BT96" i="8"/>
  <c r="BU96" i="8" s="1"/>
  <c r="BZ87" i="8"/>
  <c r="CA87" i="8" s="1"/>
  <c r="BZ73" i="8"/>
  <c r="CA73" i="8" s="1"/>
  <c r="BZ74" i="8"/>
  <c r="CA74" i="8" s="1"/>
  <c r="BZ75" i="8"/>
  <c r="CA75" i="8" s="1"/>
  <c r="BZ82" i="8"/>
  <c r="CA82" i="8" s="1"/>
  <c r="BZ72" i="8"/>
  <c r="CA72" i="8" s="1"/>
  <c r="BZ88" i="8"/>
  <c r="CA88" i="8" s="1"/>
  <c r="BZ86" i="8"/>
  <c r="CA86" i="8" s="1"/>
  <c r="BZ76" i="8"/>
  <c r="CA76" i="8" s="1"/>
  <c r="BZ81" i="8"/>
  <c r="CA81" i="8" s="1"/>
  <c r="BZ71" i="8"/>
  <c r="CA71" i="8" s="1"/>
  <c r="BZ78" i="8"/>
  <c r="CA78" i="8" s="1"/>
  <c r="BZ83" i="8"/>
  <c r="CA83" i="8" s="1"/>
  <c r="BZ85" i="8"/>
  <c r="CA85" i="8" s="1"/>
  <c r="BZ77" i="8"/>
  <c r="CA77" i="8" s="1"/>
  <c r="BZ84" i="8"/>
  <c r="CA84" i="8" s="1"/>
  <c r="AL32" i="8"/>
  <c r="AM32" i="8" s="1"/>
  <c r="EE42" i="11" l="1"/>
  <c r="DZ42" i="11"/>
  <c r="EA42" i="11" s="1"/>
  <c r="DE85" i="11"/>
  <c r="CZ85" i="11"/>
  <c r="DA85" i="11" s="1"/>
  <c r="EY32" i="11"/>
  <c r="ET32" i="11"/>
  <c r="EU32" i="11" s="1"/>
  <c r="DZ63" i="11"/>
  <c r="EA63" i="11" s="1"/>
  <c r="DR35" i="11"/>
  <c r="DS35" i="11" s="1"/>
  <c r="DL35" i="11"/>
  <c r="DM35" i="11" s="1"/>
  <c r="DR78" i="11"/>
  <c r="DS78" i="11" s="1"/>
  <c r="DL78" i="11"/>
  <c r="DM78" i="11" s="1"/>
  <c r="DZ25" i="11"/>
  <c r="EA25" i="11" s="1"/>
  <c r="DR44" i="11"/>
  <c r="DS44" i="11" s="1"/>
  <c r="DL44" i="11"/>
  <c r="DM44" i="11" s="1"/>
  <c r="DZ62" i="11"/>
  <c r="EA62" i="11" s="1"/>
  <c r="DZ52" i="11"/>
  <c r="EA52" i="11" s="1"/>
  <c r="DR94" i="11"/>
  <c r="DS94" i="11" s="1"/>
  <c r="DL94" i="11"/>
  <c r="DM94" i="11" s="1"/>
  <c r="DF22" i="11"/>
  <c r="DG22" i="11" s="1"/>
  <c r="DZ82" i="11"/>
  <c r="EA82" i="11" s="1"/>
  <c r="DZ66" i="11"/>
  <c r="EA66" i="11" s="1"/>
  <c r="EF88" i="11"/>
  <c r="EG88" i="11" s="1"/>
  <c r="EF31" i="11"/>
  <c r="EG31" i="11" s="1"/>
  <c r="DF83" i="11"/>
  <c r="DG83" i="11" s="1"/>
  <c r="DZ53" i="11"/>
  <c r="EA53" i="11" s="1"/>
  <c r="DZ36" i="11"/>
  <c r="EA36" i="11" s="1"/>
  <c r="DZ73" i="11"/>
  <c r="EA73" i="11" s="1"/>
  <c r="DZ81" i="11"/>
  <c r="EA81" i="11" s="1"/>
  <c r="DR38" i="11"/>
  <c r="DS38" i="11" s="1"/>
  <c r="DL38" i="11"/>
  <c r="DM38" i="11" s="1"/>
  <c r="EF23" i="11"/>
  <c r="EG23" i="11" s="1"/>
  <c r="DR72" i="11"/>
  <c r="DS72" i="11" s="1"/>
  <c r="DL72" i="11"/>
  <c r="DM72" i="11" s="1"/>
  <c r="DZ74" i="11"/>
  <c r="EA74" i="11" s="1"/>
  <c r="DF96" i="11"/>
  <c r="DG96" i="11" s="1"/>
  <c r="DR97" i="11"/>
  <c r="DS97" i="11" s="1"/>
  <c r="DL97" i="11"/>
  <c r="DM97" i="11" s="1"/>
  <c r="EF51" i="11"/>
  <c r="EG51" i="11" s="1"/>
  <c r="DZ93" i="11"/>
  <c r="EA93" i="11" s="1"/>
  <c r="EF48" i="11"/>
  <c r="EG48" i="11" s="1"/>
  <c r="DL28" i="11"/>
  <c r="DM28" i="11" s="1"/>
  <c r="DR28" i="11"/>
  <c r="DS28" i="11" s="1"/>
  <c r="DR84" i="11"/>
  <c r="DS84" i="11" s="1"/>
  <c r="DL84" i="11"/>
  <c r="DM84" i="11" s="1"/>
  <c r="DZ92" i="11"/>
  <c r="EA92" i="11" s="1"/>
  <c r="DR26" i="11"/>
  <c r="DS26" i="11" s="1"/>
  <c r="DL26" i="11"/>
  <c r="DM26" i="11" s="1"/>
  <c r="DZ45" i="11"/>
  <c r="EA45" i="11" s="1"/>
  <c r="DF64" i="11"/>
  <c r="DG64" i="11" s="1"/>
  <c r="DR58" i="11"/>
  <c r="DS58" i="11" s="1"/>
  <c r="DL58" i="11"/>
  <c r="DM58" i="11" s="1"/>
  <c r="DR86" i="11"/>
  <c r="DS86" i="11" s="1"/>
  <c r="DL86" i="11"/>
  <c r="DM86" i="11" s="1"/>
  <c r="DZ46" i="11"/>
  <c r="EA46" i="11" s="1"/>
  <c r="EF71" i="11"/>
  <c r="EG71" i="11" s="1"/>
  <c r="DR34" i="11"/>
  <c r="DS34" i="11" s="1"/>
  <c r="DL34" i="11"/>
  <c r="DM34" i="11" s="1"/>
  <c r="DR37" i="11"/>
  <c r="DS37" i="11" s="1"/>
  <c r="DL37" i="11"/>
  <c r="DM37" i="11" s="1"/>
  <c r="DR55" i="11"/>
  <c r="DS55" i="11" s="1"/>
  <c r="DL55" i="11"/>
  <c r="DM55" i="11" s="1"/>
  <c r="DR67" i="11"/>
  <c r="DS67" i="11" s="1"/>
  <c r="DL67" i="11"/>
  <c r="DM67" i="11" s="1"/>
  <c r="DR75" i="11"/>
  <c r="DS75" i="11" s="1"/>
  <c r="DL75" i="11"/>
  <c r="DM75" i="11" s="1"/>
  <c r="DZ91" i="11"/>
  <c r="EA91" i="11" s="1"/>
  <c r="DZ33" i="11"/>
  <c r="EA33" i="11" s="1"/>
  <c r="DR27" i="11"/>
  <c r="DS27" i="11" s="1"/>
  <c r="DL27" i="11"/>
  <c r="DM27" i="11" s="1"/>
  <c r="DR47" i="11"/>
  <c r="DS47" i="11" s="1"/>
  <c r="DL47" i="11"/>
  <c r="DM47" i="11" s="1"/>
  <c r="EF41" i="11"/>
  <c r="EG41" i="11" s="1"/>
  <c r="DR68" i="11"/>
  <c r="DS68" i="11" s="1"/>
  <c r="DL68" i="11"/>
  <c r="DM68" i="11" s="1"/>
  <c r="EF56" i="11"/>
  <c r="EG56" i="11" s="1"/>
  <c r="DR24" i="11"/>
  <c r="DS24" i="11" s="1"/>
  <c r="DL24" i="11"/>
  <c r="DM24" i="11" s="1"/>
  <c r="EF61" i="11"/>
  <c r="EG61" i="11" s="1"/>
  <c r="DZ95" i="11"/>
  <c r="EA95" i="11" s="1"/>
  <c r="DZ77" i="11"/>
  <c r="EA77" i="11" s="1"/>
  <c r="EF57" i="11"/>
  <c r="EG57" i="11" s="1"/>
  <c r="DT21" i="9"/>
  <c r="DU21" i="9" s="1"/>
  <c r="DH72" i="9"/>
  <c r="DI72" i="9" s="1"/>
  <c r="DT67" i="9"/>
  <c r="DU67" i="9" s="1"/>
  <c r="DH78" i="9"/>
  <c r="DI78" i="9" s="1"/>
  <c r="DH24" i="9"/>
  <c r="DI24" i="9" s="1"/>
  <c r="DH95" i="9"/>
  <c r="DI95" i="9" s="1"/>
  <c r="DH38" i="9"/>
  <c r="DI38" i="9" s="1"/>
  <c r="DN46" i="9"/>
  <c r="DO46" i="9" s="1"/>
  <c r="DN53" i="9"/>
  <c r="DO53" i="9" s="1"/>
  <c r="CT97" i="9"/>
  <c r="CU97" i="9" s="1"/>
  <c r="DH48" i="9"/>
  <c r="DI48" i="9" s="1"/>
  <c r="CT81" i="9"/>
  <c r="CU81" i="9" s="1"/>
  <c r="CT83" i="9"/>
  <c r="CU83" i="9" s="1"/>
  <c r="CT37" i="9"/>
  <c r="CU37" i="9" s="1"/>
  <c r="CT26" i="9"/>
  <c r="CU26" i="9" s="1"/>
  <c r="DT28" i="9"/>
  <c r="DU28" i="9" s="1"/>
  <c r="CT85" i="9"/>
  <c r="CU85" i="9" s="1"/>
  <c r="CT51" i="9"/>
  <c r="CU51" i="9" s="1"/>
  <c r="DH62" i="9"/>
  <c r="DI62" i="9" s="1"/>
  <c r="CT43" i="9"/>
  <c r="CU43" i="9" s="1"/>
  <c r="DH91" i="9"/>
  <c r="DI91" i="9" s="1"/>
  <c r="DH88" i="9"/>
  <c r="DI88" i="9" s="1"/>
  <c r="CT65" i="9"/>
  <c r="CU65" i="9" s="1"/>
  <c r="CT73" i="9"/>
  <c r="CU73" i="9" s="1"/>
  <c r="CT56" i="9"/>
  <c r="CU56" i="9" s="1"/>
  <c r="CT23" i="9"/>
  <c r="CU23" i="9" s="1"/>
  <c r="CT66" i="9"/>
  <c r="CU66" i="9" s="1"/>
  <c r="CT34" i="9"/>
  <c r="CU34" i="9" s="1"/>
  <c r="CT36" i="9"/>
  <c r="CU36" i="9" s="1"/>
  <c r="CT68" i="9"/>
  <c r="CU68" i="9" s="1"/>
  <c r="DH76" i="9"/>
  <c r="DI76" i="9" s="1"/>
  <c r="CT92" i="9"/>
  <c r="CU92" i="9" s="1"/>
  <c r="DH94" i="9"/>
  <c r="DI94" i="9" s="1"/>
  <c r="CT25" i="9"/>
  <c r="CU25" i="9" s="1"/>
  <c r="CT77" i="9"/>
  <c r="CU77" i="9" s="1"/>
  <c r="CT42" i="9"/>
  <c r="CU42" i="9" s="1"/>
  <c r="CT44" i="9"/>
  <c r="CU44" i="9" s="1"/>
  <c r="CT86" i="9"/>
  <c r="CU86" i="9" s="1"/>
  <c r="CT63" i="9"/>
  <c r="CU63" i="9" s="1"/>
  <c r="CT52" i="9"/>
  <c r="CU52" i="9" s="1"/>
  <c r="CT32" i="9"/>
  <c r="CU32" i="9" s="1"/>
  <c r="DH57" i="9"/>
  <c r="DI57" i="9" s="1"/>
  <c r="DH93" i="9"/>
  <c r="DI93" i="9" s="1"/>
  <c r="DH22" i="9"/>
  <c r="DI22" i="9" s="1"/>
  <c r="DH64" i="9"/>
  <c r="DI64" i="9" s="1"/>
  <c r="DH55" i="9"/>
  <c r="DI55" i="9" s="1"/>
  <c r="DH41" i="9"/>
  <c r="DI41" i="9" s="1"/>
  <c r="DH35" i="9"/>
  <c r="DI35" i="9" s="1"/>
  <c r="DH98" i="9"/>
  <c r="DI98" i="9" s="1"/>
  <c r="CT96" i="9"/>
  <c r="CU96" i="9" s="1"/>
  <c r="CT47" i="9"/>
  <c r="CU47" i="9" s="1"/>
  <c r="CT84" i="9"/>
  <c r="CU84" i="9" s="1"/>
  <c r="DH71" i="9"/>
  <c r="DI71" i="9" s="1"/>
  <c r="CT27" i="9"/>
  <c r="CU27" i="9" s="1"/>
  <c r="CT75" i="9"/>
  <c r="CU75" i="9" s="1"/>
  <c r="CT45" i="9"/>
  <c r="CU45" i="9" s="1"/>
  <c r="CT33" i="9"/>
  <c r="CU33" i="9" s="1"/>
  <c r="CT74" i="9"/>
  <c r="CU74" i="9" s="1"/>
  <c r="CT58" i="9"/>
  <c r="CU58" i="9" s="1"/>
  <c r="DN54" i="9"/>
  <c r="DO54" i="9" s="1"/>
  <c r="CT87" i="9"/>
  <c r="CU87" i="9" s="1"/>
  <c r="CT31" i="9"/>
  <c r="CU31" i="9" s="1"/>
  <c r="DH61" i="9"/>
  <c r="DI61" i="9" s="1"/>
  <c r="AT32" i="8"/>
  <c r="AU32" i="8" s="1"/>
  <c r="DK85" i="11" l="1"/>
  <c r="DF85" i="11"/>
  <c r="DG85" i="11" s="1"/>
  <c r="EK42" i="11"/>
  <c r="EF42" i="11"/>
  <c r="EG42" i="11" s="1"/>
  <c r="FE32" i="11"/>
  <c r="EZ32" i="11"/>
  <c r="FA32" i="11" s="1"/>
  <c r="EF63" i="11"/>
  <c r="EG63" i="11" s="1"/>
  <c r="DZ35" i="11"/>
  <c r="EA35" i="11" s="1"/>
  <c r="DZ47" i="11"/>
  <c r="EA47" i="11" s="1"/>
  <c r="DZ55" i="11"/>
  <c r="EA55" i="11" s="1"/>
  <c r="DZ58" i="11"/>
  <c r="EA58" i="11" s="1"/>
  <c r="DZ84" i="11"/>
  <c r="EA84" i="11" s="1"/>
  <c r="DR96" i="11"/>
  <c r="DS96" i="11" s="1"/>
  <c r="DL96" i="11"/>
  <c r="DM96" i="11" s="1"/>
  <c r="EF36" i="11"/>
  <c r="EG36" i="11" s="1"/>
  <c r="DZ37" i="11"/>
  <c r="EA37" i="11" s="1"/>
  <c r="EL61" i="11"/>
  <c r="EM61" i="11" s="1"/>
  <c r="EF45" i="11"/>
  <c r="EG45" i="11" s="1"/>
  <c r="DZ28" i="11"/>
  <c r="EA28" i="11" s="1"/>
  <c r="DZ94" i="11"/>
  <c r="EA94" i="11" s="1"/>
  <c r="DZ24" i="11"/>
  <c r="EA24" i="11" s="1"/>
  <c r="EF33" i="11"/>
  <c r="EG33" i="11" s="1"/>
  <c r="DZ34" i="11"/>
  <c r="EA34" i="11" s="1"/>
  <c r="DR83" i="11"/>
  <c r="DS83" i="11" s="1"/>
  <c r="DL83" i="11"/>
  <c r="DM83" i="11" s="1"/>
  <c r="DZ26" i="11"/>
  <c r="EA26" i="11" s="1"/>
  <c r="EF93" i="11"/>
  <c r="EG93" i="11" s="1"/>
  <c r="EL88" i="11"/>
  <c r="EM88" i="11" s="1"/>
  <c r="EF62" i="11"/>
  <c r="EG62" i="11" s="1"/>
  <c r="EL71" i="11"/>
  <c r="EM71" i="11" s="1"/>
  <c r="EL51" i="11"/>
  <c r="EM51" i="11" s="1"/>
  <c r="EF95" i="11"/>
  <c r="EG95" i="11" s="1"/>
  <c r="DR64" i="11"/>
  <c r="DS64" i="11" s="1"/>
  <c r="DL64" i="11"/>
  <c r="DM64" i="11" s="1"/>
  <c r="EF53" i="11"/>
  <c r="EG53" i="11" s="1"/>
  <c r="DZ72" i="11"/>
  <c r="EA72" i="11" s="1"/>
  <c r="EL31" i="11"/>
  <c r="EM31" i="11" s="1"/>
  <c r="EF46" i="11"/>
  <c r="EG46" i="11" s="1"/>
  <c r="EF92" i="11"/>
  <c r="EG92" i="11" s="1"/>
  <c r="DZ38" i="11"/>
  <c r="EA38" i="11" s="1"/>
  <c r="EF66" i="11"/>
  <c r="EG66" i="11" s="1"/>
  <c r="DZ44" i="11"/>
  <c r="EA44" i="11" s="1"/>
  <c r="EF91" i="11"/>
  <c r="EG91" i="11" s="1"/>
  <c r="DZ68" i="11"/>
  <c r="EA68" i="11" s="1"/>
  <c r="DZ67" i="11"/>
  <c r="EA67" i="11" s="1"/>
  <c r="DZ86" i="11"/>
  <c r="EA86" i="11" s="1"/>
  <c r="EF74" i="11"/>
  <c r="EG74" i="11" s="1"/>
  <c r="EL57" i="11"/>
  <c r="EM57" i="11" s="1"/>
  <c r="EL41" i="11"/>
  <c r="EM41" i="11" s="1"/>
  <c r="EF81" i="11"/>
  <c r="EG81" i="11" s="1"/>
  <c r="EF82" i="11"/>
  <c r="EG82" i="11" s="1"/>
  <c r="EF25" i="11"/>
  <c r="EG25" i="11" s="1"/>
  <c r="DZ27" i="11"/>
  <c r="EA27" i="11" s="1"/>
  <c r="EF52" i="11"/>
  <c r="EG52" i="11" s="1"/>
  <c r="DZ75" i="11"/>
  <c r="EA75" i="11" s="1"/>
  <c r="EF73" i="11"/>
  <c r="EG73" i="11" s="1"/>
  <c r="DZ78" i="11"/>
  <c r="EA78" i="11" s="1"/>
  <c r="EL48" i="11"/>
  <c r="EM48" i="11" s="1"/>
  <c r="EL23" i="11"/>
  <c r="EM23" i="11" s="1"/>
  <c r="DZ97" i="11"/>
  <c r="EA97" i="11" s="1"/>
  <c r="EL56" i="11"/>
  <c r="EM56" i="11" s="1"/>
  <c r="EF77" i="11"/>
  <c r="EG77" i="11" s="1"/>
  <c r="DR22" i="11"/>
  <c r="DS22" i="11" s="1"/>
  <c r="DL22" i="11"/>
  <c r="DM22" i="11" s="1"/>
  <c r="EB67" i="9"/>
  <c r="EC67" i="9" s="1"/>
  <c r="DN72" i="9"/>
  <c r="DO72" i="9" s="1"/>
  <c r="DN38" i="9"/>
  <c r="DO38" i="9" s="1"/>
  <c r="DN95" i="9"/>
  <c r="DO95" i="9" s="1"/>
  <c r="DT53" i="9"/>
  <c r="DU53" i="9" s="1"/>
  <c r="DN24" i="9"/>
  <c r="DO24" i="9" s="1"/>
  <c r="DT46" i="9"/>
  <c r="DU46" i="9" s="1"/>
  <c r="DN78" i="9"/>
  <c r="DO78" i="9" s="1"/>
  <c r="DH97" i="9"/>
  <c r="DI97" i="9" s="1"/>
  <c r="DN48" i="9"/>
  <c r="DO48" i="9" s="1"/>
  <c r="DH83" i="9"/>
  <c r="DI83" i="9" s="1"/>
  <c r="DH81" i="9"/>
  <c r="DI81" i="9" s="1"/>
  <c r="DH37" i="9"/>
  <c r="DI37" i="9" s="1"/>
  <c r="EB28" i="9"/>
  <c r="EC28" i="9" s="1"/>
  <c r="DH26" i="9"/>
  <c r="DI26" i="9" s="1"/>
  <c r="DH65" i="9"/>
  <c r="DI65" i="9" s="1"/>
  <c r="DN41" i="9"/>
  <c r="DO41" i="9" s="1"/>
  <c r="DH34" i="9"/>
  <c r="DI34" i="9" s="1"/>
  <c r="DH92" i="9"/>
  <c r="DI92" i="9" s="1"/>
  <c r="DH52" i="9"/>
  <c r="DI52" i="9" s="1"/>
  <c r="DH75" i="9"/>
  <c r="DI75" i="9" s="1"/>
  <c r="DH68" i="9"/>
  <c r="DI68" i="9" s="1"/>
  <c r="DH44" i="9"/>
  <c r="DI44" i="9" s="1"/>
  <c r="DH86" i="9"/>
  <c r="DI86" i="9" s="1"/>
  <c r="DH87" i="9"/>
  <c r="DI87" i="9" s="1"/>
  <c r="DH45" i="9"/>
  <c r="DI45" i="9" s="1"/>
  <c r="DH63" i="9"/>
  <c r="DI63" i="9" s="1"/>
  <c r="DN61" i="9"/>
  <c r="DO61" i="9" s="1"/>
  <c r="DN55" i="9"/>
  <c r="DO55" i="9" s="1"/>
  <c r="DH36" i="9"/>
  <c r="DI36" i="9" s="1"/>
  <c r="DN22" i="9"/>
  <c r="DO22" i="9" s="1"/>
  <c r="DH58" i="9"/>
  <c r="DI58" i="9" s="1"/>
  <c r="DN93" i="9"/>
  <c r="DO93" i="9" s="1"/>
  <c r="DH77" i="9"/>
  <c r="DI77" i="9" s="1"/>
  <c r="DH66" i="9"/>
  <c r="DI66" i="9" s="1"/>
  <c r="DN62" i="9"/>
  <c r="DO62" i="9" s="1"/>
  <c r="DH73" i="9"/>
  <c r="DI73" i="9" s="1"/>
  <c r="DN76" i="9"/>
  <c r="DO76" i="9" s="1"/>
  <c r="DH27" i="9"/>
  <c r="DI27" i="9" s="1"/>
  <c r="DN64" i="9"/>
  <c r="DO64" i="9" s="1"/>
  <c r="DH43" i="9"/>
  <c r="DI43" i="9" s="1"/>
  <c r="DN57" i="9"/>
  <c r="DO57" i="9" s="1"/>
  <c r="DH51" i="9"/>
  <c r="DI51" i="9" s="1"/>
  <c r="DN35" i="9"/>
  <c r="DO35" i="9" s="1"/>
  <c r="DN71" i="9"/>
  <c r="DO71" i="9" s="1"/>
  <c r="DH47" i="9"/>
  <c r="DI47" i="9" s="1"/>
  <c r="DH74" i="9"/>
  <c r="DI74" i="9" s="1"/>
  <c r="DH96" i="9"/>
  <c r="DI96" i="9" s="1"/>
  <c r="DH25" i="9"/>
  <c r="DI25" i="9" s="1"/>
  <c r="DH23" i="9"/>
  <c r="DI23" i="9" s="1"/>
  <c r="DH31" i="9"/>
  <c r="DI31" i="9" s="1"/>
  <c r="DN91" i="9"/>
  <c r="DO91" i="9" s="1"/>
  <c r="DH42" i="9"/>
  <c r="DI42" i="9" s="1"/>
  <c r="DH84" i="9"/>
  <c r="DI84" i="9" s="1"/>
  <c r="DH33" i="9"/>
  <c r="DI33" i="9" s="1"/>
  <c r="DN98" i="9"/>
  <c r="DO98" i="9" s="1"/>
  <c r="DN88" i="9"/>
  <c r="DO88" i="9" s="1"/>
  <c r="DT54" i="9"/>
  <c r="DU54" i="9" s="1"/>
  <c r="DH32" i="9"/>
  <c r="DI32" i="9" s="1"/>
  <c r="DN94" i="9"/>
  <c r="DO94" i="9" s="1"/>
  <c r="DH56" i="9"/>
  <c r="DI56" i="9" s="1"/>
  <c r="DH85" i="9"/>
  <c r="DI85" i="9" s="1"/>
  <c r="EB21" i="9"/>
  <c r="EC21" i="9" s="1"/>
  <c r="AZ31" i="8"/>
  <c r="BA31" i="8" s="1"/>
  <c r="ES42" i="11" l="1"/>
  <c r="EL42" i="11"/>
  <c r="EM42" i="11" s="1"/>
  <c r="DY85" i="11"/>
  <c r="DQ85" i="11"/>
  <c r="DR85" i="11" s="1"/>
  <c r="DS85" i="11" s="1"/>
  <c r="DL85" i="11"/>
  <c r="DM85" i="11" s="1"/>
  <c r="FK32" i="11"/>
  <c r="FL32" i="11" s="1"/>
  <c r="FM32" i="11" s="1"/>
  <c r="FF32" i="11"/>
  <c r="FG32" i="11" s="1"/>
  <c r="EL63" i="11"/>
  <c r="EM63" i="11" s="1"/>
  <c r="EF35" i="11"/>
  <c r="EG35" i="11" s="1"/>
  <c r="DZ83" i="11"/>
  <c r="EA83" i="11" s="1"/>
  <c r="EL36" i="11"/>
  <c r="EM36" i="11" s="1"/>
  <c r="ET56" i="11"/>
  <c r="EU56" i="11" s="1"/>
  <c r="EF75" i="11"/>
  <c r="EG75" i="11" s="1"/>
  <c r="EL74" i="11"/>
  <c r="EM74" i="11" s="1"/>
  <c r="EL92" i="11"/>
  <c r="EM92" i="11" s="1"/>
  <c r="ET51" i="11"/>
  <c r="EU51" i="11" s="1"/>
  <c r="EF34" i="11"/>
  <c r="EG34" i="11" s="1"/>
  <c r="ET41" i="11"/>
  <c r="EU41" i="11" s="1"/>
  <c r="DZ96" i="11"/>
  <c r="EA96" i="11" s="1"/>
  <c r="EL95" i="11"/>
  <c r="EM95" i="11" s="1"/>
  <c r="EL52" i="11"/>
  <c r="EM52" i="11" s="1"/>
  <c r="EF86" i="11"/>
  <c r="EG86" i="11" s="1"/>
  <c r="EL46" i="11"/>
  <c r="EM46" i="11" s="1"/>
  <c r="EL33" i="11"/>
  <c r="EM33" i="11" s="1"/>
  <c r="ET57" i="11"/>
  <c r="EU57" i="11" s="1"/>
  <c r="ET71" i="11"/>
  <c r="EU71" i="11" s="1"/>
  <c r="EF38" i="11"/>
  <c r="EG38" i="11" s="1"/>
  <c r="EF97" i="11"/>
  <c r="EG97" i="11" s="1"/>
  <c r="EF27" i="11"/>
  <c r="EG27" i="11" s="1"/>
  <c r="EF67" i="11"/>
  <c r="EG67" i="11" s="1"/>
  <c r="ET31" i="11"/>
  <c r="EU31" i="11" s="1"/>
  <c r="EF24" i="11"/>
  <c r="EG24" i="11" s="1"/>
  <c r="EL77" i="11"/>
  <c r="EM77" i="11" s="1"/>
  <c r="EL62" i="11"/>
  <c r="EM62" i="11" s="1"/>
  <c r="EF84" i="11"/>
  <c r="EG84" i="11" s="1"/>
  <c r="EL73" i="11"/>
  <c r="EM73" i="11" s="1"/>
  <c r="ET23" i="11"/>
  <c r="EU23" i="11" s="1"/>
  <c r="EL25" i="11"/>
  <c r="EM25" i="11" s="1"/>
  <c r="EF68" i="11"/>
  <c r="EG68" i="11" s="1"/>
  <c r="EF72" i="11"/>
  <c r="EG72" i="11" s="1"/>
  <c r="EF94" i="11"/>
  <c r="EG94" i="11" s="1"/>
  <c r="ET88" i="11"/>
  <c r="EU88" i="11" s="1"/>
  <c r="EF58" i="11"/>
  <c r="EG58" i="11" s="1"/>
  <c r="ET48" i="11"/>
  <c r="EU48" i="11" s="1"/>
  <c r="EL82" i="11"/>
  <c r="EM82" i="11" s="1"/>
  <c r="EL91" i="11"/>
  <c r="EM91" i="11" s="1"/>
  <c r="EL53" i="11"/>
  <c r="EM53" i="11" s="1"/>
  <c r="EF28" i="11"/>
  <c r="EG28" i="11" s="1"/>
  <c r="DZ64" i="11"/>
  <c r="EA64" i="11" s="1"/>
  <c r="EL93" i="11"/>
  <c r="EM93" i="11" s="1"/>
  <c r="EL45" i="11"/>
  <c r="EM45" i="11" s="1"/>
  <c r="EF55" i="11"/>
  <c r="EG55" i="11" s="1"/>
  <c r="EF37" i="11"/>
  <c r="EG37" i="11" s="1"/>
  <c r="EF78" i="11"/>
  <c r="EG78" i="11" s="1"/>
  <c r="EL81" i="11"/>
  <c r="EM81" i="11" s="1"/>
  <c r="EF44" i="11"/>
  <c r="EG44" i="11" s="1"/>
  <c r="DZ22" i="11"/>
  <c r="EA22" i="11" s="1"/>
  <c r="EL66" i="11"/>
  <c r="EM66" i="11" s="1"/>
  <c r="EF26" i="11"/>
  <c r="EG26" i="11" s="1"/>
  <c r="ET61" i="11"/>
  <c r="EU61" i="11" s="1"/>
  <c r="EF47" i="11"/>
  <c r="EG47" i="11" s="1"/>
  <c r="DT72" i="9"/>
  <c r="DU72" i="9" s="1"/>
  <c r="EH67" i="9"/>
  <c r="EI67" i="9" s="1"/>
  <c r="EB46" i="9"/>
  <c r="EC46" i="9" s="1"/>
  <c r="DT24" i="9"/>
  <c r="DU24" i="9" s="1"/>
  <c r="EB53" i="9"/>
  <c r="EC53" i="9" s="1"/>
  <c r="DT78" i="9"/>
  <c r="DU78" i="9" s="1"/>
  <c r="DT95" i="9"/>
  <c r="DU95" i="9" s="1"/>
  <c r="DT38" i="9"/>
  <c r="DU38" i="9" s="1"/>
  <c r="DN97" i="9"/>
  <c r="DO97" i="9" s="1"/>
  <c r="DT48" i="9"/>
  <c r="DU48" i="9" s="1"/>
  <c r="DN81" i="9"/>
  <c r="DO81" i="9" s="1"/>
  <c r="DN83" i="9"/>
  <c r="DO83" i="9" s="1"/>
  <c r="DN37" i="9"/>
  <c r="DO37" i="9" s="1"/>
  <c r="DN26" i="9"/>
  <c r="DO26" i="9" s="1"/>
  <c r="EH28" i="9"/>
  <c r="EI28" i="9" s="1"/>
  <c r="DN85" i="9"/>
  <c r="DO85" i="9" s="1"/>
  <c r="DN36" i="9"/>
  <c r="DO36" i="9" s="1"/>
  <c r="DN68" i="9"/>
  <c r="DO68" i="9" s="1"/>
  <c r="DN33" i="9"/>
  <c r="DO33" i="9" s="1"/>
  <c r="DN44" i="9"/>
  <c r="DO44" i="9" s="1"/>
  <c r="DT62" i="9"/>
  <c r="DU62" i="9" s="1"/>
  <c r="DN74" i="9"/>
  <c r="DO74" i="9" s="1"/>
  <c r="DN52" i="9"/>
  <c r="DO52" i="9" s="1"/>
  <c r="DN84" i="9"/>
  <c r="DO84" i="9" s="1"/>
  <c r="DN92" i="9"/>
  <c r="DO92" i="9" s="1"/>
  <c r="DN56" i="9"/>
  <c r="DO56" i="9" s="1"/>
  <c r="DN32" i="9"/>
  <c r="DO32" i="9" s="1"/>
  <c r="EB31" i="9"/>
  <c r="DN31" i="9"/>
  <c r="DO31" i="9" s="1"/>
  <c r="DN51" i="9"/>
  <c r="DO51" i="9" s="1"/>
  <c r="DN63" i="9"/>
  <c r="DO63" i="9" s="1"/>
  <c r="DN75" i="9"/>
  <c r="DO75" i="9" s="1"/>
  <c r="DT57" i="9"/>
  <c r="DU57" i="9" s="1"/>
  <c r="DN77" i="9"/>
  <c r="DO77" i="9" s="1"/>
  <c r="DN45" i="9"/>
  <c r="DO45" i="9" s="1"/>
  <c r="DT71" i="9"/>
  <c r="DU71" i="9" s="1"/>
  <c r="DT94" i="9"/>
  <c r="DU94" i="9" s="1"/>
  <c r="DT35" i="9"/>
  <c r="DU35" i="9" s="1"/>
  <c r="DN34" i="9"/>
  <c r="DO34" i="9" s="1"/>
  <c r="DN27" i="9"/>
  <c r="DO27" i="9" s="1"/>
  <c r="DN73" i="9"/>
  <c r="DO73" i="9" s="1"/>
  <c r="EB54" i="9"/>
  <c r="EC54" i="9" s="1"/>
  <c r="DN25" i="9"/>
  <c r="DO25" i="9" s="1"/>
  <c r="DT93" i="9"/>
  <c r="DU93" i="9" s="1"/>
  <c r="DN47" i="9"/>
  <c r="DO47" i="9" s="1"/>
  <c r="DT91" i="9"/>
  <c r="DU91" i="9" s="1"/>
  <c r="DT88" i="9"/>
  <c r="DU88" i="9" s="1"/>
  <c r="DN43" i="9"/>
  <c r="DO43" i="9" s="1"/>
  <c r="DN87" i="9"/>
  <c r="DO87" i="9" s="1"/>
  <c r="DT41" i="9"/>
  <c r="DU41" i="9" s="1"/>
  <c r="DT22" i="9"/>
  <c r="DU22" i="9" s="1"/>
  <c r="DN42" i="9"/>
  <c r="DO42" i="9" s="1"/>
  <c r="DT61" i="9"/>
  <c r="DU61" i="9" s="1"/>
  <c r="DN66" i="9"/>
  <c r="DO66" i="9" s="1"/>
  <c r="DN23" i="9"/>
  <c r="DO23" i="9" s="1"/>
  <c r="DT76" i="9"/>
  <c r="DU76" i="9" s="1"/>
  <c r="DT55" i="9"/>
  <c r="DU55" i="9" s="1"/>
  <c r="DT98" i="9"/>
  <c r="DU98" i="9" s="1"/>
  <c r="DN96" i="9"/>
  <c r="DO96" i="9" s="1"/>
  <c r="DT64" i="9"/>
  <c r="DU64" i="9" s="1"/>
  <c r="DN58" i="9"/>
  <c r="DO58" i="9" s="1"/>
  <c r="DN86" i="9"/>
  <c r="DO86" i="9" s="1"/>
  <c r="DN65" i="9"/>
  <c r="DO65" i="9" s="1"/>
  <c r="EH21" i="9"/>
  <c r="EI21" i="9" s="1"/>
  <c r="AZ36" i="8"/>
  <c r="BA36" i="8" s="1"/>
  <c r="AZ37" i="8"/>
  <c r="BA37" i="8" s="1"/>
  <c r="AZ38" i="8"/>
  <c r="BA38" i="8" s="1"/>
  <c r="BS38" i="8"/>
  <c r="BY38" i="8" s="1"/>
  <c r="AZ33" i="8"/>
  <c r="BA33" i="8" s="1"/>
  <c r="AZ35" i="8"/>
  <c r="BA35" i="8" s="1"/>
  <c r="AZ34" i="8"/>
  <c r="BA34" i="8" s="1"/>
  <c r="BS34" i="8"/>
  <c r="BY34" i="8" s="1"/>
  <c r="AZ32" i="8"/>
  <c r="BA32" i="8" s="1"/>
  <c r="BN38" i="8"/>
  <c r="BO38" i="8" s="1"/>
  <c r="BN31" i="8"/>
  <c r="BO31" i="8" s="1"/>
  <c r="EE85" i="11" l="1"/>
  <c r="DZ85" i="11"/>
  <c r="EA85" i="11" s="1"/>
  <c r="EY42" i="11"/>
  <c r="ET42" i="11"/>
  <c r="EU42" i="11" s="1"/>
  <c r="ET63" i="11"/>
  <c r="EU63" i="11" s="1"/>
  <c r="EL35" i="11"/>
  <c r="EM35" i="11" s="1"/>
  <c r="ET53" i="11"/>
  <c r="EU53" i="11" s="1"/>
  <c r="ET91" i="11"/>
  <c r="EU91" i="11" s="1"/>
  <c r="EL68" i="11"/>
  <c r="EM68" i="11" s="1"/>
  <c r="EL47" i="11"/>
  <c r="EM47" i="11" s="1"/>
  <c r="EZ61" i="11"/>
  <c r="FA61" i="11" s="1"/>
  <c r="EZ48" i="11"/>
  <c r="FA48" i="11" s="1"/>
  <c r="ET73" i="11"/>
  <c r="EU73" i="11" s="1"/>
  <c r="EL27" i="11"/>
  <c r="EM27" i="11" s="1"/>
  <c r="ET52" i="11"/>
  <c r="EU52" i="11" s="1"/>
  <c r="ET74" i="11"/>
  <c r="EU74" i="11" s="1"/>
  <c r="EZ31" i="11"/>
  <c r="FA31" i="11" s="1"/>
  <c r="ET92" i="11"/>
  <c r="EU92" i="11" s="1"/>
  <c r="ET45" i="11"/>
  <c r="EU45" i="11" s="1"/>
  <c r="EL58" i="11"/>
  <c r="EM58" i="11" s="1"/>
  <c r="EL84" i="11"/>
  <c r="EM84" i="11" s="1"/>
  <c r="EL97" i="11"/>
  <c r="EM97" i="11" s="1"/>
  <c r="ET95" i="11"/>
  <c r="EU95" i="11" s="1"/>
  <c r="EL75" i="11"/>
  <c r="EM75" i="11" s="1"/>
  <c r="ET46" i="11"/>
  <c r="EU46" i="11" s="1"/>
  <c r="EL67" i="11"/>
  <c r="EM67" i="11" s="1"/>
  <c r="ET62" i="11"/>
  <c r="EU62" i="11" s="1"/>
  <c r="ET81" i="11"/>
  <c r="EU81" i="11" s="1"/>
  <c r="EL24" i="11"/>
  <c r="EM24" i="11" s="1"/>
  <c r="EL37" i="11"/>
  <c r="EM37" i="11" s="1"/>
  <c r="ET66" i="11"/>
  <c r="EU66" i="11" s="1"/>
  <c r="ET93" i="11"/>
  <c r="EU93" i="11" s="1"/>
  <c r="EZ88" i="11"/>
  <c r="FA88" i="11" s="1"/>
  <c r="EL38" i="11"/>
  <c r="EM38" i="11" s="1"/>
  <c r="EF96" i="11"/>
  <c r="EG96" i="11" s="1"/>
  <c r="EZ56" i="11"/>
  <c r="FA56" i="11" s="1"/>
  <c r="EL78" i="11"/>
  <c r="EM78" i="11" s="1"/>
  <c r="EZ71" i="11"/>
  <c r="FA71" i="11" s="1"/>
  <c r="EL34" i="11"/>
  <c r="EM34" i="11" s="1"/>
  <c r="ET82" i="11"/>
  <c r="EU82" i="11" s="1"/>
  <c r="EF22" i="11"/>
  <c r="EG22" i="11" s="1"/>
  <c r="EF64" i="11"/>
  <c r="EG64" i="11" s="1"/>
  <c r="EL94" i="11"/>
  <c r="EM94" i="11" s="1"/>
  <c r="ET36" i="11"/>
  <c r="EU36" i="11" s="1"/>
  <c r="ET33" i="11"/>
  <c r="EU33" i="11" s="1"/>
  <c r="EZ51" i="11"/>
  <c r="FA51" i="11" s="1"/>
  <c r="EZ23" i="11"/>
  <c r="FA23" i="11" s="1"/>
  <c r="EL44" i="11"/>
  <c r="EM44" i="11" s="1"/>
  <c r="ET77" i="11"/>
  <c r="EU77" i="11" s="1"/>
  <c r="ET25" i="11"/>
  <c r="EU25" i="11" s="1"/>
  <c r="EL86" i="11"/>
  <c r="EM86" i="11" s="1"/>
  <c r="EL55" i="11"/>
  <c r="EM55" i="11" s="1"/>
  <c r="EL26" i="11"/>
  <c r="EM26" i="11" s="1"/>
  <c r="EL28" i="11"/>
  <c r="EM28" i="11" s="1"/>
  <c r="EL72" i="11"/>
  <c r="EM72" i="11" s="1"/>
  <c r="EZ57" i="11"/>
  <c r="FA57" i="11" s="1"/>
  <c r="EZ41" i="11"/>
  <c r="FA41" i="11" s="1"/>
  <c r="EF83" i="11"/>
  <c r="EG83" i="11" s="1"/>
  <c r="EN21" i="9"/>
  <c r="EO21" i="9" s="1"/>
  <c r="ET21" i="9"/>
  <c r="EU21" i="9" s="1"/>
  <c r="EN28" i="9"/>
  <c r="EO28" i="9" s="1"/>
  <c r="ET28" i="9"/>
  <c r="EU28" i="9" s="1"/>
  <c r="EN67" i="9"/>
  <c r="EO67" i="9" s="1"/>
  <c r="ET67" i="9"/>
  <c r="EU67" i="9" s="1"/>
  <c r="EB72" i="9"/>
  <c r="EC72" i="9" s="1"/>
  <c r="EB95" i="9"/>
  <c r="EC95" i="9" s="1"/>
  <c r="EB78" i="9"/>
  <c r="EC78" i="9" s="1"/>
  <c r="EH53" i="9"/>
  <c r="EI53" i="9" s="1"/>
  <c r="EB24" i="9"/>
  <c r="EC24" i="9" s="1"/>
  <c r="EB38" i="9"/>
  <c r="EC38" i="9" s="1"/>
  <c r="EH46" i="9"/>
  <c r="EI46" i="9" s="1"/>
  <c r="DT97" i="9"/>
  <c r="DU97" i="9" s="1"/>
  <c r="EB48" i="9"/>
  <c r="EC48" i="9" s="1"/>
  <c r="DT83" i="9"/>
  <c r="DU83" i="9" s="1"/>
  <c r="DT81" i="9"/>
  <c r="DU81" i="9" s="1"/>
  <c r="EB81" i="9"/>
  <c r="DT37" i="9"/>
  <c r="DU37" i="9" s="1"/>
  <c r="DT26" i="9"/>
  <c r="DU26" i="9" s="1"/>
  <c r="EB88" i="9"/>
  <c r="EC88" i="9" s="1"/>
  <c r="DT74" i="9"/>
  <c r="DU74" i="9" s="1"/>
  <c r="EB35" i="9"/>
  <c r="EC35" i="9" s="1"/>
  <c r="EB62" i="9"/>
  <c r="EC62" i="9" s="1"/>
  <c r="EB76" i="9"/>
  <c r="EC76" i="9" s="1"/>
  <c r="DT75" i="9"/>
  <c r="DU75" i="9" s="1"/>
  <c r="DT86" i="9"/>
  <c r="DU86" i="9" s="1"/>
  <c r="DT47" i="9"/>
  <c r="DU47" i="9" s="1"/>
  <c r="DT31" i="9"/>
  <c r="DU31" i="9" s="1"/>
  <c r="DT44" i="9"/>
  <c r="DU44" i="9" s="1"/>
  <c r="DT52" i="9"/>
  <c r="DU52" i="9" s="1"/>
  <c r="EB64" i="9"/>
  <c r="EC64" i="9" s="1"/>
  <c r="DT42" i="9"/>
  <c r="DU42" i="9" s="1"/>
  <c r="EB93" i="9"/>
  <c r="EC93" i="9" s="1"/>
  <c r="EB71" i="9"/>
  <c r="EC71" i="9" s="1"/>
  <c r="DT32" i="9"/>
  <c r="DU32" i="9" s="1"/>
  <c r="DT27" i="9"/>
  <c r="DU27" i="9" s="1"/>
  <c r="EB94" i="9"/>
  <c r="EC94" i="9" s="1"/>
  <c r="DT33" i="9"/>
  <c r="DU33" i="9" s="1"/>
  <c r="DT63" i="9"/>
  <c r="DU63" i="9" s="1"/>
  <c r="EB22" i="9"/>
  <c r="EC22" i="9" s="1"/>
  <c r="DT45" i="9"/>
  <c r="DU45" i="9" s="1"/>
  <c r="DT56" i="9"/>
  <c r="DU56" i="9" s="1"/>
  <c r="DT68" i="9"/>
  <c r="DU68" i="9" s="1"/>
  <c r="EB61" i="9"/>
  <c r="EC61" i="9" s="1"/>
  <c r="DT25" i="9"/>
  <c r="DU25" i="9" s="1"/>
  <c r="DT43" i="9"/>
  <c r="DU43" i="9" s="1"/>
  <c r="DT34" i="9"/>
  <c r="DU34" i="9" s="1"/>
  <c r="DT51" i="9"/>
  <c r="DU51" i="9" s="1"/>
  <c r="DT96" i="9"/>
  <c r="DU96" i="9" s="1"/>
  <c r="EB98" i="9"/>
  <c r="EC98" i="9" s="1"/>
  <c r="EB41" i="9"/>
  <c r="EC41" i="9" s="1"/>
  <c r="DT77" i="9"/>
  <c r="DU77" i="9" s="1"/>
  <c r="DT92" i="9"/>
  <c r="DU92" i="9" s="1"/>
  <c r="DT58" i="9"/>
  <c r="DU58" i="9" s="1"/>
  <c r="EH54" i="9"/>
  <c r="EI54" i="9" s="1"/>
  <c r="DT36" i="9"/>
  <c r="DU36" i="9" s="1"/>
  <c r="DT23" i="9"/>
  <c r="DU23" i="9" s="1"/>
  <c r="DT66" i="9"/>
  <c r="DU66" i="9" s="1"/>
  <c r="EB55" i="9"/>
  <c r="EC55" i="9" s="1"/>
  <c r="EB57" i="9"/>
  <c r="EC57" i="9" s="1"/>
  <c r="DT84" i="9"/>
  <c r="DU84" i="9" s="1"/>
  <c r="DT85" i="9"/>
  <c r="DU85" i="9" s="1"/>
  <c r="DT65" i="9"/>
  <c r="DU65" i="9" s="1"/>
  <c r="EB91" i="9"/>
  <c r="EC91" i="9" s="1"/>
  <c r="DT87" i="9"/>
  <c r="DU87" i="9" s="1"/>
  <c r="DT73" i="9"/>
  <c r="DU73" i="9" s="1"/>
  <c r="BN34" i="8"/>
  <c r="BO34" i="8" s="1"/>
  <c r="BN37" i="8"/>
  <c r="BO37" i="8" s="1"/>
  <c r="BS37" i="8"/>
  <c r="BY37" i="8" s="1"/>
  <c r="BN36" i="8"/>
  <c r="BO36" i="8" s="1"/>
  <c r="BS36" i="8"/>
  <c r="BY36" i="8" s="1"/>
  <c r="BN32" i="8"/>
  <c r="BO32" i="8" s="1"/>
  <c r="BS32" i="8"/>
  <c r="BY32" i="8" s="1"/>
  <c r="BN35" i="8"/>
  <c r="BO35" i="8" s="1"/>
  <c r="BS35" i="8"/>
  <c r="BY35" i="8" s="1"/>
  <c r="BN33" i="8"/>
  <c r="BO33" i="8" s="1"/>
  <c r="BS33" i="8"/>
  <c r="BY33" i="8" s="1"/>
  <c r="BT38" i="8"/>
  <c r="BU38" i="8" s="1"/>
  <c r="BT32" i="8"/>
  <c r="BU32" i="8" s="1"/>
  <c r="BT31" i="8"/>
  <c r="BU31" i="8" s="1"/>
  <c r="BT34" i="8"/>
  <c r="BU34" i="8" s="1"/>
  <c r="FE42" i="11" l="1"/>
  <c r="EZ42" i="11"/>
  <c r="FA42" i="11" s="1"/>
  <c r="EK85" i="11"/>
  <c r="EF85" i="11"/>
  <c r="EG85" i="11" s="1"/>
  <c r="EZ63" i="11"/>
  <c r="FA63" i="11" s="1"/>
  <c r="ET35" i="11"/>
  <c r="EU35" i="11" s="1"/>
  <c r="ET55" i="11"/>
  <c r="EU55" i="11" s="1"/>
  <c r="EZ36" i="11"/>
  <c r="FA36" i="11" s="1"/>
  <c r="ET78" i="11"/>
  <c r="EU78" i="11" s="1"/>
  <c r="ET24" i="11"/>
  <c r="EU24" i="11" s="1"/>
  <c r="ET84" i="11"/>
  <c r="EU84" i="11" s="1"/>
  <c r="EZ73" i="11"/>
  <c r="FA73" i="11" s="1"/>
  <c r="ET27" i="11"/>
  <c r="EU27" i="11" s="1"/>
  <c r="EZ25" i="11"/>
  <c r="FA25" i="11" s="1"/>
  <c r="ET94" i="11"/>
  <c r="EU94" i="11" s="1"/>
  <c r="FL61" i="11"/>
  <c r="FM61" i="11" s="1"/>
  <c r="FF61" i="11"/>
  <c r="FG61" i="11" s="1"/>
  <c r="EL83" i="11"/>
  <c r="EM83" i="11" s="1"/>
  <c r="EL96" i="11"/>
  <c r="EM96" i="11" s="1"/>
  <c r="EZ62" i="11"/>
  <c r="FA62" i="11" s="1"/>
  <c r="EZ45" i="11"/>
  <c r="FA45" i="11" s="1"/>
  <c r="ET47" i="11"/>
  <c r="EU47" i="11" s="1"/>
  <c r="ET26" i="11"/>
  <c r="EU26" i="11" s="1"/>
  <c r="ET58" i="11"/>
  <c r="EU58" i="11" s="1"/>
  <c r="FL41" i="11"/>
  <c r="FM41" i="11" s="1"/>
  <c r="FF41" i="11"/>
  <c r="FG41" i="11" s="1"/>
  <c r="EZ77" i="11"/>
  <c r="FA77" i="11" s="1"/>
  <c r="EL64" i="11"/>
  <c r="EM64" i="11" s="1"/>
  <c r="ET38" i="11"/>
  <c r="EU38" i="11" s="1"/>
  <c r="ET67" i="11"/>
  <c r="EU67" i="11" s="1"/>
  <c r="EZ92" i="11"/>
  <c r="FA92" i="11" s="1"/>
  <c r="FL71" i="11"/>
  <c r="FM71" i="11" s="1"/>
  <c r="FF71" i="11"/>
  <c r="FG71" i="11" s="1"/>
  <c r="FF48" i="11"/>
  <c r="FG48" i="11" s="1"/>
  <c r="FL48" i="11"/>
  <c r="FM48" i="11" s="1"/>
  <c r="EZ46" i="11"/>
  <c r="FA46" i="11" s="1"/>
  <c r="FL31" i="11"/>
  <c r="FM31" i="11" s="1"/>
  <c r="FF31" i="11"/>
  <c r="FG31" i="11" s="1"/>
  <c r="ET37" i="11"/>
  <c r="EU37" i="11" s="1"/>
  <c r="FL57" i="11"/>
  <c r="FM57" i="11" s="1"/>
  <c r="FF57" i="11"/>
  <c r="FG57" i="11" s="1"/>
  <c r="ET44" i="11"/>
  <c r="EU44" i="11" s="1"/>
  <c r="EL22" i="11"/>
  <c r="EM22" i="11" s="1"/>
  <c r="FL88" i="11"/>
  <c r="FM88" i="11" s="1"/>
  <c r="FF88" i="11"/>
  <c r="FG88" i="11" s="1"/>
  <c r="ET68" i="11"/>
  <c r="EU68" i="11" s="1"/>
  <c r="EZ33" i="11"/>
  <c r="FA33" i="11" s="1"/>
  <c r="FL56" i="11"/>
  <c r="FM56" i="11" s="1"/>
  <c r="FF56" i="11"/>
  <c r="FG56" i="11" s="1"/>
  <c r="ET72" i="11"/>
  <c r="EU72" i="11" s="1"/>
  <c r="ET75" i="11"/>
  <c r="EU75" i="11" s="1"/>
  <c r="ET86" i="11"/>
  <c r="EU86" i="11" s="1"/>
  <c r="FL23" i="11"/>
  <c r="FM23" i="11" s="1"/>
  <c r="FF23" i="11"/>
  <c r="FG23" i="11" s="1"/>
  <c r="EZ82" i="11"/>
  <c r="FA82" i="11" s="1"/>
  <c r="EZ93" i="11"/>
  <c r="FA93" i="11" s="1"/>
  <c r="EZ74" i="11"/>
  <c r="FA74" i="11" s="1"/>
  <c r="EZ91" i="11"/>
  <c r="FA91" i="11" s="1"/>
  <c r="ET97" i="11"/>
  <c r="EU97" i="11" s="1"/>
  <c r="EZ81" i="11"/>
  <c r="FA81" i="11" s="1"/>
  <c r="EZ53" i="11"/>
  <c r="FA53" i="11" s="1"/>
  <c r="ET28" i="11"/>
  <c r="EU28" i="11" s="1"/>
  <c r="FL51" i="11"/>
  <c r="FM51" i="11" s="1"/>
  <c r="FF51" i="11"/>
  <c r="FG51" i="11" s="1"/>
  <c r="ET34" i="11"/>
  <c r="EU34" i="11" s="1"/>
  <c r="EZ66" i="11"/>
  <c r="FA66" i="11" s="1"/>
  <c r="EZ95" i="11"/>
  <c r="FA95" i="11" s="1"/>
  <c r="EZ52" i="11"/>
  <c r="FA52" i="11" s="1"/>
  <c r="EN53" i="9"/>
  <c r="EO53" i="9" s="1"/>
  <c r="ET53" i="9"/>
  <c r="EU53" i="9" s="1"/>
  <c r="EN46" i="9"/>
  <c r="EO46" i="9" s="1"/>
  <c r="ET46" i="9"/>
  <c r="EU46" i="9" s="1"/>
  <c r="EN54" i="9"/>
  <c r="EO54" i="9" s="1"/>
  <c r="ET54" i="9"/>
  <c r="EU54" i="9" s="1"/>
  <c r="EH72" i="9"/>
  <c r="EI72" i="9" s="1"/>
  <c r="EH38" i="9"/>
  <c r="EI38" i="9" s="1"/>
  <c r="EN24" i="9"/>
  <c r="EO24" i="9" s="1"/>
  <c r="EH24" i="9"/>
  <c r="EI24" i="9" s="1"/>
  <c r="EH78" i="9"/>
  <c r="EI78" i="9" s="1"/>
  <c r="EH95" i="9"/>
  <c r="EI95" i="9" s="1"/>
  <c r="EB97" i="9"/>
  <c r="EC97" i="9" s="1"/>
  <c r="EH48" i="9"/>
  <c r="EI48" i="9" s="1"/>
  <c r="EC81" i="9"/>
  <c r="EB83" i="9"/>
  <c r="EC83" i="9" s="1"/>
  <c r="EB37" i="9"/>
  <c r="EC37" i="9" s="1"/>
  <c r="EB26" i="9"/>
  <c r="EC26" i="9" s="1"/>
  <c r="EB47" i="9"/>
  <c r="EC47" i="9" s="1"/>
  <c r="EB56" i="9"/>
  <c r="EC56" i="9" s="1"/>
  <c r="EH71" i="9"/>
  <c r="EI71" i="9" s="1"/>
  <c r="EB86" i="9"/>
  <c r="EC86" i="9" s="1"/>
  <c r="EB32" i="9"/>
  <c r="EC32" i="9" s="1"/>
  <c r="EB75" i="9"/>
  <c r="EC75" i="9" s="1"/>
  <c r="EH76" i="9"/>
  <c r="EI76" i="9" s="1"/>
  <c r="EB68" i="9"/>
  <c r="EC68" i="9" s="1"/>
  <c r="EH98" i="9"/>
  <c r="EI98" i="9" s="1"/>
  <c r="EH93" i="9"/>
  <c r="EI93" i="9" s="1"/>
  <c r="EB34" i="9"/>
  <c r="EC34" i="9" s="1"/>
  <c r="EB63" i="9"/>
  <c r="EC63" i="9" s="1"/>
  <c r="EB66" i="9"/>
  <c r="EC66" i="9" s="1"/>
  <c r="EH64" i="9"/>
  <c r="EI64" i="9" s="1"/>
  <c r="EH62" i="9"/>
  <c r="EI62" i="9" s="1"/>
  <c r="EB96" i="9"/>
  <c r="EC96" i="9" s="1"/>
  <c r="EB51" i="9"/>
  <c r="EC51" i="9" s="1"/>
  <c r="EB58" i="9"/>
  <c r="EC58" i="9" s="1"/>
  <c r="EB43" i="9"/>
  <c r="EC43" i="9" s="1"/>
  <c r="EB33" i="9"/>
  <c r="EC33" i="9" s="1"/>
  <c r="EB52" i="9"/>
  <c r="EC52" i="9" s="1"/>
  <c r="EH35" i="9"/>
  <c r="EI35" i="9" s="1"/>
  <c r="EH41" i="9"/>
  <c r="EI41" i="9" s="1"/>
  <c r="EB73" i="9"/>
  <c r="EC73" i="9" s="1"/>
  <c r="EB45" i="9"/>
  <c r="EC45" i="9" s="1"/>
  <c r="EB42" i="9"/>
  <c r="EC42" i="9" s="1"/>
  <c r="EB36" i="9"/>
  <c r="EC36" i="9" s="1"/>
  <c r="EB65" i="9"/>
  <c r="EC65" i="9" s="1"/>
  <c r="EB85" i="9"/>
  <c r="EC85" i="9" s="1"/>
  <c r="EB84" i="9"/>
  <c r="EC84" i="9" s="1"/>
  <c r="EB92" i="9"/>
  <c r="EC92" i="9" s="1"/>
  <c r="EB25" i="9"/>
  <c r="EC25" i="9" s="1"/>
  <c r="EB44" i="9"/>
  <c r="EC44" i="9" s="1"/>
  <c r="EB74" i="9"/>
  <c r="EC74" i="9" s="1"/>
  <c r="EB23" i="9"/>
  <c r="EC23" i="9" s="1"/>
  <c r="EH94" i="9"/>
  <c r="EI94" i="9" s="1"/>
  <c r="EH55" i="9"/>
  <c r="EI55" i="9" s="1"/>
  <c r="EH22" i="9"/>
  <c r="EI22" i="9" s="1"/>
  <c r="EB77" i="9"/>
  <c r="EC77" i="9" s="1"/>
  <c r="EB27" i="9"/>
  <c r="EC27" i="9" s="1"/>
  <c r="EH31" i="9"/>
  <c r="EC31" i="9"/>
  <c r="EB87" i="9"/>
  <c r="EC87" i="9" s="1"/>
  <c r="EH91" i="9"/>
  <c r="EI91" i="9" s="1"/>
  <c r="EH57" i="9"/>
  <c r="EI57" i="9" s="1"/>
  <c r="EH61" i="9"/>
  <c r="EI61" i="9" s="1"/>
  <c r="EH88" i="9"/>
  <c r="EI88" i="9" s="1"/>
  <c r="BT37" i="8"/>
  <c r="BU37" i="8" s="1"/>
  <c r="BT33" i="8"/>
  <c r="BU33" i="8" s="1"/>
  <c r="BT36" i="8"/>
  <c r="BU36" i="8" s="1"/>
  <c r="BT35" i="8"/>
  <c r="BU35" i="8" s="1"/>
  <c r="BZ34" i="8"/>
  <c r="CA34" i="8" s="1"/>
  <c r="BZ36" i="8"/>
  <c r="CA36" i="8" s="1"/>
  <c r="BZ32" i="8"/>
  <c r="CA32" i="8" s="1"/>
  <c r="BZ35" i="8"/>
  <c r="CA35" i="8" s="1"/>
  <c r="BZ31" i="8"/>
  <c r="CA31" i="8" s="1"/>
  <c r="BZ37" i="8"/>
  <c r="CA37" i="8" s="1"/>
  <c r="BZ33" i="8"/>
  <c r="CA33" i="8" s="1"/>
  <c r="BZ38" i="8"/>
  <c r="CA38" i="8" s="1"/>
  <c r="ES85" i="11" l="1"/>
  <c r="EL85" i="11"/>
  <c r="EM85" i="11" s="1"/>
  <c r="FF42" i="11"/>
  <c r="FG42" i="11" s="1"/>
  <c r="FK42" i="11"/>
  <c r="FL42" i="11" s="1"/>
  <c r="FM42" i="11" s="1"/>
  <c r="FL63" i="11"/>
  <c r="FM63" i="11" s="1"/>
  <c r="FF63" i="11"/>
  <c r="FG63" i="11" s="1"/>
  <c r="EZ35" i="11"/>
  <c r="FA35" i="11" s="1"/>
  <c r="EZ86" i="11"/>
  <c r="FA86" i="11" s="1"/>
  <c r="EZ44" i="11"/>
  <c r="FA44" i="11" s="1"/>
  <c r="FL92" i="11"/>
  <c r="FM92" i="11" s="1"/>
  <c r="FF92" i="11"/>
  <c r="FG92" i="11" s="1"/>
  <c r="EZ27" i="11"/>
  <c r="FA27" i="11" s="1"/>
  <c r="FL53" i="11"/>
  <c r="FM53" i="11" s="1"/>
  <c r="FF53" i="11"/>
  <c r="FG53" i="11" s="1"/>
  <c r="EZ47" i="11"/>
  <c r="FA47" i="11" s="1"/>
  <c r="EZ75" i="11"/>
  <c r="FA75" i="11" s="1"/>
  <c r="FF73" i="11"/>
  <c r="FG73" i="11" s="1"/>
  <c r="FL73" i="11"/>
  <c r="FM73" i="11" s="1"/>
  <c r="FL52" i="11"/>
  <c r="FM52" i="11" s="1"/>
  <c r="FF52" i="11"/>
  <c r="FG52" i="11" s="1"/>
  <c r="EZ38" i="11"/>
  <c r="FA38" i="11" s="1"/>
  <c r="EZ97" i="11"/>
  <c r="FA97" i="11" s="1"/>
  <c r="EZ72" i="11"/>
  <c r="FA72" i="11" s="1"/>
  <c r="FL62" i="11"/>
  <c r="FM62" i="11" s="1"/>
  <c r="FF62" i="11"/>
  <c r="FG62" i="11" s="1"/>
  <c r="EZ84" i="11"/>
  <c r="FA84" i="11" s="1"/>
  <c r="ET22" i="11"/>
  <c r="EU22" i="11" s="1"/>
  <c r="EZ26" i="11"/>
  <c r="FA26" i="11" s="1"/>
  <c r="FL95" i="11"/>
  <c r="FM95" i="11" s="1"/>
  <c r="FF95" i="11"/>
  <c r="FG95" i="11" s="1"/>
  <c r="FL91" i="11"/>
  <c r="FM91" i="11" s="1"/>
  <c r="FF91" i="11"/>
  <c r="FG91" i="11" s="1"/>
  <c r="EZ37" i="11"/>
  <c r="FA37" i="11" s="1"/>
  <c r="ET64" i="11"/>
  <c r="EU64" i="11" s="1"/>
  <c r="ET96" i="11"/>
  <c r="EU96" i="11" s="1"/>
  <c r="EZ24" i="11"/>
  <c r="FA24" i="11" s="1"/>
  <c r="FL74" i="11"/>
  <c r="FM74" i="11" s="1"/>
  <c r="FF74" i="11"/>
  <c r="FG74" i="11" s="1"/>
  <c r="EZ28" i="11"/>
  <c r="FA28" i="11" s="1"/>
  <c r="FL25" i="11"/>
  <c r="FM25" i="11" s="1"/>
  <c r="FF25" i="11"/>
  <c r="FG25" i="11" s="1"/>
  <c r="FL81" i="11"/>
  <c r="FM81" i="11" s="1"/>
  <c r="FF81" i="11"/>
  <c r="FG81" i="11" s="1"/>
  <c r="FL66" i="11"/>
  <c r="FM66" i="11" s="1"/>
  <c r="FF66" i="11"/>
  <c r="FG66" i="11" s="1"/>
  <c r="FL33" i="11"/>
  <c r="FM33" i="11" s="1"/>
  <c r="FF33" i="11"/>
  <c r="FG33" i="11" s="1"/>
  <c r="FL77" i="11"/>
  <c r="FM77" i="11" s="1"/>
  <c r="FF77" i="11"/>
  <c r="FG77" i="11" s="1"/>
  <c r="ET83" i="11"/>
  <c r="EU83" i="11" s="1"/>
  <c r="EZ78" i="11"/>
  <c r="FA78" i="11" s="1"/>
  <c r="FL93" i="11"/>
  <c r="FM93" i="11" s="1"/>
  <c r="FF93" i="11"/>
  <c r="FG93" i="11" s="1"/>
  <c r="EZ68" i="11"/>
  <c r="FA68" i="11" s="1"/>
  <c r="EZ67" i="11"/>
  <c r="FA67" i="11" s="1"/>
  <c r="EZ34" i="11"/>
  <c r="FA34" i="11" s="1"/>
  <c r="FL46" i="11"/>
  <c r="FM46" i="11" s="1"/>
  <c r="FF46" i="11"/>
  <c r="FG46" i="11" s="1"/>
  <c r="FL36" i="11"/>
  <c r="FM36" i="11" s="1"/>
  <c r="FF36" i="11"/>
  <c r="FG36" i="11" s="1"/>
  <c r="FF45" i="11"/>
  <c r="FG45" i="11" s="1"/>
  <c r="FL45" i="11"/>
  <c r="FM45" i="11" s="1"/>
  <c r="EZ58" i="11"/>
  <c r="FA58" i="11" s="1"/>
  <c r="EZ55" i="11"/>
  <c r="FA55" i="11" s="1"/>
  <c r="FL82" i="11"/>
  <c r="FM82" i="11" s="1"/>
  <c r="FF82" i="11"/>
  <c r="FG82" i="11" s="1"/>
  <c r="EZ94" i="11"/>
  <c r="FA94" i="11" s="1"/>
  <c r="EN93" i="9"/>
  <c r="EO93" i="9" s="1"/>
  <c r="ET93" i="9"/>
  <c r="EU93" i="9" s="1"/>
  <c r="EN95" i="9"/>
  <c r="EO95" i="9" s="1"/>
  <c r="ET95" i="9"/>
  <c r="EU95" i="9" s="1"/>
  <c r="EN78" i="9"/>
  <c r="EO78" i="9" s="1"/>
  <c r="ET78" i="9"/>
  <c r="EU78" i="9" s="1"/>
  <c r="EN98" i="9"/>
  <c r="EO98" i="9" s="1"/>
  <c r="ET98" i="9"/>
  <c r="EU98" i="9" s="1"/>
  <c r="EN62" i="9"/>
  <c r="EO62" i="9" s="1"/>
  <c r="ET62" i="9"/>
  <c r="EU62" i="9" s="1"/>
  <c r="EN41" i="9"/>
  <c r="EO41" i="9" s="1"/>
  <c r="ET41" i="9"/>
  <c r="EU41" i="9" s="1"/>
  <c r="EN76" i="9"/>
  <c r="EO76" i="9" s="1"/>
  <c r="ET76" i="9"/>
  <c r="EU76" i="9" s="1"/>
  <c r="EN38" i="9"/>
  <c r="EO38" i="9" s="1"/>
  <c r="ET38" i="9"/>
  <c r="EU38" i="9" s="1"/>
  <c r="EN35" i="9"/>
  <c r="EO35" i="9" s="1"/>
  <c r="ET35" i="9"/>
  <c r="EU35" i="9" s="1"/>
  <c r="EN72" i="9"/>
  <c r="EO72" i="9" s="1"/>
  <c r="ET72" i="9"/>
  <c r="EU72" i="9" s="1"/>
  <c r="EN88" i="9"/>
  <c r="EO88" i="9" s="1"/>
  <c r="ET88" i="9"/>
  <c r="EU88" i="9" s="1"/>
  <c r="EN22" i="9"/>
  <c r="EO22" i="9" s="1"/>
  <c r="ET22" i="9"/>
  <c r="EU22" i="9" s="1"/>
  <c r="EN64" i="9"/>
  <c r="EO64" i="9" s="1"/>
  <c r="ET64" i="9"/>
  <c r="EU64" i="9" s="1"/>
  <c r="EN61" i="9"/>
  <c r="EO61" i="9" s="1"/>
  <c r="ET61" i="9"/>
  <c r="EU61" i="9" s="1"/>
  <c r="EN55" i="9"/>
  <c r="EO55" i="9" s="1"/>
  <c r="ET55" i="9"/>
  <c r="EU55" i="9" s="1"/>
  <c r="EN94" i="9"/>
  <c r="EO94" i="9" s="1"/>
  <c r="ET94" i="9"/>
  <c r="EU94" i="9" s="1"/>
  <c r="EN48" i="9"/>
  <c r="EO48" i="9" s="1"/>
  <c r="ET48" i="9"/>
  <c r="EU48" i="9" s="1"/>
  <c r="EN57" i="9"/>
  <c r="EO57" i="9" s="1"/>
  <c r="ET57" i="9"/>
  <c r="EU57" i="9" s="1"/>
  <c r="EN91" i="9"/>
  <c r="EO91" i="9" s="1"/>
  <c r="ET91" i="9"/>
  <c r="EU91" i="9" s="1"/>
  <c r="EN71" i="9"/>
  <c r="EO71" i="9" s="1"/>
  <c r="ET71" i="9"/>
  <c r="EU71" i="9" s="1"/>
  <c r="EH97" i="9"/>
  <c r="EI97" i="9" s="1"/>
  <c r="EH83" i="9"/>
  <c r="EI83" i="9" s="1"/>
  <c r="EH81" i="9"/>
  <c r="EI81" i="9" s="1"/>
  <c r="EH37" i="9"/>
  <c r="EI37" i="9" s="1"/>
  <c r="EH26" i="9"/>
  <c r="EI26" i="9" s="1"/>
  <c r="EH68" i="9"/>
  <c r="EI68" i="9" s="1"/>
  <c r="EH92" i="9"/>
  <c r="EI92" i="9" s="1"/>
  <c r="EH84" i="9"/>
  <c r="EI84" i="9" s="1"/>
  <c r="EH75" i="9"/>
  <c r="EI75" i="9" s="1"/>
  <c r="EH32" i="9"/>
  <c r="EI32" i="9" s="1"/>
  <c r="EH27" i="9"/>
  <c r="EI27" i="9" s="1"/>
  <c r="EH85" i="9"/>
  <c r="EI85" i="9" s="1"/>
  <c r="EH52" i="9"/>
  <c r="EI52" i="9" s="1"/>
  <c r="EN52" i="9"/>
  <c r="EO52" i="9" s="1"/>
  <c r="EH66" i="9"/>
  <c r="EI66" i="9" s="1"/>
  <c r="EH73" i="9"/>
  <c r="EI73" i="9" s="1"/>
  <c r="EH65" i="9"/>
  <c r="EI65" i="9" s="1"/>
  <c r="EH33" i="9"/>
  <c r="EI33" i="9" s="1"/>
  <c r="EH63" i="9"/>
  <c r="EI63" i="9" s="1"/>
  <c r="EH86" i="9"/>
  <c r="EI86" i="9" s="1"/>
  <c r="EH96" i="9"/>
  <c r="EI96" i="9" s="1"/>
  <c r="EH23" i="9"/>
  <c r="EI23" i="9" s="1"/>
  <c r="EH34" i="9"/>
  <c r="EI34" i="9" s="1"/>
  <c r="EH77" i="9"/>
  <c r="EI77" i="9" s="1"/>
  <c r="EH43" i="9"/>
  <c r="EI43" i="9" s="1"/>
  <c r="EH36" i="9"/>
  <c r="EI36" i="9" s="1"/>
  <c r="EH87" i="9"/>
  <c r="EI87" i="9" s="1"/>
  <c r="EH74" i="9"/>
  <c r="EI74" i="9" s="1"/>
  <c r="EH42" i="9"/>
  <c r="EI42" i="9" s="1"/>
  <c r="EH58" i="9"/>
  <c r="EI58" i="9" s="1"/>
  <c r="EH56" i="9"/>
  <c r="EI56" i="9" s="1"/>
  <c r="EH47" i="9"/>
  <c r="EI47" i="9" s="1"/>
  <c r="EH25" i="9"/>
  <c r="EI25" i="9" s="1"/>
  <c r="EN31" i="9"/>
  <c r="EO31" i="9" s="1"/>
  <c r="EI31" i="9"/>
  <c r="EH44" i="9"/>
  <c r="EI44" i="9" s="1"/>
  <c r="EH45" i="9"/>
  <c r="EI45" i="9" s="1"/>
  <c r="EH51" i="9"/>
  <c r="EI51" i="9" s="1"/>
  <c r="EY85" i="11" l="1"/>
  <c r="ET85" i="11"/>
  <c r="EU85" i="11" s="1"/>
  <c r="FF35" i="11"/>
  <c r="FG35" i="11" s="1"/>
  <c r="FL35" i="11"/>
  <c r="FM35" i="11" s="1"/>
  <c r="FL78" i="11"/>
  <c r="FM78" i="11" s="1"/>
  <c r="FF78" i="11"/>
  <c r="FG78" i="11" s="1"/>
  <c r="FL24" i="11"/>
  <c r="FM24" i="11" s="1"/>
  <c r="FF24" i="11"/>
  <c r="FG24" i="11" s="1"/>
  <c r="EZ83" i="11"/>
  <c r="FA83" i="11" s="1"/>
  <c r="FL84" i="11"/>
  <c r="FM84" i="11" s="1"/>
  <c r="FF84" i="11"/>
  <c r="FG84" i="11" s="1"/>
  <c r="EZ22" i="11"/>
  <c r="FA22" i="11" s="1"/>
  <c r="FL75" i="11"/>
  <c r="FM75" i="11" s="1"/>
  <c r="FF75" i="11"/>
  <c r="FG75" i="11" s="1"/>
  <c r="EZ96" i="11"/>
  <c r="FA96" i="11" s="1"/>
  <c r="FL47" i="11"/>
  <c r="FM47" i="11" s="1"/>
  <c r="FF47" i="11"/>
  <c r="FG47" i="11" s="1"/>
  <c r="FL34" i="11"/>
  <c r="FM34" i="11" s="1"/>
  <c r="FF34" i="11"/>
  <c r="FG34" i="11" s="1"/>
  <c r="FL67" i="11"/>
  <c r="FM67" i="11" s="1"/>
  <c r="FF67" i="11"/>
  <c r="FG67" i="11" s="1"/>
  <c r="FF37" i="11"/>
  <c r="FG37" i="11" s="1"/>
  <c r="FL37" i="11"/>
  <c r="FM37" i="11" s="1"/>
  <c r="FL94" i="11"/>
  <c r="FM94" i="11" s="1"/>
  <c r="FF94" i="11"/>
  <c r="FG94" i="11" s="1"/>
  <c r="FL97" i="11"/>
  <c r="FM97" i="11" s="1"/>
  <c r="FF97" i="11"/>
  <c r="FG97" i="11" s="1"/>
  <c r="FF27" i="11"/>
  <c r="FG27" i="11" s="1"/>
  <c r="FL27" i="11"/>
  <c r="FM27" i="11" s="1"/>
  <c r="FF58" i="11"/>
  <c r="FG58" i="11" s="1"/>
  <c r="FL58" i="11"/>
  <c r="FM58" i="11" s="1"/>
  <c r="FL68" i="11"/>
  <c r="FM68" i="11" s="1"/>
  <c r="FF68" i="11"/>
  <c r="FG68" i="11" s="1"/>
  <c r="FL38" i="11"/>
  <c r="FM38" i="11" s="1"/>
  <c r="FF38" i="11"/>
  <c r="FG38" i="11" s="1"/>
  <c r="FL44" i="11"/>
  <c r="FM44" i="11" s="1"/>
  <c r="FF44" i="11"/>
  <c r="FG44" i="11" s="1"/>
  <c r="EZ64" i="11"/>
  <c r="FA64" i="11" s="1"/>
  <c r="FL72" i="11"/>
  <c r="FM72" i="11" s="1"/>
  <c r="FF72" i="11"/>
  <c r="FG72" i="11" s="1"/>
  <c r="FL55" i="11"/>
  <c r="FM55" i="11" s="1"/>
  <c r="FF55" i="11"/>
  <c r="FG55" i="11" s="1"/>
  <c r="FL28" i="11"/>
  <c r="FM28" i="11" s="1"/>
  <c r="FF28" i="11"/>
  <c r="FG28" i="11" s="1"/>
  <c r="FL26" i="11"/>
  <c r="FM26" i="11" s="1"/>
  <c r="FF26" i="11"/>
  <c r="FG26" i="11" s="1"/>
  <c r="FL86" i="11"/>
  <c r="FM86" i="11" s="1"/>
  <c r="FF86" i="11"/>
  <c r="FG86" i="11" s="1"/>
  <c r="EN85" i="9"/>
  <c r="EO85" i="9" s="1"/>
  <c r="ET85" i="9"/>
  <c r="EU85" i="9" s="1"/>
  <c r="EN87" i="9"/>
  <c r="EO87" i="9" s="1"/>
  <c r="ET87" i="9"/>
  <c r="EU87" i="9" s="1"/>
  <c r="EN42" i="9"/>
  <c r="EO42" i="9" s="1"/>
  <c r="ET42" i="9"/>
  <c r="EU42" i="9" s="1"/>
  <c r="EN45" i="9"/>
  <c r="EO45" i="9" s="1"/>
  <c r="ET45" i="9"/>
  <c r="EU45" i="9" s="1"/>
  <c r="EN33" i="9"/>
  <c r="EO33" i="9" s="1"/>
  <c r="ET33" i="9"/>
  <c r="EU33" i="9" s="1"/>
  <c r="EN97" i="9"/>
  <c r="EO97" i="9" s="1"/>
  <c r="ET97" i="9"/>
  <c r="EU97" i="9" s="1"/>
  <c r="EN25" i="9"/>
  <c r="EO25" i="9" s="1"/>
  <c r="ET25" i="9"/>
  <c r="EU25" i="9" s="1"/>
  <c r="EN96" i="9"/>
  <c r="EO96" i="9" s="1"/>
  <c r="ET96" i="9"/>
  <c r="EU96" i="9" s="1"/>
  <c r="EN81" i="9"/>
  <c r="EO81" i="9" s="1"/>
  <c r="ET81" i="9"/>
  <c r="EU81" i="9" s="1"/>
  <c r="EN86" i="9"/>
  <c r="EO86" i="9" s="1"/>
  <c r="ET86" i="9"/>
  <c r="EU86" i="9" s="1"/>
  <c r="EN63" i="9"/>
  <c r="EO63" i="9" s="1"/>
  <c r="ET63" i="9"/>
  <c r="EU63" i="9" s="1"/>
  <c r="EN73" i="9"/>
  <c r="EO73" i="9" s="1"/>
  <c r="ET73" i="9"/>
  <c r="EU73" i="9" s="1"/>
  <c r="EN37" i="9"/>
  <c r="EO37" i="9" s="1"/>
  <c r="ET37" i="9"/>
  <c r="EU37" i="9" s="1"/>
  <c r="EN36" i="9"/>
  <c r="EO36" i="9" s="1"/>
  <c r="ET36" i="9"/>
  <c r="EU36" i="9" s="1"/>
  <c r="EN92" i="9"/>
  <c r="EO92" i="9" s="1"/>
  <c r="ET92" i="9"/>
  <c r="EU92" i="9" s="1"/>
  <c r="EN74" i="9"/>
  <c r="EO74" i="9" s="1"/>
  <c r="ET74" i="9"/>
  <c r="EU74" i="9" s="1"/>
  <c r="EN75" i="9"/>
  <c r="EO75" i="9" s="1"/>
  <c r="ET75" i="9"/>
  <c r="EU75" i="9" s="1"/>
  <c r="EN65" i="9"/>
  <c r="EO65" i="9" s="1"/>
  <c r="ET65" i="9"/>
  <c r="EU65" i="9" s="1"/>
  <c r="EN44" i="9"/>
  <c r="EO44" i="9" s="1"/>
  <c r="ET44" i="9"/>
  <c r="EU44" i="9" s="1"/>
  <c r="EN43" i="9"/>
  <c r="EO43" i="9" s="1"/>
  <c r="ET43" i="9"/>
  <c r="EU43" i="9" s="1"/>
  <c r="EN51" i="9"/>
  <c r="EO51" i="9" s="1"/>
  <c r="ET51" i="9"/>
  <c r="EU51" i="9" s="1"/>
  <c r="EN27" i="9"/>
  <c r="EO27" i="9" s="1"/>
  <c r="ET27" i="9"/>
  <c r="EU27" i="9" s="1"/>
  <c r="EN32" i="9"/>
  <c r="EO32" i="9" s="1"/>
  <c r="ET32" i="9"/>
  <c r="EU32" i="9" s="1"/>
  <c r="EN47" i="9"/>
  <c r="EO47" i="9" s="1"/>
  <c r="ET47" i="9"/>
  <c r="EU47" i="9" s="1"/>
  <c r="EN34" i="9"/>
  <c r="EO34" i="9" s="1"/>
  <c r="ET34" i="9"/>
  <c r="EU34" i="9" s="1"/>
  <c r="EN26" i="9"/>
  <c r="EO26" i="9" s="1"/>
  <c r="ET26" i="9"/>
  <c r="EU26" i="9" s="1"/>
  <c r="EN83" i="9"/>
  <c r="EO83" i="9" s="1"/>
  <c r="ET83" i="9"/>
  <c r="EU83" i="9" s="1"/>
  <c r="EN84" i="9"/>
  <c r="EO84" i="9" s="1"/>
  <c r="ET84" i="9"/>
  <c r="EU84" i="9" s="1"/>
  <c r="EN77" i="9"/>
  <c r="EO77" i="9" s="1"/>
  <c r="ET77" i="9"/>
  <c r="EU77" i="9" s="1"/>
  <c r="EN56" i="9"/>
  <c r="EO56" i="9" s="1"/>
  <c r="ET56" i="9"/>
  <c r="EU56" i="9" s="1"/>
  <c r="EN66" i="9"/>
  <c r="EO66" i="9" s="1"/>
  <c r="ET66" i="9"/>
  <c r="EU66" i="9" s="1"/>
  <c r="EN68" i="9"/>
  <c r="EO68" i="9" s="1"/>
  <c r="ET68" i="9"/>
  <c r="EU68" i="9" s="1"/>
  <c r="EN23" i="9"/>
  <c r="EO23" i="9" s="1"/>
  <c r="ET23" i="9"/>
  <c r="EU23" i="9" s="1"/>
  <c r="EN58" i="9"/>
  <c r="EO58" i="9" s="1"/>
  <c r="ET58" i="9"/>
  <c r="EU58" i="9" s="1"/>
  <c r="FE85" i="11" l="1"/>
  <c r="EZ85" i="11"/>
  <c r="FA85" i="11" s="1"/>
  <c r="FL96" i="11"/>
  <c r="FM96" i="11" s="1"/>
  <c r="FF96" i="11"/>
  <c r="FG96" i="11" s="1"/>
  <c r="FL22" i="11"/>
  <c r="FM22" i="11" s="1"/>
  <c r="FF22" i="11"/>
  <c r="FG22" i="11" s="1"/>
  <c r="FL83" i="11"/>
  <c r="FM83" i="11" s="1"/>
  <c r="FF83" i="11"/>
  <c r="FG83" i="11" s="1"/>
  <c r="FL64" i="11"/>
  <c r="FM64" i="11" s="1"/>
  <c r="FF64" i="11"/>
  <c r="FG64" i="11" s="1"/>
  <c r="FK85" i="11" l="1"/>
  <c r="FL85" i="11" s="1"/>
  <c r="FM85" i="11" s="1"/>
  <c r="FF85" i="11"/>
  <c r="FG85" i="11" s="1"/>
</calcChain>
</file>

<file path=xl/sharedStrings.xml><?xml version="1.0" encoding="utf-8"?>
<sst xmlns="http://schemas.openxmlformats.org/spreadsheetml/2006/main" count="5271" uniqueCount="198">
  <si>
    <t>541be80e</t>
    <phoneticPr fontId="2" type="noConversion"/>
  </si>
  <si>
    <t>8d3dab03</t>
    <phoneticPr fontId="2" type="noConversion"/>
  </si>
  <si>
    <t>3a206a07</t>
    <phoneticPr fontId="2" type="noConversion"/>
  </si>
  <si>
    <t>crc32</t>
    <phoneticPr fontId="2" type="noConversion"/>
  </si>
  <si>
    <t>Peer 1</t>
    <phoneticPr fontId="2" type="noConversion"/>
  </si>
  <si>
    <t>Hex to int</t>
    <phoneticPr fontId="2" type="noConversion"/>
  </si>
  <si>
    <t>SALT</t>
    <phoneticPr fontId="2" type="noConversion"/>
  </si>
  <si>
    <t>PEER 3</t>
    <phoneticPr fontId="2" type="noConversion"/>
  </si>
  <si>
    <t>PEER 2</t>
    <phoneticPr fontId="2" type="noConversion"/>
  </si>
  <si>
    <t>PEER 1</t>
    <phoneticPr fontId="2" type="noConversion"/>
  </si>
  <si>
    <t>1. Moduler</t>
    <phoneticPr fontId="2" type="noConversion"/>
  </si>
  <si>
    <t>SALT</t>
    <phoneticPr fontId="2" type="noConversion"/>
  </si>
  <si>
    <t>e306290a</t>
    <phoneticPr fontId="2" type="noConversion"/>
  </si>
  <si>
    <t>Moduler</t>
    <phoneticPr fontId="2" type="noConversion"/>
  </si>
  <si>
    <t>e6566e14</t>
    <phoneticPr fontId="2" type="noConversion"/>
  </si>
  <si>
    <t>514baf10</t>
    <phoneticPr fontId="2" type="noConversion"/>
  </si>
  <si>
    <t>886dec1d</t>
    <phoneticPr fontId="2" type="noConversion"/>
  </si>
  <si>
    <t>3f702d19</t>
    <phoneticPr fontId="2" type="noConversion"/>
  </si>
  <si>
    <t>Peer 2</t>
    <phoneticPr fontId="2" type="noConversion"/>
  </si>
  <si>
    <t>PEER 4</t>
  </si>
  <si>
    <t>PEER 5</t>
  </si>
  <si>
    <t>PEER 6</t>
  </si>
  <si>
    <t>PEER 7</t>
  </si>
  <si>
    <t>PEER 8</t>
  </si>
  <si>
    <t>ADDR</t>
    <phoneticPr fontId="2" type="noConversion"/>
  </si>
  <si>
    <t>ADD(Time + SLAT)</t>
    <phoneticPr fontId="2" type="noConversion"/>
  </si>
  <si>
    <t>동작시간</t>
    <phoneticPr fontId="2" type="noConversion"/>
  </si>
  <si>
    <t>UTC to INT</t>
    <phoneticPr fontId="2" type="noConversion"/>
  </si>
  <si>
    <t>HEX To INT</t>
    <phoneticPr fontId="2" type="noConversion"/>
  </si>
  <si>
    <t>리소스</t>
    <phoneticPr fontId="2" type="noConversion"/>
  </si>
  <si>
    <t>2. Peer 기본 정보</t>
    <phoneticPr fontId="2" type="noConversion"/>
  </si>
  <si>
    <t>632dea5b</t>
    <phoneticPr fontId="2" type="noConversion"/>
  </si>
  <si>
    <t>Data-Doc</t>
    <phoneticPr fontId="2" type="noConversion"/>
  </si>
  <si>
    <t>x.x.x.10</t>
    <phoneticPr fontId="2" type="noConversion"/>
  </si>
  <si>
    <t>x.x.x.11</t>
    <phoneticPr fontId="2" type="noConversion"/>
  </si>
  <si>
    <t>x.x.x.12</t>
    <phoneticPr fontId="2" type="noConversion"/>
  </si>
  <si>
    <t>x.x.x.13</t>
    <phoneticPr fontId="2" type="noConversion"/>
  </si>
  <si>
    <t>x.x.x.14</t>
    <phoneticPr fontId="2" type="noConversion"/>
  </si>
  <si>
    <t>x.x.x.15</t>
    <phoneticPr fontId="2" type="noConversion"/>
  </si>
  <si>
    <t>x.x.x.16</t>
    <phoneticPr fontId="2" type="noConversion"/>
  </si>
  <si>
    <t>x.x.x.17</t>
    <phoneticPr fontId="2" type="noConversion"/>
  </si>
  <si>
    <t>eed9ae79</t>
    <phoneticPr fontId="2" type="noConversion"/>
  </si>
  <si>
    <t>2c397047</t>
    <phoneticPr fontId="2" type="noConversion"/>
  </si>
  <si>
    <t>Infra-Memory</t>
    <phoneticPr fontId="2" type="noConversion"/>
  </si>
  <si>
    <t>7c98c82d</t>
    <phoneticPr fontId="2" type="noConversion"/>
  </si>
  <si>
    <t>Data-Picture</t>
    <phoneticPr fontId="2" type="noConversion"/>
  </si>
  <si>
    <t>b34da9ae</t>
    <phoneticPr fontId="2" type="noConversion"/>
  </si>
  <si>
    <t>AI-GAN</t>
    <phoneticPr fontId="2" type="noConversion"/>
  </si>
  <si>
    <t>Infra-STORAGE</t>
    <phoneticPr fontId="2" type="noConversion"/>
  </si>
  <si>
    <t>8eaffaaa</t>
    <phoneticPr fontId="2" type="noConversion"/>
  </si>
  <si>
    <t>AI-DNN</t>
    <phoneticPr fontId="2" type="noConversion"/>
  </si>
  <si>
    <t>c2e504e4</t>
    <phoneticPr fontId="2" type="noConversion"/>
  </si>
  <si>
    <t>f5f174c0</t>
    <phoneticPr fontId="2" type="noConversion"/>
  </si>
  <si>
    <t>SALT</t>
    <phoneticPr fontId="2" type="noConversion"/>
  </si>
  <si>
    <t>Space(Mod)</t>
    <phoneticPr fontId="2" type="noConversion"/>
  </si>
  <si>
    <t>Peer 3</t>
    <phoneticPr fontId="2" type="noConversion"/>
  </si>
  <si>
    <t>Peer 4</t>
    <phoneticPr fontId="2" type="noConversion"/>
  </si>
  <si>
    <t>Peer 5</t>
    <phoneticPr fontId="2" type="noConversion"/>
  </si>
  <si>
    <t>Peer 6</t>
    <phoneticPr fontId="2" type="noConversion"/>
  </si>
  <si>
    <t>Peer 7</t>
    <phoneticPr fontId="2" type="noConversion"/>
  </si>
  <si>
    <t>Peer 8</t>
    <phoneticPr fontId="2" type="noConversion"/>
  </si>
  <si>
    <t>Address</t>
    <phoneticPr fontId="2" type="noConversion"/>
  </si>
  <si>
    <t>Resource</t>
    <phoneticPr fontId="2" type="noConversion"/>
  </si>
  <si>
    <t>Data-Text</t>
    <phoneticPr fontId="2" type="noConversion"/>
  </si>
  <si>
    <t>AI-LLM</t>
    <phoneticPr fontId="2" type="noConversion"/>
  </si>
  <si>
    <t xml:space="preserve">	H(x)=x mod 8</t>
    <phoneticPr fontId="2" type="noConversion"/>
  </si>
  <si>
    <t>RSA</t>
    <phoneticPr fontId="2" type="noConversion"/>
  </si>
  <si>
    <t>XOR</t>
  </si>
  <si>
    <t>https://xor.pw/#</t>
  </si>
  <si>
    <t xml:space="preserve">Key Size </t>
    <phoneticPr fontId="2" type="noConversion"/>
  </si>
  <si>
    <t>1024 bit</t>
    <phoneticPr fontId="2" type="noConversion"/>
  </si>
  <si>
    <t>MIGfMA0GCSqGSIb3DQEBAQUAA4GNADCBiQKBgQCrtLBLeThHU9mIXXTCYdyjJgkODfQGcRKglNrAZZxud1es1Da81AqJZjV1VdAEn0bN4+Ft4ExsCDHz8hM5mxnk75GnJCM5naffR6yovsO6rno6EXfiN9rAfYe2qXFXuso3yZV+3MIi3Rq9m2JQ0e7NSex4UV1KvRfnnvP5xlGcuwIDAQAB</t>
    <phoneticPr fontId="2" type="noConversion"/>
  </si>
  <si>
    <t>MIICdgIBADANBgkqhkiG9w0BAQEFAASCAmAwggJcAgEAAoGBAKu0sEt5OEdT2YhddMJh3KMmCQ4N9AZxEqCU2sBlnG53V6zUNrzUColmNXVV0ASfRs3j4W3gTGwIMfPyEzmbGeTvkackIzmdp99HrKi+w7quejoRd+I32sB9h7apcVe6yjfJlX7cwiLdGr2bYlDR7s1J7HhRXUq9F+ee8/nGUZy7AgMBAAECgYBZ/RGkDHzFTRml0Sz/LuC+lJGMTx3EPoB/rmPTD63jayKFDpc9cXewOOPtgbLKqVsnTrX3quUCfW0Ip6cRusrfhpz4Hj1V/yPy2wsk8nx+8mPrpQhNErn+wMifn9OHCjItTcXE8N0o0XQna+PhAl4zCszRJ6vZSYXmhdzc2V0SoQJBAOyU5+e/PpHsu3ACPozx2/qtW6FE9EofwFxLvnnvjesOdQqV6t4aNnJP0+FnqoYY89xPU2CKo7V1hFafAT8MMKsCQQC5zJm07hqwbY7lFtLjFFIact6YW6OHdm8B5ciOK7fWB6eG38bd1o+68jNT8rKXqBrn4xJodsKvuIJOHOL07OQxAkBQflFw/hax25PihkD1/4xS/AzDEAz181uli3fhUOo+YYrc8SkaLFz+A78ZYAYa3f6KpMq/fCw7HyLJvgvUgbdFAkB+tW+lmjQNWcn3pccQIc2UR/5R/TzapwQxURmjC2GFzxaKvpWKuEaxAXfLqlntXzFqLstg/ozq9XO3/a8xxVQhAkEA3QAxpu6SZdwTYaSiO23zT5UJ9VqZHt8NgcLi71Z2Qv81NrFZxyq1Hre3uyoWShBuAW942Jb4dFw7fPtesSdxXQ==</t>
    <phoneticPr fontId="2" type="noConversion"/>
  </si>
  <si>
    <t>Ciper type</t>
    <phoneticPr fontId="2" type="noConversion"/>
  </si>
  <si>
    <t>RSA/ECB/PKCS1Padding</t>
    <phoneticPr fontId="2" type="noConversion"/>
  </si>
  <si>
    <t>https://www.devglan.com/online-tools/rsa-encryption-decryption</t>
    <phoneticPr fontId="2" type="noConversion"/>
  </si>
  <si>
    <t>1. 암호 알고리즘</t>
    <phoneticPr fontId="2" type="noConversion"/>
  </si>
  <si>
    <t>2. 평문</t>
    <phoneticPr fontId="2" type="noConversion"/>
  </si>
  <si>
    <t>EncryptTest XOR CTR</t>
  </si>
  <si>
    <t>EncryptTest XOR CTR</t>
    <phoneticPr fontId="2" type="noConversion"/>
  </si>
  <si>
    <t>3. XOR 테스트</t>
    <phoneticPr fontId="2" type="noConversion"/>
  </si>
  <si>
    <t>456e63727970745465737420584f5220435453</t>
    <phoneticPr fontId="2" type="noConversion"/>
  </si>
  <si>
    <t>456e63727970745465737420584f5220435450</t>
    <phoneticPr fontId="2" type="noConversion"/>
  </si>
  <si>
    <t>QHOk3250m8nE3w/Yr3tvApoG+MQrOWCVyFNWKD16hhVT+HoCT3e2wjEqCKai3arA9O9SDMOjYzEgeAyfkWZklC5A5CCvdEr7nEzbrOqTwYwPublSNv2ghStH0pKu+22L7nV71jU/goqsNfUNzH5fHtXeAlGsANTOpAU/R9jkTNs=</t>
    <phoneticPr fontId="2" type="noConversion"/>
  </si>
  <si>
    <t>456e63727970745465737420584f5220435451</t>
    <phoneticPr fontId="2" type="noConversion"/>
  </si>
  <si>
    <t>qi56kCNaqb4ubrq6LXFdTzRvTHzd+KWMcd/CTGqIiRlx6vbSF7IDwIajJuzpm4tg1su2s5Q4khqYy53iKxn1RiW/iKsaZfffpM7Qlc9pN5iDMHWJ/n5u8cjZwLRdcMerHi7WTdHG4BWtro9B0LX1v2KHR7lv/fx7InvtQQZqE/8=</t>
    <phoneticPr fontId="2" type="noConversion"/>
  </si>
  <si>
    <t>456e63727970745465737420584f5220435456</t>
    <phoneticPr fontId="2" type="noConversion"/>
  </si>
  <si>
    <t>456e63727970745465737420584f5220435457</t>
    <phoneticPr fontId="2" type="noConversion"/>
  </si>
  <si>
    <t>f9MUZW24NPGBxCJC4bYk839hXSWDKLgFjjjzGUigV+3BqUIu0Xh3HMv38QwhnjTzLADUfdnEaXqJsblcIfv/oultju9cmN3ej45ssB9Kw+4aSdVsNHGmX4+DkdA1VwlvTP78x4tjHNUtNiomWM4SskZJ872Esj64bnmsWsKKCYc=</t>
    <phoneticPr fontId="2" type="noConversion"/>
  </si>
  <si>
    <t>jH9IgijW1XOTlh4ZMbMW1wMwoGS0lJcKepC+nemu2L0abZC++7CM5TbjWjjm/gvE3z+LgBm6wBu45hYoF9RAwaYGabb0o9i75vb+nfsr4GJvbtWHve79WjZBkkP35VH4uoIivgVvJRVO61TI+97wqZ0iwScAZ9NcmAAUPBQ0174=</t>
    <phoneticPr fontId="2" type="noConversion"/>
  </si>
  <si>
    <t>qvbbjHjUaOtHLj1dlS6Ble1rNrzZaKxyFUuoHaxMWkgI9mkNh3cv/R3oEH4xuYrsvKVVEA6k16K8zW8H27C8Hx2jC3IV1wNBmAXw+MGttKpfOYVrDvVucVpV2UHIhFcxIMV3WdwhRUk5mHy+FSJkYio8RrSyzfexdvW0vrI5wrA=</t>
    <phoneticPr fontId="2" type="noConversion"/>
  </si>
  <si>
    <t>Public Key</t>
    <phoneticPr fontId="2" type="noConversion"/>
  </si>
  <si>
    <t>Private Key</t>
    <phoneticPr fontId="2" type="noConversion"/>
  </si>
  <si>
    <t>Key Pair</t>
    <phoneticPr fontId="2" type="noConversion"/>
  </si>
  <si>
    <t>lCG70lhhpO5JH9vPWYMJq+9pBCHqZ0MTyCsyLQbriAI98Iai0Gsi//5HfTnRu36gEuLQwTdg0Czewv2tFlxMuNo6VWkfbtxR/1R31bF9x/H1/sHBPXs/drFzMBV3gyGnKLmmDhbllJA8dLqkGH8m1FET0+AXzdGyaf/cnNOpRfM=</t>
    <phoneticPr fontId="2" type="noConversion"/>
  </si>
  <si>
    <t>3. 동작 시간  ()</t>
    <phoneticPr fontId="2" type="noConversion"/>
  </si>
  <si>
    <t>4. 갱신</t>
    <phoneticPr fontId="2" type="noConversion"/>
  </si>
  <si>
    <t>ADD(Time+SLAT)</t>
    <phoneticPr fontId="2" type="noConversion"/>
  </si>
  <si>
    <t>3 동작 시간  (https://www.epochconverter.com/)</t>
    <phoneticPr fontId="2" type="noConversion"/>
  </si>
  <si>
    <t>1회</t>
    <phoneticPr fontId="2" type="noConversion"/>
  </si>
  <si>
    <t>2회</t>
    <phoneticPr fontId="2" type="noConversion"/>
  </si>
  <si>
    <t>3회</t>
    <phoneticPr fontId="2" type="noConversion"/>
  </si>
  <si>
    <t>4회</t>
    <phoneticPr fontId="2" type="noConversion"/>
  </si>
  <si>
    <t>5회</t>
    <phoneticPr fontId="2" type="noConversion"/>
  </si>
  <si>
    <t>6회</t>
    <phoneticPr fontId="2" type="noConversion"/>
  </si>
  <si>
    <t>7회</t>
    <phoneticPr fontId="2" type="noConversion"/>
  </si>
  <si>
    <t>8회</t>
    <phoneticPr fontId="2" type="noConversion"/>
  </si>
  <si>
    <t>15 Sep 2023 08:48:33 GMT</t>
  </si>
  <si>
    <t>15 Sep 2023 08:48:33 GMT</t>
    <phoneticPr fontId="2" type="noConversion"/>
  </si>
  <si>
    <t>15 Sep 2023 12:19:41 GMT</t>
  </si>
  <si>
    <t>16 Sep 2023 12:19:36 GMT</t>
  </si>
  <si>
    <t>16 Sep 2023 13:20:35 GMT</t>
  </si>
  <si>
    <t>17 Sep 2023 13:20:42 GMT</t>
  </si>
  <si>
    <t>18 Sep 2023 08:56:44 GMT</t>
  </si>
  <si>
    <t>18 Sep 2023 08:56:47 GMT</t>
  </si>
  <si>
    <t>18 Sep 2023 08:50:46 GMT</t>
  </si>
  <si>
    <t>15 Sep 2023 08:48:43 GMT</t>
  </si>
  <si>
    <t>15 Sep 2023 08:48:53 GMT</t>
  </si>
  <si>
    <t>15 Sep 2023 12:12:41 GMT</t>
  </si>
  <si>
    <t>18 Sep 2023 08:50:46 GMT</t>
    <phoneticPr fontId="2" type="noConversion"/>
  </si>
  <si>
    <t xml:space="preserve">각기 다른 동작 시간으로 인해 Salt 값이 다를때 </t>
    <phoneticPr fontId="2" type="noConversion"/>
  </si>
  <si>
    <t>SALT 1회</t>
  </si>
  <si>
    <t>SALT 1회</t>
    <phoneticPr fontId="2" type="noConversion"/>
  </si>
  <si>
    <t>SALT 2회</t>
  </si>
  <si>
    <t>SALT 2회</t>
    <phoneticPr fontId="2" type="noConversion"/>
  </si>
  <si>
    <t>SALT 3회</t>
  </si>
  <si>
    <t>SALT 4회</t>
  </si>
  <si>
    <t>SALT 5회</t>
  </si>
  <si>
    <t>SALT 6회</t>
  </si>
  <si>
    <t>SALT 7회</t>
  </si>
  <si>
    <t>SALT 8회</t>
  </si>
  <si>
    <t>PEER 1</t>
  </si>
  <si>
    <t>PEER 2</t>
  </si>
  <si>
    <t>PEER 3</t>
  </si>
  <si>
    <t xml:space="preserve"> 1회 space </t>
    <phoneticPr fontId="2" type="noConversion"/>
  </si>
  <si>
    <t xml:space="preserve"> 3회 space</t>
  </si>
  <si>
    <t xml:space="preserve"> 4회 space</t>
  </si>
  <si>
    <t xml:space="preserve"> 5회 space</t>
  </si>
  <si>
    <t xml:space="preserve"> 6회 space</t>
  </si>
  <si>
    <t xml:space="preserve"> 7회 space</t>
  </si>
  <si>
    <t xml:space="preserve"> 8회 space</t>
  </si>
  <si>
    <t>3. 5개의 랜덤…..</t>
    <phoneticPr fontId="2" type="noConversion"/>
  </si>
  <si>
    <t xml:space="preserve">       SALT
PEER</t>
    <phoneticPr fontId="2" type="noConversion"/>
  </si>
  <si>
    <t xml:space="preserve">2회 s+D55:S100pace </t>
    <phoneticPr fontId="2" type="noConversion"/>
  </si>
  <si>
    <t>사용</t>
    <phoneticPr fontId="2" type="noConversion"/>
  </si>
  <si>
    <t xml:space="preserve">1 &gt; 6 &gt; 8 &gt; 4 &gt; 2 &gt; 5 &gt; 7 &gt; 3  </t>
    <phoneticPr fontId="2" type="noConversion"/>
  </si>
  <si>
    <t>1. Space</t>
    <phoneticPr fontId="2" type="noConversion"/>
  </si>
  <si>
    <t>Peer</t>
    <phoneticPr fontId="2" type="noConversion"/>
  </si>
  <si>
    <t>CTR Count</t>
    <phoneticPr fontId="2" type="noConversion"/>
  </si>
  <si>
    <t>계산</t>
    <phoneticPr fontId="2" type="noConversion"/>
  </si>
  <si>
    <t>1. Space 개수</t>
    <phoneticPr fontId="2" type="noConversion"/>
  </si>
  <si>
    <t>2. Peer 개수</t>
    <phoneticPr fontId="2" type="noConversion"/>
  </si>
  <si>
    <t>space 위치</t>
    <phoneticPr fontId="2" type="noConversion"/>
  </si>
  <si>
    <t>경로 순서</t>
    <phoneticPr fontId="2" type="noConversion"/>
  </si>
  <si>
    <t xml:space="preserve">CTR </t>
    <phoneticPr fontId="2" type="noConversion"/>
  </si>
  <si>
    <t>CTR=CTR+1</t>
    <phoneticPr fontId="2" type="noConversion"/>
  </si>
  <si>
    <t>초기값 0
CTR=CTR+1</t>
    <phoneticPr fontId="2" type="noConversion"/>
  </si>
  <si>
    <t>계산
CTR*Peer 수</t>
    <phoneticPr fontId="2" type="noConversion"/>
  </si>
  <si>
    <t>ctr * peer</t>
    <phoneticPr fontId="2" type="noConversion"/>
  </si>
  <si>
    <t>계산
(Addr+SALT+CalCTR) % Space</t>
    <phoneticPr fontId="2" type="noConversion"/>
  </si>
  <si>
    <t>계산
(Addr+SALT+CalCTR) % Space</t>
    <phoneticPr fontId="2" type="noConversion"/>
  </si>
  <si>
    <t xml:space="preserve">       
PEER</t>
    <phoneticPr fontId="2" type="noConversion"/>
  </si>
  <si>
    <t>Peer 순서</t>
    <phoneticPr fontId="2" type="noConversion"/>
  </si>
  <si>
    <t>순서가 바뀌면…전체로 안흘러 갈수가 있다.</t>
    <phoneticPr fontId="2" type="noConversion"/>
  </si>
  <si>
    <t xml:space="preserve"> 1회 space 경로 작성</t>
    <phoneticPr fontId="2" type="noConversion"/>
  </si>
  <si>
    <t>PEER</t>
    <phoneticPr fontId="2" type="noConversion"/>
  </si>
  <si>
    <t xml:space="preserve"> 2회 space 경로 작성</t>
    <phoneticPr fontId="2" type="noConversion"/>
  </si>
  <si>
    <t xml:space="preserve"> 3회 space 경로 작성</t>
    <phoneticPr fontId="2" type="noConversion"/>
  </si>
  <si>
    <t xml:space="preserve"> 4회 space 경로 작성</t>
    <phoneticPr fontId="2" type="noConversion"/>
  </si>
  <si>
    <t>사용횟수</t>
    <phoneticPr fontId="2" type="noConversion"/>
  </si>
  <si>
    <t xml:space="preserve"> 5회 space 경로 작성</t>
    <phoneticPr fontId="2" type="noConversion"/>
  </si>
  <si>
    <t>우회 경로는 생김</t>
    <phoneticPr fontId="2" type="noConversion"/>
  </si>
  <si>
    <t>경로 전송 횟수가 늘어남</t>
    <phoneticPr fontId="2" type="noConversion"/>
  </si>
  <si>
    <t>4. Peer 기본 정보</t>
    <phoneticPr fontId="2" type="noConversion"/>
  </si>
  <si>
    <t xml:space="preserve">
(Addr+계산) % Space</t>
    <phoneticPr fontId="2" type="noConversion"/>
  </si>
  <si>
    <t>계산
2^(CTR*SALT)*Peer</t>
    <phoneticPr fontId="2" type="noConversion"/>
  </si>
  <si>
    <t>Peer 개수</t>
    <phoneticPr fontId="2" type="noConversion"/>
  </si>
  <si>
    <t>전송횟수</t>
    <phoneticPr fontId="2" type="noConversion"/>
  </si>
  <si>
    <t>계산
(CTR+SALT)*Peer</t>
    <phoneticPr fontId="2" type="noConversion"/>
  </si>
  <si>
    <t>Addr +(CTR+SALT)*T  mod space</t>
    <phoneticPr fontId="2" type="noConversion"/>
  </si>
  <si>
    <t xml:space="preserve">T= </t>
    <phoneticPr fontId="2" type="noConversion"/>
  </si>
  <si>
    <t>1. 엔트리 수(N, 노드의 비트수)</t>
    <phoneticPr fontId="2" type="noConversion"/>
  </si>
  <si>
    <t>S=2^N</t>
    <phoneticPr fontId="2" type="noConversion"/>
  </si>
  <si>
    <t>T=1/빈도</t>
    <phoneticPr fontId="2" type="noConversion"/>
  </si>
  <si>
    <t>2. Space 개수(S)</t>
    <phoneticPr fontId="2" type="noConversion"/>
  </si>
  <si>
    <t>3. 회전주기(T=1/빈도)</t>
    <phoneticPr fontId="2" type="noConversion"/>
  </si>
  <si>
    <t>(CTR+SALT)*T</t>
    <phoneticPr fontId="2" type="noConversion"/>
  </si>
  <si>
    <t>사용 개수</t>
    <phoneticPr fontId="2" type="noConversion"/>
  </si>
  <si>
    <t>6회 space 경로 작성</t>
    <phoneticPr fontId="2" type="noConversion"/>
  </si>
  <si>
    <t>7회 space 경로 작성</t>
    <phoneticPr fontId="2" type="noConversion"/>
  </si>
  <si>
    <t>8회 space 경로 작성</t>
    <phoneticPr fontId="2" type="noConversion"/>
  </si>
  <si>
    <t xml:space="preserve"> </t>
    <phoneticPr fontId="2" type="noConversion"/>
  </si>
  <si>
    <t>데이터(ASCII)</t>
    <phoneticPr fontId="2" type="noConversion"/>
  </si>
  <si>
    <t>암호화(BASE64)</t>
    <phoneticPr fontId="2" type="noConversion"/>
  </si>
  <si>
    <t>XOR(HEX)</t>
    <phoneticPr fontId="2" type="noConversion"/>
  </si>
  <si>
    <t>CTR</t>
    <phoneticPr fontId="2" type="noConversion"/>
  </si>
  <si>
    <t>복호화(HEX)</t>
    <phoneticPr fontId="2" type="noConversion"/>
  </si>
  <si>
    <t>XOR(ASCII)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</si>
</sst>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SALT&quot;\ 0_ "/>
    <numFmt numFmtId="177" formatCode="General\ &quot;번&quot;"/>
    <numFmt numFmtId="178" formatCode="0_ "/>
    <numFmt numFmtId="179" formatCode="General\ &quot;개&quot;"/>
  </numFmts>
  <fonts count="33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B0F0"/>
      <name val="맑은 고딕"/>
      <family val="2"/>
      <charset val="129"/>
      <scheme val="minor"/>
    </font>
    <font>
      <b/>
      <sz val="11"/>
      <color rgb="FF00B0F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FF0000"/>
      <name val="Times New Roman"/>
      <family val="1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7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7"/>
      <color theme="1" tint="0.499984740745262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3" tint="0.79998168889431442"/>
        <bgColor theme="0"/>
      </patternFill>
    </fill>
    <fill>
      <patternFill patternType="solid">
        <fgColor indexed="65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indexed="6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33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3" fontId="1" fillId="0" borderId="0" xfId="0" applyNumberFormat="1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0" fontId="6" fillId="3" borderId="0" xfId="0" applyFont="1" applyFill="1">
      <alignment vertical="center"/>
    </xf>
    <xf numFmtId="0" fontId="7" fillId="3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2" borderId="6" xfId="0" applyFill="1" applyBorder="1">
      <alignment vertical="center"/>
    </xf>
    <xf numFmtId="0" fontId="7" fillId="3" borderId="7" xfId="0" applyFont="1" applyFill="1" applyBorder="1">
      <alignment vertical="center"/>
    </xf>
    <xf numFmtId="0" fontId="0" fillId="0" borderId="8" xfId="0" applyBorder="1">
      <alignment vertical="center"/>
    </xf>
    <xf numFmtId="0" fontId="6" fillId="3" borderId="4" xfId="0" applyFont="1" applyFill="1" applyBorder="1">
      <alignment vertical="center"/>
    </xf>
    <xf numFmtId="0" fontId="6" fillId="3" borderId="6" xfId="0" applyFont="1" applyFill="1" applyBorder="1">
      <alignment vertical="center"/>
    </xf>
    <xf numFmtId="0" fontId="6" fillId="3" borderId="7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5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3" xfId="0" applyFont="1" applyBorder="1">
      <alignment vertical="center"/>
    </xf>
    <xf numFmtId="0" fontId="0" fillId="3" borderId="0" xfId="0" applyFill="1">
      <alignment vertical="center"/>
    </xf>
    <xf numFmtId="0" fontId="5" fillId="3" borderId="0" xfId="0" applyFont="1" applyFill="1">
      <alignment vertical="center"/>
    </xf>
    <xf numFmtId="3" fontId="9" fillId="0" borderId="0" xfId="0" applyNumberFormat="1" applyFont="1">
      <alignment vertical="center"/>
    </xf>
    <xf numFmtId="3" fontId="4" fillId="0" borderId="0" xfId="0" applyNumberFormat="1" applyFont="1">
      <alignment vertical="center"/>
    </xf>
    <xf numFmtId="0" fontId="3" fillId="2" borderId="0" xfId="0" applyFont="1" applyFill="1">
      <alignment vertical="center"/>
    </xf>
    <xf numFmtId="3" fontId="10" fillId="0" borderId="0" xfId="0" applyNumberFormat="1" applyFont="1">
      <alignment vertical="center"/>
    </xf>
    <xf numFmtId="3" fontId="11" fillId="0" borderId="0" xfId="0" applyNumberFormat="1" applyFont="1">
      <alignment vertical="center"/>
    </xf>
    <xf numFmtId="0" fontId="10" fillId="0" borderId="0" xfId="0" applyFont="1">
      <alignment vertical="center"/>
    </xf>
    <xf numFmtId="0" fontId="12" fillId="0" borderId="3" xfId="0" applyFont="1" applyBorder="1">
      <alignment vertical="center"/>
    </xf>
    <xf numFmtId="0" fontId="12" fillId="0" borderId="5" xfId="0" applyFont="1" applyBorder="1">
      <alignment vertical="center"/>
    </xf>
    <xf numFmtId="0" fontId="12" fillId="0" borderId="8" xfId="0" applyFont="1" applyBorder="1">
      <alignment vertical="center"/>
    </xf>
    <xf numFmtId="0" fontId="12" fillId="0" borderId="0" xfId="0" applyFont="1" applyAlignment="1">
      <alignment horizontal="left" vertical="center"/>
    </xf>
    <xf numFmtId="0" fontId="0" fillId="4" borderId="0" xfId="0" applyFill="1">
      <alignment vertical="center"/>
    </xf>
    <xf numFmtId="0" fontId="13" fillId="0" borderId="0" xfId="1">
      <alignment vertical="center"/>
    </xf>
    <xf numFmtId="0" fontId="14" fillId="0" borderId="0" xfId="0" applyFont="1">
      <alignment vertical="center"/>
    </xf>
    <xf numFmtId="0" fontId="0" fillId="0" borderId="0" xfId="0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2" borderId="1" xfId="0" applyFill="1" applyBorder="1">
      <alignment vertical="center"/>
    </xf>
    <xf numFmtId="0" fontId="6" fillId="3" borderId="1" xfId="0" applyFont="1" applyFill="1" applyBorder="1">
      <alignment vertical="center"/>
    </xf>
    <xf numFmtId="0" fontId="6" fillId="3" borderId="2" xfId="0" applyFont="1" applyFill="1" applyBorder="1">
      <alignment vertical="center"/>
    </xf>
    <xf numFmtId="0" fontId="0" fillId="2" borderId="2" xfId="0" applyFill="1" applyBorder="1">
      <alignment vertical="center"/>
    </xf>
    <xf numFmtId="3" fontId="4" fillId="0" borderId="5" xfId="0" applyNumberFormat="1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0" fillId="2" borderId="7" xfId="0" applyFill="1" applyBorder="1">
      <alignment vertical="center"/>
    </xf>
    <xf numFmtId="0" fontId="0" fillId="0" borderId="7" xfId="0" applyBorder="1">
      <alignment vertical="center"/>
    </xf>
    <xf numFmtId="3" fontId="10" fillId="0" borderId="7" xfId="0" applyNumberFormat="1" applyFont="1" applyBorder="1">
      <alignment vertical="center"/>
    </xf>
    <xf numFmtId="3" fontId="4" fillId="0" borderId="8" xfId="0" applyNumberFormat="1" applyFont="1" applyBorder="1">
      <alignment vertical="center"/>
    </xf>
    <xf numFmtId="0" fontId="0" fillId="2" borderId="3" xfId="0" applyFill="1" applyBorder="1">
      <alignment vertical="center"/>
    </xf>
    <xf numFmtId="0" fontId="0" fillId="2" borderId="5" xfId="0" applyFill="1" applyBorder="1">
      <alignment vertical="center"/>
    </xf>
    <xf numFmtId="0" fontId="0" fillId="0" borderId="4" xfId="0" applyBorder="1">
      <alignment vertical="center"/>
    </xf>
    <xf numFmtId="0" fontId="15" fillId="0" borderId="0" xfId="0" applyFont="1">
      <alignment vertical="center"/>
    </xf>
    <xf numFmtId="0" fontId="20" fillId="0" borderId="5" xfId="0" applyFont="1" applyBorder="1" applyAlignment="1">
      <alignment vertical="center" wrapText="1"/>
    </xf>
    <xf numFmtId="0" fontId="15" fillId="0" borderId="4" xfId="0" applyFont="1" applyBorder="1">
      <alignment vertical="center"/>
    </xf>
    <xf numFmtId="0" fontId="1" fillId="0" borderId="2" xfId="0" applyFont="1" applyBorder="1">
      <alignment vertical="center"/>
    </xf>
    <xf numFmtId="3" fontId="10" fillId="0" borderId="2" xfId="0" applyNumberFormat="1" applyFont="1" applyBorder="1">
      <alignment vertical="center"/>
    </xf>
    <xf numFmtId="3" fontId="10" fillId="0" borderId="3" xfId="0" applyNumberFormat="1" applyFont="1" applyBorder="1">
      <alignment vertical="center"/>
    </xf>
    <xf numFmtId="3" fontId="10" fillId="0" borderId="5" xfId="0" applyNumberFormat="1" applyFont="1" applyBorder="1">
      <alignment vertical="center"/>
    </xf>
    <xf numFmtId="3" fontId="0" fillId="2" borderId="2" xfId="0" applyNumberFormat="1" applyFill="1" applyBorder="1">
      <alignment vertical="center"/>
    </xf>
    <xf numFmtId="0" fontId="6" fillId="0" borderId="5" xfId="0" applyFont="1" applyBorder="1">
      <alignment vertical="center"/>
    </xf>
    <xf numFmtId="0" fontId="6" fillId="0" borderId="8" xfId="0" applyFont="1" applyBorder="1">
      <alignment vertical="center"/>
    </xf>
    <xf numFmtId="0" fontId="0" fillId="5" borderId="0" xfId="0" applyFill="1">
      <alignment vertical="center"/>
    </xf>
    <xf numFmtId="0" fontId="0" fillId="2" borderId="9" xfId="0" applyFill="1" applyBorder="1" applyAlignment="1">
      <alignment vertical="center" wrapText="1"/>
    </xf>
    <xf numFmtId="0" fontId="21" fillId="0" borderId="0" xfId="0" applyFont="1">
      <alignment vertical="center"/>
    </xf>
    <xf numFmtId="3" fontId="21" fillId="0" borderId="0" xfId="0" applyNumberFormat="1" applyFont="1">
      <alignment vertical="center"/>
    </xf>
    <xf numFmtId="3" fontId="21" fillId="0" borderId="5" xfId="0" applyNumberFormat="1" applyFont="1" applyBorder="1">
      <alignment vertical="center"/>
    </xf>
    <xf numFmtId="0" fontId="21" fillId="5" borderId="0" xfId="0" applyFont="1" applyFill="1">
      <alignment vertical="center"/>
    </xf>
    <xf numFmtId="0" fontId="1" fillId="6" borderId="0" xfId="0" applyFont="1" applyFill="1">
      <alignment vertical="center"/>
    </xf>
    <xf numFmtId="3" fontId="10" fillId="6" borderId="0" xfId="0" applyNumberFormat="1" applyFont="1" applyFill="1">
      <alignment vertical="center"/>
    </xf>
    <xf numFmtId="0" fontId="0" fillId="6" borderId="0" xfId="0" applyFill="1">
      <alignment vertical="center"/>
    </xf>
    <xf numFmtId="3" fontId="10" fillId="6" borderId="5" xfId="0" applyNumberFormat="1" applyFont="1" applyFill="1" applyBorder="1">
      <alignment vertical="center"/>
    </xf>
    <xf numFmtId="0" fontId="21" fillId="6" borderId="0" xfId="0" applyFont="1" applyFill="1">
      <alignment vertical="center"/>
    </xf>
    <xf numFmtId="3" fontId="21" fillId="6" borderId="0" xfId="0" applyNumberFormat="1" applyFont="1" applyFill="1">
      <alignment vertical="center"/>
    </xf>
    <xf numFmtId="3" fontId="21" fillId="6" borderId="5" xfId="0" applyNumberFormat="1" applyFont="1" applyFill="1" applyBorder="1">
      <alignment vertical="center"/>
    </xf>
    <xf numFmtId="3" fontId="21" fillId="6" borderId="2" xfId="0" applyNumberFormat="1" applyFont="1" applyFill="1" applyBorder="1">
      <alignment vertical="center"/>
    </xf>
    <xf numFmtId="0" fontId="9" fillId="0" borderId="0" xfId="0" applyFont="1">
      <alignment vertical="center"/>
    </xf>
    <xf numFmtId="0" fontId="9" fillId="7" borderId="0" xfId="0" applyFont="1" applyFill="1">
      <alignment vertical="center"/>
    </xf>
    <xf numFmtId="0" fontId="4" fillId="7" borderId="0" xfId="0" applyFont="1" applyFill="1">
      <alignment vertical="center"/>
    </xf>
    <xf numFmtId="0" fontId="22" fillId="2" borderId="2" xfId="0" applyFont="1" applyFill="1" applyBorder="1" applyAlignment="1">
      <alignment vertical="center" wrapText="1"/>
    </xf>
    <xf numFmtId="0" fontId="22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23" fillId="0" borderId="0" xfId="0" applyFont="1" applyAlignment="1">
      <alignment vertical="center" wrapText="1"/>
    </xf>
    <xf numFmtId="0" fontId="23" fillId="0" borderId="0" xfId="0" applyFont="1">
      <alignment vertical="center"/>
    </xf>
    <xf numFmtId="176" fontId="0" fillId="2" borderId="2" xfId="0" applyNumberFormat="1" applyFill="1" applyBorder="1">
      <alignment vertical="center"/>
    </xf>
    <xf numFmtId="0" fontId="0" fillId="2" borderId="10" xfId="0" applyFill="1" applyBorder="1" applyAlignment="1">
      <alignment vertical="center" wrapText="1"/>
    </xf>
    <xf numFmtId="0" fontId="21" fillId="6" borderId="2" xfId="0" applyFont="1" applyFill="1" applyBorder="1">
      <alignment vertical="center"/>
    </xf>
    <xf numFmtId="0" fontId="9" fillId="8" borderId="2" xfId="0" applyFont="1" applyFill="1" applyBorder="1">
      <alignment vertical="center"/>
    </xf>
    <xf numFmtId="0" fontId="0" fillId="8" borderId="0" xfId="0" applyFill="1">
      <alignment vertical="center"/>
    </xf>
    <xf numFmtId="0" fontId="9" fillId="8" borderId="0" xfId="0" applyFont="1" applyFill="1">
      <alignment vertical="center"/>
    </xf>
    <xf numFmtId="0" fontId="9" fillId="8" borderId="7" xfId="0" applyFont="1" applyFill="1" applyBorder="1">
      <alignment vertical="center"/>
    </xf>
    <xf numFmtId="0" fontId="4" fillId="8" borderId="0" xfId="0" applyFont="1" applyFill="1">
      <alignment vertical="center"/>
    </xf>
    <xf numFmtId="0" fontId="1" fillId="0" borderId="20" xfId="0" applyFont="1" applyBorder="1">
      <alignment vertical="center"/>
    </xf>
    <xf numFmtId="0" fontId="0" fillId="0" borderId="20" xfId="0" applyBorder="1">
      <alignment vertical="center"/>
    </xf>
    <xf numFmtId="3" fontId="10" fillId="0" borderId="20" xfId="0" applyNumberFormat="1" applyFont="1" applyBorder="1">
      <alignment vertical="center"/>
    </xf>
    <xf numFmtId="0" fontId="22" fillId="0" borderId="0" xfId="0" applyFont="1" applyAlignment="1">
      <alignment vertical="center" wrapText="1"/>
    </xf>
    <xf numFmtId="0" fontId="4" fillId="0" borderId="24" xfId="0" applyFont="1" applyBorder="1">
      <alignment vertical="center"/>
    </xf>
    <xf numFmtId="0" fontId="0" fillId="0" borderId="24" xfId="0" applyBorder="1">
      <alignment vertical="center"/>
    </xf>
    <xf numFmtId="0" fontId="22" fillId="0" borderId="24" xfId="0" applyFont="1" applyBorder="1">
      <alignment vertical="center"/>
    </xf>
    <xf numFmtId="0" fontId="21" fillId="10" borderId="0" xfId="0" applyFont="1" applyFill="1">
      <alignment vertical="center"/>
    </xf>
    <xf numFmtId="0" fontId="0" fillId="11" borderId="2" xfId="0" applyFill="1" applyBorder="1">
      <alignment vertical="center"/>
    </xf>
    <xf numFmtId="0" fontId="4" fillId="11" borderId="2" xfId="0" applyFont="1" applyFill="1" applyBorder="1">
      <alignment vertical="center"/>
    </xf>
    <xf numFmtId="0" fontId="0" fillId="12" borderId="10" xfId="0" applyFill="1" applyBorder="1" applyAlignment="1">
      <alignment vertical="center" wrapText="1"/>
    </xf>
    <xf numFmtId="0" fontId="23" fillId="11" borderId="0" xfId="0" applyFont="1" applyFill="1" applyAlignment="1">
      <alignment vertical="center" wrapText="1"/>
    </xf>
    <xf numFmtId="0" fontId="22" fillId="12" borderId="2" xfId="0" applyFont="1" applyFill="1" applyBorder="1" applyAlignment="1">
      <alignment vertical="center" wrapText="1"/>
    </xf>
    <xf numFmtId="0" fontId="1" fillId="11" borderId="2" xfId="0" applyFont="1" applyFill="1" applyBorder="1">
      <alignment vertical="center"/>
    </xf>
    <xf numFmtId="0" fontId="0" fillId="11" borderId="0" xfId="0" applyFill="1">
      <alignment vertical="center"/>
    </xf>
    <xf numFmtId="3" fontId="10" fillId="11" borderId="2" xfId="0" applyNumberFormat="1" applyFont="1" applyFill="1" applyBorder="1">
      <alignment vertical="center"/>
    </xf>
    <xf numFmtId="0" fontId="1" fillId="11" borderId="0" xfId="0" applyFont="1" applyFill="1">
      <alignment vertical="center"/>
    </xf>
    <xf numFmtId="3" fontId="10" fillId="11" borderId="0" xfId="0" applyNumberFormat="1" applyFont="1" applyFill="1">
      <alignment vertical="center"/>
    </xf>
    <xf numFmtId="0" fontId="1" fillId="10" borderId="0" xfId="0" applyFont="1" applyFill="1">
      <alignment vertical="center"/>
    </xf>
    <xf numFmtId="0" fontId="1" fillId="11" borderId="7" xfId="0" applyFont="1" applyFill="1" applyBorder="1">
      <alignment vertical="center"/>
    </xf>
    <xf numFmtId="0" fontId="0" fillId="11" borderId="7" xfId="0" applyFill="1" applyBorder="1">
      <alignment vertical="center"/>
    </xf>
    <xf numFmtId="3" fontId="10" fillId="11" borderId="7" xfId="0" applyNumberFormat="1" applyFont="1" applyFill="1" applyBorder="1">
      <alignment vertical="center"/>
    </xf>
    <xf numFmtId="0" fontId="0" fillId="13" borderId="2" xfId="0" applyFill="1" applyBorder="1">
      <alignment vertical="center"/>
    </xf>
    <xf numFmtId="0" fontId="4" fillId="13" borderId="2" xfId="0" applyFont="1" applyFill="1" applyBorder="1">
      <alignment vertical="center"/>
    </xf>
    <xf numFmtId="0" fontId="23" fillId="13" borderId="0" xfId="0" applyFont="1" applyFill="1" applyAlignment="1">
      <alignment vertical="center" wrapText="1"/>
    </xf>
    <xf numFmtId="0" fontId="1" fillId="13" borderId="2" xfId="0" applyFont="1" applyFill="1" applyBorder="1">
      <alignment vertical="center"/>
    </xf>
    <xf numFmtId="0" fontId="0" fillId="13" borderId="0" xfId="0" applyFill="1">
      <alignment vertical="center"/>
    </xf>
    <xf numFmtId="3" fontId="10" fillId="13" borderId="2" xfId="0" applyNumberFormat="1" applyFont="1" applyFill="1" applyBorder="1">
      <alignment vertical="center"/>
    </xf>
    <xf numFmtId="0" fontId="1" fillId="13" borderId="0" xfId="0" applyFont="1" applyFill="1">
      <alignment vertical="center"/>
    </xf>
    <xf numFmtId="3" fontId="10" fillId="13" borderId="0" xfId="0" applyNumberFormat="1" applyFont="1" applyFill="1">
      <alignment vertical="center"/>
    </xf>
    <xf numFmtId="0" fontId="1" fillId="13" borderId="7" xfId="0" applyFont="1" applyFill="1" applyBorder="1">
      <alignment vertical="center"/>
    </xf>
    <xf numFmtId="0" fontId="0" fillId="13" borderId="7" xfId="0" applyFill="1" applyBorder="1">
      <alignment vertical="center"/>
    </xf>
    <xf numFmtId="3" fontId="10" fillId="13" borderId="7" xfId="0" applyNumberFormat="1" applyFont="1" applyFill="1" applyBorder="1">
      <alignment vertical="center"/>
    </xf>
    <xf numFmtId="0" fontId="0" fillId="13" borderId="24" xfId="0" applyFill="1" applyBorder="1">
      <alignment vertical="center"/>
    </xf>
    <xf numFmtId="0" fontId="22" fillId="13" borderId="24" xfId="0" applyFont="1" applyFill="1" applyBorder="1">
      <alignment vertical="center"/>
    </xf>
    <xf numFmtId="0" fontId="4" fillId="13" borderId="24" xfId="0" applyFont="1" applyFill="1" applyBorder="1">
      <alignment vertical="center"/>
    </xf>
    <xf numFmtId="0" fontId="9" fillId="13" borderId="0" xfId="0" applyFont="1" applyFill="1">
      <alignment vertical="center"/>
    </xf>
    <xf numFmtId="0" fontId="24" fillId="0" borderId="11" xfId="0" applyFont="1" applyBorder="1">
      <alignment vertical="center"/>
    </xf>
    <xf numFmtId="0" fontId="25" fillId="0" borderId="22" xfId="0" applyFont="1" applyBorder="1">
      <alignment vertical="center"/>
    </xf>
    <xf numFmtId="0" fontId="24" fillId="0" borderId="0" xfId="0" applyFont="1">
      <alignment vertical="center"/>
    </xf>
    <xf numFmtId="0" fontId="25" fillId="0" borderId="23" xfId="0" applyFont="1" applyBorder="1">
      <alignment vertical="center"/>
    </xf>
    <xf numFmtId="0" fontId="25" fillId="0" borderId="24" xfId="0" applyFont="1" applyBorder="1">
      <alignment vertical="center"/>
    </xf>
    <xf numFmtId="0" fontId="25" fillId="0" borderId="7" xfId="0" applyFont="1" applyBorder="1">
      <alignment vertical="center"/>
    </xf>
    <xf numFmtId="0" fontId="25" fillId="0" borderId="7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2" fillId="0" borderId="0" xfId="0" applyFont="1">
      <alignment vertical="center"/>
    </xf>
    <xf numFmtId="0" fontId="25" fillId="0" borderId="27" xfId="0" applyFont="1" applyBorder="1">
      <alignment vertical="center"/>
    </xf>
    <xf numFmtId="0" fontId="24" fillId="0" borderId="26" xfId="0" applyFont="1" applyBorder="1">
      <alignment vertical="center"/>
    </xf>
    <xf numFmtId="0" fontId="26" fillId="8" borderId="24" xfId="0" applyFont="1" applyFill="1" applyBorder="1">
      <alignment vertical="center"/>
    </xf>
    <xf numFmtId="0" fontId="24" fillId="8" borderId="0" xfId="0" applyFont="1" applyFill="1">
      <alignment vertical="center"/>
    </xf>
    <xf numFmtId="0" fontId="25" fillId="8" borderId="0" xfId="0" applyFont="1" applyFill="1">
      <alignment vertical="center"/>
    </xf>
    <xf numFmtId="0" fontId="26" fillId="8" borderId="0" xfId="0" applyFont="1" applyFill="1">
      <alignment vertical="center"/>
    </xf>
    <xf numFmtId="0" fontId="26" fillId="8" borderId="7" xfId="0" applyFont="1" applyFill="1" applyBorder="1">
      <alignment vertical="center"/>
    </xf>
    <xf numFmtId="0" fontId="26" fillId="8" borderId="2" xfId="0" applyFont="1" applyFill="1" applyBorder="1">
      <alignment vertical="center"/>
    </xf>
    <xf numFmtId="0" fontId="26" fillId="8" borderId="20" xfId="0" applyFont="1" applyFill="1" applyBorder="1">
      <alignment vertical="center"/>
    </xf>
    <xf numFmtId="0" fontId="24" fillId="0" borderId="0" xfId="0" applyFont="1" applyAlignment="1">
      <alignment horizontal="left" vertical="center"/>
    </xf>
    <xf numFmtId="0" fontId="26" fillId="8" borderId="22" xfId="0" applyFont="1" applyFill="1" applyBorder="1">
      <alignment vertical="center"/>
    </xf>
    <xf numFmtId="0" fontId="24" fillId="8" borderId="16" xfId="0" applyFont="1" applyFill="1" applyBorder="1">
      <alignment vertical="center"/>
    </xf>
    <xf numFmtId="0" fontId="25" fillId="8" borderId="16" xfId="0" applyFont="1" applyFill="1" applyBorder="1">
      <alignment vertical="center"/>
    </xf>
    <xf numFmtId="0" fontId="26" fillId="8" borderId="16" xfId="0" applyFont="1" applyFill="1" applyBorder="1">
      <alignment vertical="center"/>
    </xf>
    <xf numFmtId="0" fontId="26" fillId="8" borderId="18" xfId="0" applyFont="1" applyFill="1" applyBorder="1">
      <alignment vertical="center"/>
    </xf>
    <xf numFmtId="0" fontId="26" fillId="8" borderId="14" xfId="0" applyFont="1" applyFill="1" applyBorder="1">
      <alignment vertical="center"/>
    </xf>
    <xf numFmtId="0" fontId="26" fillId="8" borderId="21" xfId="0" applyFont="1" applyFill="1" applyBorder="1">
      <alignment vertical="center"/>
    </xf>
    <xf numFmtId="0" fontId="24" fillId="13" borderId="0" xfId="0" applyFont="1" applyFill="1">
      <alignment vertical="center"/>
    </xf>
    <xf numFmtId="0" fontId="26" fillId="9" borderId="14" xfId="0" applyFont="1" applyFill="1" applyBorder="1">
      <alignment vertical="center"/>
    </xf>
    <xf numFmtId="0" fontId="24" fillId="9" borderId="16" xfId="0" applyFont="1" applyFill="1" applyBorder="1">
      <alignment vertical="center"/>
    </xf>
    <xf numFmtId="0" fontId="25" fillId="9" borderId="16" xfId="0" applyFont="1" applyFill="1" applyBorder="1">
      <alignment vertical="center"/>
    </xf>
    <xf numFmtId="0" fontId="26" fillId="9" borderId="16" xfId="0" applyFont="1" applyFill="1" applyBorder="1">
      <alignment vertical="center"/>
    </xf>
    <xf numFmtId="0" fontId="26" fillId="9" borderId="18" xfId="0" applyFont="1" applyFill="1" applyBorder="1">
      <alignment vertical="center"/>
    </xf>
    <xf numFmtId="177" fontId="24" fillId="0" borderId="0" xfId="0" applyNumberFormat="1" applyFont="1">
      <alignment vertical="center"/>
    </xf>
    <xf numFmtId="0" fontId="25" fillId="0" borderId="15" xfId="0" applyFont="1" applyBorder="1">
      <alignment vertical="center"/>
    </xf>
    <xf numFmtId="0" fontId="25" fillId="0" borderId="0" xfId="0" applyFont="1">
      <alignment vertical="center"/>
    </xf>
    <xf numFmtId="177" fontId="0" fillId="0" borderId="0" xfId="0" applyNumberFormat="1" applyAlignment="1">
      <alignment horizontal="center" vertical="center"/>
    </xf>
    <xf numFmtId="0" fontId="12" fillId="0" borderId="0" xfId="0" applyFont="1">
      <alignment vertical="center"/>
    </xf>
    <xf numFmtId="0" fontId="6" fillId="0" borderId="0" xfId="0" applyFont="1">
      <alignment vertical="center"/>
    </xf>
    <xf numFmtId="177" fontId="0" fillId="0" borderId="15" xfId="0" applyNumberFormat="1" applyBorder="1" applyAlignment="1">
      <alignment horizontal="center" vertical="center"/>
    </xf>
    <xf numFmtId="0" fontId="24" fillId="14" borderId="11" xfId="0" applyFont="1" applyFill="1" applyBorder="1">
      <alignment vertical="center"/>
    </xf>
    <xf numFmtId="0" fontId="0" fillId="2" borderId="0" xfId="0" applyFill="1" applyAlignment="1">
      <alignment vertical="center" wrapText="1"/>
    </xf>
    <xf numFmtId="0" fontId="22" fillId="2" borderId="0" xfId="0" applyFont="1" applyFill="1" applyAlignment="1">
      <alignment vertical="center" wrapText="1"/>
    </xf>
    <xf numFmtId="0" fontId="24" fillId="15" borderId="11" xfId="0" applyFont="1" applyFill="1" applyBorder="1">
      <alignment vertical="center"/>
    </xf>
    <xf numFmtId="178" fontId="0" fillId="2" borderId="2" xfId="0" applyNumberFormat="1" applyFill="1" applyBorder="1">
      <alignment vertical="center"/>
    </xf>
    <xf numFmtId="0" fontId="1" fillId="15" borderId="0" xfId="0" applyFont="1" applyFill="1">
      <alignment vertical="center"/>
    </xf>
    <xf numFmtId="0" fontId="0" fillId="15" borderId="0" xfId="0" applyFill="1">
      <alignment vertical="center"/>
    </xf>
    <xf numFmtId="3" fontId="10" fillId="15" borderId="0" xfId="0" applyNumberFormat="1" applyFont="1" applyFill="1">
      <alignment vertical="center"/>
    </xf>
    <xf numFmtId="0" fontId="25" fillId="15" borderId="0" xfId="0" applyFont="1" applyFill="1">
      <alignment vertical="center"/>
    </xf>
    <xf numFmtId="177" fontId="0" fillId="15" borderId="15" xfId="0" applyNumberFormat="1" applyFill="1" applyBorder="1" applyAlignment="1">
      <alignment horizontal="center" vertical="center"/>
    </xf>
    <xf numFmtId="0" fontId="25" fillId="15" borderId="16" xfId="0" applyFont="1" applyFill="1" applyBorder="1">
      <alignment vertical="center"/>
    </xf>
    <xf numFmtId="0" fontId="4" fillId="15" borderId="0" xfId="0" applyFont="1" applyFill="1">
      <alignment vertical="center"/>
    </xf>
    <xf numFmtId="177" fontId="0" fillId="15" borderId="0" xfId="0" applyNumberFormat="1" applyFill="1" applyAlignment="1">
      <alignment horizontal="center" vertical="center"/>
    </xf>
    <xf numFmtId="0" fontId="26" fillId="15" borderId="0" xfId="0" applyFont="1" applyFill="1">
      <alignment vertical="center"/>
    </xf>
    <xf numFmtId="0" fontId="9" fillId="15" borderId="0" xfId="0" applyFont="1" applyFill="1">
      <alignment vertical="center"/>
    </xf>
    <xf numFmtId="0" fontId="1" fillId="15" borderId="20" xfId="0" applyFont="1" applyFill="1" applyBorder="1">
      <alignment vertical="center"/>
    </xf>
    <xf numFmtId="0" fontId="0" fillId="15" borderId="20" xfId="0" applyFill="1" applyBorder="1">
      <alignment vertical="center"/>
    </xf>
    <xf numFmtId="0" fontId="26" fillId="15" borderId="20" xfId="0" applyFont="1" applyFill="1" applyBorder="1">
      <alignment vertical="center"/>
    </xf>
    <xf numFmtId="0" fontId="26" fillId="15" borderId="21" xfId="0" applyFont="1" applyFill="1" applyBorder="1">
      <alignment vertical="center"/>
    </xf>
    <xf numFmtId="0" fontId="9" fillId="15" borderId="7" xfId="0" applyFont="1" applyFill="1" applyBorder="1">
      <alignment vertical="center"/>
    </xf>
    <xf numFmtId="0" fontId="1" fillId="4" borderId="0" xfId="0" applyFont="1" applyFill="1">
      <alignment vertical="center"/>
    </xf>
    <xf numFmtId="3" fontId="10" fillId="4" borderId="0" xfId="0" applyNumberFormat="1" applyFont="1" applyFill="1">
      <alignment vertical="center"/>
    </xf>
    <xf numFmtId="0" fontId="1" fillId="4" borderId="7" xfId="0" applyFont="1" applyFill="1" applyBorder="1">
      <alignment vertical="center"/>
    </xf>
    <xf numFmtId="0" fontId="0" fillId="4" borderId="7" xfId="0" applyFill="1" applyBorder="1">
      <alignment vertical="center"/>
    </xf>
    <xf numFmtId="0" fontId="0" fillId="0" borderId="0" xfId="0" quotePrefix="1">
      <alignment vertical="center"/>
    </xf>
    <xf numFmtId="179" fontId="24" fillId="0" borderId="0" xfId="0" applyNumberFormat="1" applyFont="1">
      <alignment vertical="center"/>
    </xf>
    <xf numFmtId="177" fontId="0" fillId="0" borderId="28" xfId="0" applyNumberFormat="1" applyBorder="1">
      <alignment vertical="center"/>
    </xf>
    <xf numFmtId="0" fontId="15" fillId="0" borderId="0" xfId="0" quotePrefix="1" applyFont="1">
      <alignment vertical="center"/>
    </xf>
    <xf numFmtId="0" fontId="15" fillId="2" borderId="0" xfId="0" applyFont="1" applyFill="1">
      <alignment vertical="center"/>
    </xf>
    <xf numFmtId="0" fontId="15" fillId="0" borderId="0" xfId="0" applyFont="1" applyAlignment="1">
      <alignment horizontal="left" vertical="center"/>
    </xf>
    <xf numFmtId="0" fontId="15" fillId="0" borderId="1" xfId="0" applyFont="1" applyBorder="1">
      <alignment vertical="center"/>
    </xf>
    <xf numFmtId="0" fontId="15" fillId="0" borderId="2" xfId="0" applyFont="1" applyBorder="1">
      <alignment vertical="center"/>
    </xf>
    <xf numFmtId="0" fontId="15" fillId="0" borderId="3" xfId="0" applyFont="1" applyBorder="1">
      <alignment vertical="center"/>
    </xf>
    <xf numFmtId="0" fontId="27" fillId="0" borderId="3" xfId="0" applyFont="1" applyBorder="1">
      <alignment vertical="center"/>
    </xf>
    <xf numFmtId="0" fontId="27" fillId="0" borderId="0" xfId="0" applyFo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8" fillId="0" borderId="3" xfId="0" applyFont="1" applyBorder="1">
      <alignment vertical="center"/>
    </xf>
    <xf numFmtId="0" fontId="15" fillId="2" borderId="4" xfId="0" applyFont="1" applyFill="1" applyBorder="1">
      <alignment vertical="center"/>
    </xf>
    <xf numFmtId="0" fontId="29" fillId="3" borderId="0" xfId="0" applyFont="1" applyFill="1">
      <alignment vertical="center"/>
    </xf>
    <xf numFmtId="0" fontId="15" fillId="0" borderId="5" xfId="0" applyFont="1" applyBorder="1">
      <alignment vertical="center"/>
    </xf>
    <xf numFmtId="0" fontId="29" fillId="0" borderId="5" xfId="0" applyFont="1" applyBorder="1">
      <alignment vertical="center"/>
    </xf>
    <xf numFmtId="0" fontId="29" fillId="0" borderId="0" xfId="0" applyFont="1">
      <alignment vertical="center"/>
    </xf>
    <xf numFmtId="0" fontId="29" fillId="3" borderId="4" xfId="0" applyFont="1" applyFill="1" applyBorder="1">
      <alignment vertical="center"/>
    </xf>
    <xf numFmtId="0" fontId="28" fillId="0" borderId="5" xfId="0" applyFont="1" applyBorder="1">
      <alignment vertical="center"/>
    </xf>
    <xf numFmtId="0" fontId="29" fillId="3" borderId="6" xfId="0" applyFont="1" applyFill="1" applyBorder="1">
      <alignment vertical="center"/>
    </xf>
    <xf numFmtId="0" fontId="29" fillId="3" borderId="7" xfId="0" applyFont="1" applyFill="1" applyBorder="1">
      <alignment vertical="center"/>
    </xf>
    <xf numFmtId="0" fontId="28" fillId="0" borderId="8" xfId="0" applyFont="1" applyBorder="1">
      <alignment vertical="center"/>
    </xf>
    <xf numFmtId="0" fontId="15" fillId="2" borderId="6" xfId="0" applyFont="1" applyFill="1" applyBorder="1">
      <alignment vertical="center"/>
    </xf>
    <xf numFmtId="0" fontId="15" fillId="0" borderId="8" xfId="0" applyFont="1" applyBorder="1">
      <alignment vertical="center"/>
    </xf>
    <xf numFmtId="0" fontId="29" fillId="0" borderId="8" xfId="0" applyFont="1" applyBorder="1">
      <alignment vertical="center"/>
    </xf>
    <xf numFmtId="0" fontId="30" fillId="0" borderId="0" xfId="0" applyFont="1">
      <alignment vertical="center"/>
    </xf>
    <xf numFmtId="0" fontId="20" fillId="0" borderId="0" xfId="0" applyFont="1">
      <alignment vertical="center"/>
    </xf>
    <xf numFmtId="0" fontId="20" fillId="0" borderId="15" xfId="0" applyFont="1" applyBorder="1">
      <alignment vertical="center"/>
    </xf>
    <xf numFmtId="179" fontId="15" fillId="0" borderId="0" xfId="0" applyNumberFormat="1" applyFont="1">
      <alignment vertical="center"/>
    </xf>
    <xf numFmtId="0" fontId="15" fillId="15" borderId="11" xfId="0" applyFont="1" applyFill="1" applyBorder="1">
      <alignment vertical="center"/>
    </xf>
    <xf numFmtId="0" fontId="20" fillId="0" borderId="22" xfId="0" applyFont="1" applyBorder="1">
      <alignment vertical="center"/>
    </xf>
    <xf numFmtId="177" fontId="15" fillId="0" borderId="0" xfId="0" applyNumberFormat="1" applyFont="1">
      <alignment vertical="center"/>
    </xf>
    <xf numFmtId="0" fontId="20" fillId="0" borderId="23" xfId="0" applyFont="1" applyBorder="1">
      <alignment vertical="center"/>
    </xf>
    <xf numFmtId="0" fontId="20" fillId="0" borderId="24" xfId="0" applyFont="1" applyBorder="1">
      <alignment vertical="center"/>
    </xf>
    <xf numFmtId="0" fontId="20" fillId="0" borderId="7" xfId="0" applyFont="1" applyBorder="1" applyAlignment="1">
      <alignment horizontal="center" vertical="center"/>
    </xf>
    <xf numFmtId="0" fontId="20" fillId="0" borderId="27" xfId="0" applyFont="1" applyBorder="1">
      <alignment vertical="center"/>
    </xf>
    <xf numFmtId="0" fontId="15" fillId="0" borderId="11" xfId="0" applyFont="1" applyBorder="1">
      <alignment vertical="center"/>
    </xf>
    <xf numFmtId="0" fontId="20" fillId="0" borderId="7" xfId="0" applyFont="1" applyBorder="1">
      <alignment vertical="center"/>
    </xf>
    <xf numFmtId="0" fontId="20" fillId="0" borderId="26" xfId="0" applyFont="1" applyBorder="1" applyAlignment="1">
      <alignment horizontal="center" vertical="center"/>
    </xf>
    <xf numFmtId="0" fontId="15" fillId="0" borderId="26" xfId="0" applyFont="1" applyBorder="1">
      <alignment vertical="center"/>
    </xf>
    <xf numFmtId="0" fontId="15" fillId="2" borderId="2" xfId="0" applyFont="1" applyFill="1" applyBorder="1">
      <alignment vertical="center"/>
    </xf>
    <xf numFmtId="0" fontId="20" fillId="0" borderId="2" xfId="0" applyFont="1" applyBorder="1">
      <alignment vertical="center"/>
    </xf>
    <xf numFmtId="0" fontId="30" fillId="8" borderId="24" xfId="0" applyFont="1" applyFill="1" applyBorder="1">
      <alignment vertical="center"/>
    </xf>
    <xf numFmtId="177" fontId="15" fillId="0" borderId="28" xfId="0" applyNumberFormat="1" applyFont="1" applyBorder="1">
      <alignment vertical="center"/>
    </xf>
    <xf numFmtId="0" fontId="15" fillId="0" borderId="24" xfId="0" applyFont="1" applyBorder="1">
      <alignment vertical="center"/>
    </xf>
    <xf numFmtId="0" fontId="15" fillId="13" borderId="24" xfId="0" applyFont="1" applyFill="1" applyBorder="1">
      <alignment vertical="center"/>
    </xf>
    <xf numFmtId="0" fontId="30" fillId="8" borderId="22" xfId="0" applyFont="1" applyFill="1" applyBorder="1">
      <alignment vertical="center"/>
    </xf>
    <xf numFmtId="0" fontId="30" fillId="8" borderId="0" xfId="0" applyFont="1" applyFill="1">
      <alignment vertical="center"/>
    </xf>
    <xf numFmtId="0" fontId="15" fillId="2" borderId="0" xfId="0" applyFont="1" applyFill="1" applyAlignment="1">
      <alignment vertical="center" wrapText="1"/>
    </xf>
    <xf numFmtId="0" fontId="15" fillId="8" borderId="0" xfId="0" applyFont="1" applyFill="1">
      <alignment vertical="center"/>
    </xf>
    <xf numFmtId="0" fontId="15" fillId="8" borderId="16" xfId="0" applyFont="1" applyFill="1" applyBorder="1">
      <alignment vertical="center"/>
    </xf>
    <xf numFmtId="0" fontId="30" fillId="15" borderId="0" xfId="0" applyFont="1" applyFill="1">
      <alignment vertical="center"/>
    </xf>
    <xf numFmtId="0" fontId="15" fillId="15" borderId="0" xfId="0" applyFont="1" applyFill="1">
      <alignment vertical="center"/>
    </xf>
    <xf numFmtId="0" fontId="15" fillId="4" borderId="0" xfId="0" applyFont="1" applyFill="1">
      <alignment vertical="center"/>
    </xf>
    <xf numFmtId="3" fontId="31" fillId="15" borderId="0" xfId="0" applyNumberFormat="1" applyFont="1" applyFill="1">
      <alignment vertical="center"/>
    </xf>
    <xf numFmtId="0" fontId="20" fillId="15" borderId="0" xfId="0" applyFont="1" applyFill="1">
      <alignment vertical="center"/>
    </xf>
    <xf numFmtId="0" fontId="30" fillId="4" borderId="0" xfId="0" applyFont="1" applyFill="1">
      <alignment vertical="center"/>
    </xf>
    <xf numFmtId="3" fontId="31" fillId="4" borderId="0" xfId="0" applyNumberFormat="1" applyFont="1" applyFill="1">
      <alignment vertical="center"/>
    </xf>
    <xf numFmtId="0" fontId="30" fillId="4" borderId="7" xfId="0" applyFont="1" applyFill="1" applyBorder="1">
      <alignment vertical="center"/>
    </xf>
    <xf numFmtId="0" fontId="30" fillId="8" borderId="7" xfId="0" applyFont="1" applyFill="1" applyBorder="1">
      <alignment vertical="center"/>
    </xf>
    <xf numFmtId="0" fontId="30" fillId="0" borderId="7" xfId="0" applyFont="1" applyBorder="1">
      <alignment vertical="center"/>
    </xf>
    <xf numFmtId="0" fontId="30" fillId="8" borderId="2" xfId="0" applyFont="1" applyFill="1" applyBorder="1">
      <alignment vertical="center"/>
    </xf>
    <xf numFmtId="3" fontId="31" fillId="0" borderId="0" xfId="0" applyNumberFormat="1" applyFont="1">
      <alignment vertical="center"/>
    </xf>
    <xf numFmtId="0" fontId="20" fillId="8" borderId="0" xfId="0" applyFont="1" applyFill="1">
      <alignment vertical="center"/>
    </xf>
    <xf numFmtId="178" fontId="15" fillId="2" borderId="2" xfId="0" applyNumberFormat="1" applyFont="1" applyFill="1" applyBorder="1">
      <alignment vertical="center"/>
    </xf>
    <xf numFmtId="0" fontId="30" fillId="0" borderId="2" xfId="0" applyFont="1" applyBorder="1">
      <alignment vertical="center"/>
    </xf>
    <xf numFmtId="0" fontId="30" fillId="15" borderId="20" xfId="0" applyFont="1" applyFill="1" applyBorder="1">
      <alignment vertical="center"/>
    </xf>
    <xf numFmtId="0" fontId="15" fillId="15" borderId="20" xfId="0" applyFont="1" applyFill="1" applyBorder="1">
      <alignment vertical="center"/>
    </xf>
    <xf numFmtId="0" fontId="20" fillId="16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3" fillId="14" borderId="15" xfId="0" applyFont="1" applyFill="1" applyBorder="1" applyAlignment="1">
      <alignment horizontal="center" vertical="center"/>
    </xf>
    <xf numFmtId="0" fontId="3" fillId="14" borderId="17" xfId="0" applyFont="1" applyFill="1" applyBorder="1" applyAlignment="1">
      <alignment horizontal="center" vertical="center"/>
    </xf>
    <xf numFmtId="0" fontId="3" fillId="14" borderId="19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3" fillId="15" borderId="13" xfId="0" applyFont="1" applyFill="1" applyBorder="1" applyAlignment="1">
      <alignment horizontal="center" vertical="center"/>
    </xf>
    <xf numFmtId="0" fontId="3" fillId="15" borderId="15" xfId="0" applyFont="1" applyFill="1" applyBorder="1" applyAlignment="1">
      <alignment horizontal="center" vertical="center"/>
    </xf>
    <xf numFmtId="0" fontId="3" fillId="15" borderId="19" xfId="0" applyFont="1" applyFill="1" applyBorder="1" applyAlignment="1">
      <alignment horizontal="center" vertical="center"/>
    </xf>
    <xf numFmtId="0" fontId="3" fillId="15" borderId="17" xfId="0" applyFont="1" applyFill="1" applyBorder="1" applyAlignment="1">
      <alignment horizontal="center" vertical="center"/>
    </xf>
    <xf numFmtId="0" fontId="25" fillId="16" borderId="25" xfId="0" applyFont="1" applyFill="1" applyBorder="1" applyAlignment="1">
      <alignment horizontal="center" vertical="center"/>
    </xf>
    <xf numFmtId="0" fontId="25" fillId="16" borderId="26" xfId="0" applyFont="1" applyFill="1" applyBorder="1" applyAlignment="1">
      <alignment horizontal="center" vertical="center"/>
    </xf>
    <xf numFmtId="0" fontId="25" fillId="16" borderId="27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177" fontId="15" fillId="0" borderId="28" xfId="0" applyNumberFormat="1" applyFont="1" applyBorder="1" applyAlignment="1">
      <alignment horizontal="center" vertical="center"/>
    </xf>
    <xf numFmtId="0" fontId="16" fillId="15" borderId="13" xfId="0" applyFont="1" applyFill="1" applyBorder="1" applyAlignment="1">
      <alignment horizontal="center" vertical="center"/>
    </xf>
    <xf numFmtId="0" fontId="16" fillId="15" borderId="15" xfId="0" applyFont="1" applyFill="1" applyBorder="1" applyAlignment="1">
      <alignment horizontal="center" vertical="center"/>
    </xf>
    <xf numFmtId="0" fontId="16" fillId="15" borderId="19" xfId="0" applyFont="1" applyFill="1" applyBorder="1" applyAlignment="1">
      <alignment horizontal="center" vertical="center"/>
    </xf>
    <xf numFmtId="0" fontId="16" fillId="15" borderId="17" xfId="0" applyFont="1" applyFill="1" applyBorder="1" applyAlignment="1">
      <alignment horizontal="center" vertical="center"/>
    </xf>
    <xf numFmtId="0" fontId="20" fillId="16" borderId="25" xfId="0" applyFont="1" applyFill="1" applyBorder="1" applyAlignment="1">
      <alignment horizontal="center" vertical="center"/>
    </xf>
    <xf numFmtId="0" fontId="20" fillId="16" borderId="26" xfId="0" applyFont="1" applyFill="1" applyBorder="1" applyAlignment="1">
      <alignment horizontal="center" vertical="center"/>
    </xf>
    <xf numFmtId="0" fontId="20" fillId="16" borderId="27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3" fillId="0" borderId="29" xfId="0" applyFont="1" applyBorder="1">
      <alignment vertical="center"/>
    </xf>
    <xf numFmtId="0" fontId="19" fillId="0" borderId="29" xfId="0" applyFont="1" applyBorder="1" applyAlignment="1">
      <alignment horizontal="left" vertical="center" wrapText="1" shrinkToFit="1"/>
    </xf>
    <xf numFmtId="0" fontId="15" fillId="0" borderId="29" xfId="0" applyFont="1" applyBorder="1" applyAlignment="1">
      <alignment horizontal="left" vertical="center" wrapText="1" shrinkToFit="1"/>
    </xf>
    <xf numFmtId="0" fontId="3" fillId="0" borderId="29" xfId="0" applyFont="1" applyBorder="1" applyAlignment="1">
      <alignment horizontal="center" vertical="center" wrapText="1" shrinkToFit="1"/>
    </xf>
    <xf numFmtId="0" fontId="3" fillId="0" borderId="29" xfId="0" applyFont="1" applyBorder="1" applyAlignment="1">
      <alignment horizontal="center" vertical="center" wrapText="1"/>
    </xf>
    <xf numFmtId="0" fontId="18" fillId="0" borderId="29" xfId="0" applyFont="1" applyBorder="1" applyAlignment="1">
      <alignment vertical="center" wrapText="1" shrinkToFit="1"/>
    </xf>
    <xf numFmtId="0" fontId="17" fillId="0" borderId="29" xfId="0" applyFont="1" applyBorder="1" applyAlignment="1">
      <alignment horizontal="left" vertical="center" wrapText="1" shrinkToFi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29" xfId="0" applyFont="1" applyBorder="1">
      <alignment vertical="center"/>
    </xf>
    <xf numFmtId="0" fontId="16" fillId="0" borderId="30" xfId="0" applyFont="1" applyBorder="1">
      <alignment vertical="center"/>
    </xf>
    <xf numFmtId="0" fontId="0" fillId="0" borderId="29" xfId="0" applyBorder="1" applyAlignment="1">
      <alignment horizontal="center" vertical="center"/>
    </xf>
    <xf numFmtId="0" fontId="16" fillId="0" borderId="29" xfId="0" applyFont="1" applyBorder="1" applyAlignment="1">
      <alignment vertical="center" wrapText="1"/>
    </xf>
    <xf numFmtId="0" fontId="15" fillId="0" borderId="29" xfId="0" applyFont="1" applyBorder="1" applyAlignment="1">
      <alignment vertical="center" wrapText="1"/>
    </xf>
    <xf numFmtId="0" fontId="32" fillId="17" borderId="30" xfId="0" applyFont="1" applyFill="1" applyBorder="1" applyAlignment="1">
      <alignment horizontal="left" vertical="center" wrapText="1"/>
    </xf>
    <xf numFmtId="0" fontId="32" fillId="17" borderId="29" xfId="0" applyFont="1" applyFill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1176618</xdr:colOff>
      <xdr:row>23</xdr:row>
      <xdr:rowOff>0</xdr:rowOff>
    </xdr:from>
    <xdr:to>
      <xdr:col>4</xdr:col>
      <xdr:colOff>1028141</xdr:colOff>
      <xdr:row>23</xdr:row>
      <xdr:rowOff>208935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EEABBD2-F6F4-490A-9EB7-16149AB44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736" y="4896971"/>
          <a:ext cx="2428876" cy="208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134470</xdr:colOff>
      <xdr:row>0</xdr:row>
      <xdr:rowOff>22411</xdr:rowOff>
    </xdr:from>
    <xdr:to>
      <xdr:col>8</xdr:col>
      <xdr:colOff>337271</xdr:colOff>
      <xdr:row>1</xdr:row>
      <xdr:rowOff>44822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00D8455-6880-410A-A58D-E3B080880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0941" y="22411"/>
          <a:ext cx="1581124" cy="23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1019735</xdr:colOff>
      <xdr:row>0</xdr:row>
      <xdr:rowOff>0</xdr:rowOff>
    </xdr:from>
    <xdr:to>
      <xdr:col>15</xdr:col>
      <xdr:colOff>45918</xdr:colOff>
      <xdr:row>1</xdr:row>
      <xdr:rowOff>22411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F370681-3354-6FAC-ED84-19BDAD1C7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5294" y="0"/>
          <a:ext cx="1581124" cy="235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819150</xdr:colOff>
      <xdr:row>3</xdr:row>
      <xdr:rowOff>38100</xdr:rowOff>
    </xdr:from>
    <xdr:to>
      <xdr:col>7</xdr:col>
      <xdr:colOff>9526</xdr:colOff>
      <xdr:row>4</xdr:row>
      <xdr:rowOff>37485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7AD9F9B-4C30-4D5E-B050-4FC8AE652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6550" y="666750"/>
          <a:ext cx="2428876" cy="208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1176618</xdr:colOff>
      <xdr:row>13</xdr:row>
      <xdr:rowOff>0</xdr:rowOff>
    </xdr:from>
    <xdr:to>
      <xdr:col>5</xdr:col>
      <xdr:colOff>1028141</xdr:colOff>
      <xdr:row>13</xdr:row>
      <xdr:rowOff>208935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9D8EFDC-33AB-4F77-8466-96A910728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8218" y="4819650"/>
          <a:ext cx="2423273" cy="208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1176618</xdr:colOff>
      <xdr:row>23</xdr:row>
      <xdr:rowOff>0</xdr:rowOff>
    </xdr:from>
    <xdr:to>
      <xdr:col>5</xdr:col>
      <xdr:colOff>1028141</xdr:colOff>
      <xdr:row>23</xdr:row>
      <xdr:rowOff>208935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1ED60A8-D1B3-4D8A-962F-D4856E597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8218" y="4819650"/>
          <a:ext cx="2423273" cy="208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1176618</xdr:colOff>
      <xdr:row>23</xdr:row>
      <xdr:rowOff>0</xdr:rowOff>
    </xdr:from>
    <xdr:to>
      <xdr:col>5</xdr:col>
      <xdr:colOff>1028141</xdr:colOff>
      <xdr:row>23</xdr:row>
      <xdr:rowOff>208935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DB9C14C-653D-4391-891A-BEE726605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993" y="2724150"/>
          <a:ext cx="1746998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xor.pw/" TargetMode="External"/><Relationship Id="rId1" Type="http://schemas.openxmlformats.org/officeDocument/2006/relationships/hyperlink" Target="https://www.devglan.com/online-tools/rsa-encryption-decryption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3"/>
  <sheetViews>
    <sheetView view="pageBreakPreview" zoomScale="115" zoomScaleNormal="85" zoomScaleSheetLayoutView="115" workbookViewId="0">
      <selection activeCell="F23" sqref="F23"/>
    </sheetView>
  </sheetViews>
  <sheetFormatPr defaultRowHeight="17" x14ac:dyDescent="0.45"/>
  <cols>
    <col min="3" max="3" width="14.33203125" customWidth="1"/>
    <col min="4" max="4" width="12.83203125" bestFit="1" customWidth="1"/>
    <col min="5" max="5" width="14.08203125" customWidth="1"/>
    <col min="6" max="6" width="18.83203125" customWidth="1"/>
    <col min="7" max="8" width="16.75" customWidth="1"/>
    <col min="9" max="9" width="13.83203125" customWidth="1"/>
    <col min="10" max="11" width="11.58203125" bestFit="1" customWidth="1"/>
    <col min="12" max="12" width="14.25" customWidth="1"/>
    <col min="13" max="13" width="20.83203125" customWidth="1"/>
    <col min="14" max="14" width="11.58203125" bestFit="1" customWidth="1"/>
  </cols>
  <sheetData>
    <row r="1" spans="1:9" x14ac:dyDescent="0.45">
      <c r="A1" s="270" t="s">
        <v>10</v>
      </c>
      <c r="B1" s="270"/>
      <c r="C1" s="270"/>
      <c r="D1" s="270"/>
      <c r="E1" s="5">
        <v>8</v>
      </c>
    </row>
    <row r="2" spans="1:9" x14ac:dyDescent="0.45">
      <c r="A2" s="6"/>
      <c r="B2" s="6"/>
      <c r="C2" s="6"/>
      <c r="D2" s="6"/>
      <c r="E2" s="5"/>
    </row>
    <row r="3" spans="1:9" x14ac:dyDescent="0.45">
      <c r="A3" s="270" t="s">
        <v>30</v>
      </c>
      <c r="B3" s="270"/>
      <c r="C3" s="270"/>
      <c r="D3" s="270"/>
      <c r="E3" s="270"/>
    </row>
    <row r="4" spans="1:9" x14ac:dyDescent="0.45">
      <c r="A4" s="9"/>
      <c r="B4" s="9" t="s">
        <v>24</v>
      </c>
      <c r="C4" s="10" t="s">
        <v>3</v>
      </c>
      <c r="D4" s="11" t="s">
        <v>28</v>
      </c>
      <c r="E4" s="33"/>
    </row>
    <row r="5" spans="1:9" x14ac:dyDescent="0.45">
      <c r="A5" s="12" t="s">
        <v>9</v>
      </c>
      <c r="B5" s="7" t="s">
        <v>33</v>
      </c>
      <c r="C5" s="7" t="s">
        <v>2</v>
      </c>
      <c r="D5" s="13">
        <f>HEX2DEC(C5)</f>
        <v>975202823</v>
      </c>
      <c r="E5" s="34">
        <f t="shared" ref="E5:E12" si="0">MOD(D5,$E$1)</f>
        <v>7</v>
      </c>
    </row>
    <row r="6" spans="1:9" x14ac:dyDescent="0.45">
      <c r="A6" s="12" t="s">
        <v>8</v>
      </c>
      <c r="B6" s="8" t="s">
        <v>34</v>
      </c>
      <c r="C6" s="8" t="s">
        <v>1</v>
      </c>
      <c r="D6" s="13">
        <f t="shared" ref="D6:D12" si="1">HEX2DEC(C6)</f>
        <v>2369628931</v>
      </c>
      <c r="E6" s="34">
        <f t="shared" si="0"/>
        <v>3</v>
      </c>
    </row>
    <row r="7" spans="1:9" x14ac:dyDescent="0.45">
      <c r="A7" s="12" t="s">
        <v>7</v>
      </c>
      <c r="B7" s="8" t="s">
        <v>35</v>
      </c>
      <c r="C7" s="8" t="s">
        <v>0</v>
      </c>
      <c r="D7" s="13">
        <f t="shared" si="1"/>
        <v>1411115022</v>
      </c>
      <c r="E7" s="34">
        <f t="shared" si="0"/>
        <v>6</v>
      </c>
    </row>
    <row r="8" spans="1:9" x14ac:dyDescent="0.45">
      <c r="A8" s="12" t="s">
        <v>19</v>
      </c>
      <c r="B8" s="8" t="s">
        <v>36</v>
      </c>
      <c r="C8" s="8" t="s">
        <v>12</v>
      </c>
      <c r="D8" s="13">
        <f t="shared" si="1"/>
        <v>3808831754</v>
      </c>
      <c r="E8" s="34">
        <f t="shared" si="0"/>
        <v>2</v>
      </c>
    </row>
    <row r="9" spans="1:9" x14ac:dyDescent="0.45">
      <c r="A9" s="12" t="s">
        <v>20</v>
      </c>
      <c r="B9" s="8" t="s">
        <v>37</v>
      </c>
      <c r="C9" s="8" t="s">
        <v>14</v>
      </c>
      <c r="D9" s="13">
        <f t="shared" si="1"/>
        <v>3864423956</v>
      </c>
      <c r="E9" s="34">
        <f t="shared" si="0"/>
        <v>4</v>
      </c>
    </row>
    <row r="10" spans="1:9" x14ac:dyDescent="0.45">
      <c r="A10" s="12" t="s">
        <v>21</v>
      </c>
      <c r="B10" s="8" t="s">
        <v>38</v>
      </c>
      <c r="C10" s="8" t="s">
        <v>15</v>
      </c>
      <c r="D10" s="13">
        <f t="shared" si="1"/>
        <v>1363914512</v>
      </c>
      <c r="E10" s="34">
        <f t="shared" si="0"/>
        <v>0</v>
      </c>
    </row>
    <row r="11" spans="1:9" x14ac:dyDescent="0.45">
      <c r="A11" s="12" t="s">
        <v>22</v>
      </c>
      <c r="B11" s="8" t="s">
        <v>39</v>
      </c>
      <c r="C11" s="8" t="s">
        <v>16</v>
      </c>
      <c r="D11" s="13">
        <f t="shared" si="1"/>
        <v>2288905245</v>
      </c>
      <c r="E11" s="34">
        <f t="shared" si="0"/>
        <v>5</v>
      </c>
    </row>
    <row r="12" spans="1:9" x14ac:dyDescent="0.45">
      <c r="A12" s="14" t="s">
        <v>23</v>
      </c>
      <c r="B12" s="15" t="s">
        <v>40</v>
      </c>
      <c r="C12" s="15" t="s">
        <v>17</v>
      </c>
      <c r="D12" s="16">
        <f t="shared" si="1"/>
        <v>1064316185</v>
      </c>
      <c r="E12" s="35">
        <f t="shared" si="0"/>
        <v>1</v>
      </c>
    </row>
    <row r="13" spans="1:9" x14ac:dyDescent="0.45">
      <c r="A13" s="6"/>
      <c r="B13" s="6"/>
      <c r="C13" s="6"/>
      <c r="D13" s="6"/>
      <c r="E13" s="36"/>
      <c r="F13" s="6"/>
      <c r="G13" s="6"/>
      <c r="H13" s="6"/>
      <c r="I13" s="6"/>
    </row>
    <row r="14" spans="1:9" x14ac:dyDescent="0.45">
      <c r="A14" s="9"/>
      <c r="B14" s="9" t="s">
        <v>29</v>
      </c>
      <c r="C14" s="10" t="s">
        <v>3</v>
      </c>
      <c r="D14" s="11" t="s">
        <v>28</v>
      </c>
      <c r="E14" s="33"/>
    </row>
    <row r="15" spans="1:9" x14ac:dyDescent="0.45">
      <c r="A15" s="12" t="s">
        <v>9</v>
      </c>
      <c r="B15" s="7" t="s">
        <v>63</v>
      </c>
      <c r="C15" s="7" t="s">
        <v>41</v>
      </c>
      <c r="D15" s="13">
        <f t="shared" ref="D15:D22" si="2">HEX2DEC(C15)</f>
        <v>4007243385</v>
      </c>
      <c r="E15" s="34">
        <f t="shared" ref="E15:E22" si="3">MOD(D15,$E$1)</f>
        <v>1</v>
      </c>
    </row>
    <row r="16" spans="1:9" x14ac:dyDescent="0.45">
      <c r="A16" s="12" t="s">
        <v>8</v>
      </c>
      <c r="B16" s="8" t="s">
        <v>64</v>
      </c>
      <c r="C16" s="8" t="s">
        <v>42</v>
      </c>
      <c r="D16" s="13">
        <f t="shared" si="2"/>
        <v>741961799</v>
      </c>
      <c r="E16" s="34">
        <f t="shared" si="3"/>
        <v>7</v>
      </c>
    </row>
    <row r="17" spans="1:9" x14ac:dyDescent="0.45">
      <c r="A17" s="12" t="s">
        <v>7</v>
      </c>
      <c r="B17" s="8" t="s">
        <v>43</v>
      </c>
      <c r="C17" s="8" t="s">
        <v>44</v>
      </c>
      <c r="D17" s="13">
        <f t="shared" si="2"/>
        <v>2090387501</v>
      </c>
      <c r="E17" s="34">
        <f t="shared" si="3"/>
        <v>5</v>
      </c>
    </row>
    <row r="18" spans="1:9" x14ac:dyDescent="0.45">
      <c r="A18" s="12" t="s">
        <v>19</v>
      </c>
      <c r="B18" s="8" t="s">
        <v>45</v>
      </c>
      <c r="C18" s="8" t="s">
        <v>46</v>
      </c>
      <c r="D18" s="13">
        <f t="shared" si="2"/>
        <v>3008211374</v>
      </c>
      <c r="E18" s="34">
        <f t="shared" si="3"/>
        <v>6</v>
      </c>
    </row>
    <row r="19" spans="1:9" x14ac:dyDescent="0.45">
      <c r="A19" s="12" t="s">
        <v>20</v>
      </c>
      <c r="B19" s="8" t="s">
        <v>47</v>
      </c>
      <c r="C19" s="8" t="s">
        <v>31</v>
      </c>
      <c r="D19" s="13">
        <f t="shared" si="2"/>
        <v>1663953499</v>
      </c>
      <c r="E19" s="34">
        <f t="shared" si="3"/>
        <v>3</v>
      </c>
    </row>
    <row r="20" spans="1:9" x14ac:dyDescent="0.45">
      <c r="A20" s="12" t="s">
        <v>21</v>
      </c>
      <c r="B20" s="8" t="s">
        <v>48</v>
      </c>
      <c r="C20" s="8" t="s">
        <v>49</v>
      </c>
      <c r="D20" s="13">
        <f t="shared" si="2"/>
        <v>2393897642</v>
      </c>
      <c r="E20" s="34">
        <f t="shared" si="3"/>
        <v>2</v>
      </c>
    </row>
    <row r="21" spans="1:9" x14ac:dyDescent="0.45">
      <c r="A21" s="12" t="s">
        <v>22</v>
      </c>
      <c r="B21" s="8" t="s">
        <v>50</v>
      </c>
      <c r="C21" s="8" t="s">
        <v>51</v>
      </c>
      <c r="D21" s="13">
        <f t="shared" si="2"/>
        <v>3269788900</v>
      </c>
      <c r="E21" s="34">
        <f t="shared" si="3"/>
        <v>4</v>
      </c>
    </row>
    <row r="22" spans="1:9" x14ac:dyDescent="0.45">
      <c r="A22" s="14" t="s">
        <v>23</v>
      </c>
      <c r="B22" s="15" t="s">
        <v>32</v>
      </c>
      <c r="C22" s="15" t="s">
        <v>52</v>
      </c>
      <c r="D22" s="16">
        <f t="shared" si="2"/>
        <v>4126241984</v>
      </c>
      <c r="E22" s="35">
        <f t="shared" si="3"/>
        <v>0</v>
      </c>
    </row>
    <row r="23" spans="1:9" x14ac:dyDescent="0.45">
      <c r="A23" s="6"/>
      <c r="B23" s="6"/>
      <c r="C23" s="6"/>
      <c r="D23" s="6"/>
      <c r="E23" s="6"/>
      <c r="F23" s="6"/>
      <c r="G23" s="6"/>
      <c r="H23" s="6"/>
      <c r="I23" s="6"/>
    </row>
    <row r="24" spans="1:9" x14ac:dyDescent="0.45">
      <c r="A24" s="270" t="s">
        <v>98</v>
      </c>
      <c r="B24" s="270"/>
      <c r="C24" s="270"/>
      <c r="D24" s="270"/>
      <c r="E24" s="270"/>
    </row>
    <row r="25" spans="1:9" x14ac:dyDescent="0.45">
      <c r="A25" s="9"/>
      <c r="B25" s="20" t="s">
        <v>26</v>
      </c>
      <c r="C25" s="21"/>
      <c r="D25" s="10" t="s">
        <v>27</v>
      </c>
      <c r="E25" s="24" t="s">
        <v>11</v>
      </c>
    </row>
    <row r="26" spans="1:9" x14ac:dyDescent="0.45">
      <c r="A26" s="12" t="s">
        <v>9</v>
      </c>
      <c r="B26" s="17" t="s">
        <v>107</v>
      </c>
      <c r="C26" s="7"/>
      <c r="D26" s="7">
        <v>1694767713</v>
      </c>
      <c r="E26" s="22">
        <f t="shared" ref="E26:E33" si="4">MOD(D26,$E$1)</f>
        <v>1</v>
      </c>
    </row>
    <row r="27" spans="1:9" x14ac:dyDescent="0.45">
      <c r="A27" s="12" t="s">
        <v>8</v>
      </c>
      <c r="B27" s="17" t="s">
        <v>113</v>
      </c>
      <c r="C27" s="7"/>
      <c r="D27" s="7">
        <v>1695027404</v>
      </c>
      <c r="E27" s="22">
        <f t="shared" si="4"/>
        <v>4</v>
      </c>
    </row>
    <row r="28" spans="1:9" x14ac:dyDescent="0.45">
      <c r="A28" s="12" t="s">
        <v>7</v>
      </c>
      <c r="B28" s="17" t="s">
        <v>114</v>
      </c>
      <c r="C28" s="7"/>
      <c r="D28" s="7">
        <v>1695027407</v>
      </c>
      <c r="E28" s="22">
        <f t="shared" si="4"/>
        <v>7</v>
      </c>
    </row>
    <row r="29" spans="1:9" x14ac:dyDescent="0.45">
      <c r="A29" s="12" t="s">
        <v>19</v>
      </c>
      <c r="B29" s="17" t="s">
        <v>115</v>
      </c>
      <c r="C29" s="7"/>
      <c r="D29" s="7">
        <v>1695027046</v>
      </c>
      <c r="E29" s="22">
        <f t="shared" si="4"/>
        <v>6</v>
      </c>
    </row>
    <row r="30" spans="1:9" x14ac:dyDescent="0.45">
      <c r="A30" s="12" t="s">
        <v>20</v>
      </c>
      <c r="B30" s="17" t="s">
        <v>112</v>
      </c>
      <c r="C30" s="7"/>
      <c r="D30" s="7">
        <v>1694956842</v>
      </c>
      <c r="E30" s="22">
        <f t="shared" si="4"/>
        <v>2</v>
      </c>
    </row>
    <row r="31" spans="1:9" x14ac:dyDescent="0.45">
      <c r="A31" s="12" t="s">
        <v>21</v>
      </c>
      <c r="B31" s="17" t="s">
        <v>111</v>
      </c>
      <c r="C31" s="7"/>
      <c r="D31" s="7">
        <v>1694870435</v>
      </c>
      <c r="E31" s="22">
        <f t="shared" si="4"/>
        <v>3</v>
      </c>
    </row>
    <row r="32" spans="1:9" x14ac:dyDescent="0.45">
      <c r="A32" s="12" t="s">
        <v>22</v>
      </c>
      <c r="B32" s="17" t="s">
        <v>110</v>
      </c>
      <c r="C32" s="7"/>
      <c r="D32" s="7">
        <v>1694866776</v>
      </c>
      <c r="E32" s="22">
        <f t="shared" si="4"/>
        <v>0</v>
      </c>
    </row>
    <row r="33" spans="1:8" x14ac:dyDescent="0.45">
      <c r="A33" s="14" t="s">
        <v>23</v>
      </c>
      <c r="B33" s="18" t="s">
        <v>109</v>
      </c>
      <c r="C33" s="19"/>
      <c r="D33" s="19">
        <v>1694780381</v>
      </c>
      <c r="E33" s="23">
        <f t="shared" si="4"/>
        <v>5</v>
      </c>
    </row>
    <row r="34" spans="1:8" x14ac:dyDescent="0.45">
      <c r="A34" s="6"/>
      <c r="B34" s="6"/>
      <c r="C34" s="6"/>
      <c r="D34" s="6"/>
      <c r="E34" s="6"/>
      <c r="F34" s="6"/>
      <c r="G34" s="6"/>
      <c r="H34" s="6"/>
    </row>
    <row r="85" spans="15:15" x14ac:dyDescent="0.45">
      <c r="O85" s="32"/>
    </row>
    <row r="122" spans="7:8" x14ac:dyDescent="0.45">
      <c r="G122" s="2"/>
      <c r="H122" s="2"/>
    </row>
    <row r="123" spans="7:8" x14ac:dyDescent="0.45">
      <c r="G123" s="2"/>
      <c r="H123" s="2"/>
    </row>
  </sheetData>
  <mergeCells count="3">
    <mergeCell ref="A1:D1"/>
    <mergeCell ref="A24:E24"/>
    <mergeCell ref="A3:E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7"/>
  <sheetViews>
    <sheetView view="pageBreakPreview" zoomScale="85" zoomScaleNormal="85" zoomScaleSheetLayoutView="85" workbookViewId="0">
      <selection sqref="A1:G10"/>
    </sheetView>
  </sheetViews>
  <sheetFormatPr defaultRowHeight="17" x14ac:dyDescent="0.45"/>
  <cols>
    <col min="2" max="3" width="9.08203125" bestFit="1" customWidth="1"/>
    <col min="5" max="5" width="13" bestFit="1" customWidth="1"/>
    <col min="6" max="6" width="12.58203125" customWidth="1"/>
    <col min="7" max="7" width="9.08203125" bestFit="1" customWidth="1"/>
    <col min="12" max="12" width="12.25" customWidth="1"/>
    <col min="13" max="13" width="15.5" customWidth="1"/>
    <col min="14" max="14" width="9.08203125" bestFit="1" customWidth="1"/>
  </cols>
  <sheetData>
    <row r="1" spans="1:14" x14ac:dyDescent="0.45">
      <c r="A1" s="271" t="s">
        <v>4</v>
      </c>
      <c r="B1" s="5" t="s">
        <v>53</v>
      </c>
      <c r="C1" s="5">
        <f>'1. 기본 정보'!E26</f>
        <v>1</v>
      </c>
      <c r="D1" s="5"/>
      <c r="E1" s="5" t="s">
        <v>13</v>
      </c>
      <c r="F1" s="5">
        <f>'1. 기본 정보'!$E$1</f>
        <v>8</v>
      </c>
      <c r="G1" s="37"/>
      <c r="H1" s="37"/>
      <c r="I1" s="271" t="s">
        <v>4</v>
      </c>
    </row>
    <row r="2" spans="1:14" x14ac:dyDescent="0.45">
      <c r="A2" s="271"/>
      <c r="C2" t="s">
        <v>61</v>
      </c>
      <c r="D2" t="s">
        <v>3</v>
      </c>
      <c r="E2" t="s">
        <v>5</v>
      </c>
      <c r="F2" s="2" t="s">
        <v>25</v>
      </c>
      <c r="G2" s="3" t="s">
        <v>54</v>
      </c>
      <c r="H2" s="3"/>
      <c r="I2" s="271"/>
      <c r="J2" t="s">
        <v>62</v>
      </c>
      <c r="K2" t="s">
        <v>3</v>
      </c>
      <c r="L2" t="s">
        <v>5</v>
      </c>
      <c r="M2" s="2" t="s">
        <v>25</v>
      </c>
      <c r="N2" s="3" t="s">
        <v>54</v>
      </c>
    </row>
    <row r="3" spans="1:14" x14ac:dyDescent="0.45">
      <c r="A3" s="271"/>
      <c r="B3" s="1">
        <v>1</v>
      </c>
      <c r="C3" s="5" t="str">
        <f>'1. 기본 정보'!B5</f>
        <v>x.x.x.10</v>
      </c>
      <c r="D3" s="7" t="str">
        <f>'1. 기본 정보'!C5</f>
        <v>3a206a07</v>
      </c>
      <c r="E3">
        <f>'1. 기본 정보'!D5</f>
        <v>975202823</v>
      </c>
      <c r="F3" s="30">
        <f t="shared" ref="F3:F10" si="0">E3+$C$1</f>
        <v>975202824</v>
      </c>
      <c r="G3" s="31">
        <f t="shared" ref="G3:G10" si="1">MOD(F3,$F$1)</f>
        <v>0</v>
      </c>
      <c r="H3" s="31"/>
      <c r="I3" s="271"/>
      <c r="J3" s="5" t="str">
        <f>'1. 기본 정보'!B15</f>
        <v>Data-Text</v>
      </c>
      <c r="K3" s="7" t="str">
        <f>'1. 기본 정보'!C15</f>
        <v>eed9ae79</v>
      </c>
      <c r="L3">
        <f>'1. 기본 정보'!D15</f>
        <v>4007243385</v>
      </c>
      <c r="M3" s="30">
        <f t="shared" ref="M3:M10" si="2">L3+$C$1</f>
        <v>4007243386</v>
      </c>
      <c r="N3" s="31">
        <f t="shared" ref="N3:N10" si="3">MOD(M3,$F$1)</f>
        <v>2</v>
      </c>
    </row>
    <row r="4" spans="1:14" x14ac:dyDescent="0.45">
      <c r="A4" s="271"/>
      <c r="B4" s="1">
        <v>2</v>
      </c>
      <c r="C4" s="5" t="str">
        <f>'1. 기본 정보'!B6</f>
        <v>x.x.x.11</v>
      </c>
      <c r="D4" s="7" t="str">
        <f>'1. 기본 정보'!C6</f>
        <v>8d3dab03</v>
      </c>
      <c r="E4">
        <f>'1. 기본 정보'!D6</f>
        <v>2369628931</v>
      </c>
      <c r="F4" s="4">
        <f t="shared" si="0"/>
        <v>2369628932</v>
      </c>
      <c r="G4" s="28">
        <f t="shared" si="1"/>
        <v>4</v>
      </c>
      <c r="H4" s="28"/>
      <c r="I4" s="271"/>
      <c r="J4" s="5" t="str">
        <f>'1. 기본 정보'!B16</f>
        <v>AI-LLM</v>
      </c>
      <c r="K4" s="7" t="str">
        <f>'1. 기본 정보'!C16</f>
        <v>2c397047</v>
      </c>
      <c r="L4">
        <f>'1. 기본 정보'!D16</f>
        <v>741961799</v>
      </c>
      <c r="M4" s="4">
        <f t="shared" si="2"/>
        <v>741961800</v>
      </c>
      <c r="N4" s="28">
        <f t="shared" si="3"/>
        <v>0</v>
      </c>
    </row>
    <row r="5" spans="1:14" x14ac:dyDescent="0.45">
      <c r="A5" s="271"/>
      <c r="B5" s="1">
        <v>3</v>
      </c>
      <c r="C5" s="5" t="str">
        <f>'1. 기본 정보'!B7</f>
        <v>x.x.x.12</v>
      </c>
      <c r="D5" s="7" t="str">
        <f>'1. 기본 정보'!C7</f>
        <v>541be80e</v>
      </c>
      <c r="E5">
        <f>'1. 기본 정보'!D7</f>
        <v>1411115022</v>
      </c>
      <c r="F5" s="4">
        <f t="shared" si="0"/>
        <v>1411115023</v>
      </c>
      <c r="G5" s="28">
        <f t="shared" si="1"/>
        <v>7</v>
      </c>
      <c r="H5" s="28"/>
      <c r="I5" s="271"/>
      <c r="J5" s="5" t="str">
        <f>'1. 기본 정보'!B17</f>
        <v>Infra-Memory</v>
      </c>
      <c r="K5" s="7" t="str">
        <f>'1. 기본 정보'!C17</f>
        <v>7c98c82d</v>
      </c>
      <c r="L5">
        <f>'1. 기본 정보'!D17</f>
        <v>2090387501</v>
      </c>
      <c r="M5" s="4">
        <f t="shared" si="2"/>
        <v>2090387502</v>
      </c>
      <c r="N5" s="28">
        <f t="shared" si="3"/>
        <v>6</v>
      </c>
    </row>
    <row r="6" spans="1:14" x14ac:dyDescent="0.45">
      <c r="A6" s="271"/>
      <c r="B6" s="1">
        <v>4</v>
      </c>
      <c r="C6" s="5" t="str">
        <f>'1. 기본 정보'!B8</f>
        <v>x.x.x.13</v>
      </c>
      <c r="D6" s="7" t="str">
        <f>'1. 기본 정보'!C8</f>
        <v>e306290a</v>
      </c>
      <c r="E6">
        <f>'1. 기본 정보'!D8</f>
        <v>3808831754</v>
      </c>
      <c r="F6" s="4">
        <f t="shared" si="0"/>
        <v>3808831755</v>
      </c>
      <c r="G6" s="28">
        <f t="shared" si="1"/>
        <v>3</v>
      </c>
      <c r="H6" s="28"/>
      <c r="I6" s="271"/>
      <c r="J6" s="5" t="str">
        <f>'1. 기본 정보'!B18</f>
        <v>Data-Picture</v>
      </c>
      <c r="K6" s="7" t="str">
        <f>'1. 기본 정보'!C18</f>
        <v>b34da9ae</v>
      </c>
      <c r="L6">
        <f>'1. 기본 정보'!D18</f>
        <v>3008211374</v>
      </c>
      <c r="M6" s="4">
        <f t="shared" si="2"/>
        <v>3008211375</v>
      </c>
      <c r="N6" s="28">
        <f t="shared" si="3"/>
        <v>7</v>
      </c>
    </row>
    <row r="7" spans="1:14" x14ac:dyDescent="0.45">
      <c r="A7" s="271"/>
      <c r="B7" s="1">
        <v>5</v>
      </c>
      <c r="C7" s="5" t="str">
        <f>'1. 기본 정보'!B9</f>
        <v>x.x.x.14</v>
      </c>
      <c r="D7" s="7" t="str">
        <f>'1. 기본 정보'!C9</f>
        <v>e6566e14</v>
      </c>
      <c r="E7">
        <f>'1. 기본 정보'!D9</f>
        <v>3864423956</v>
      </c>
      <c r="F7" s="4">
        <f t="shared" si="0"/>
        <v>3864423957</v>
      </c>
      <c r="G7" s="28">
        <f t="shared" si="1"/>
        <v>5</v>
      </c>
      <c r="H7" s="28"/>
      <c r="I7" s="271"/>
      <c r="J7" s="5" t="str">
        <f>'1. 기본 정보'!B19</f>
        <v>AI-GAN</v>
      </c>
      <c r="K7" s="7" t="str">
        <f>'1. 기본 정보'!C19</f>
        <v>632dea5b</v>
      </c>
      <c r="L7">
        <f>'1. 기본 정보'!D19</f>
        <v>1663953499</v>
      </c>
      <c r="M7" s="4">
        <f t="shared" si="2"/>
        <v>1663953500</v>
      </c>
      <c r="N7" s="28">
        <f t="shared" si="3"/>
        <v>4</v>
      </c>
    </row>
    <row r="8" spans="1:14" x14ac:dyDescent="0.45">
      <c r="A8" s="271"/>
      <c r="B8" s="1">
        <v>6</v>
      </c>
      <c r="C8" s="5" t="str">
        <f>'1. 기본 정보'!B10</f>
        <v>x.x.x.15</v>
      </c>
      <c r="D8" s="7" t="str">
        <f>'1. 기본 정보'!C10</f>
        <v>514baf10</v>
      </c>
      <c r="E8">
        <f>'1. 기본 정보'!D10</f>
        <v>1363914512</v>
      </c>
      <c r="F8" s="27">
        <f t="shared" si="0"/>
        <v>1363914513</v>
      </c>
      <c r="G8" s="27">
        <f t="shared" si="1"/>
        <v>1</v>
      </c>
      <c r="H8" s="27"/>
      <c r="I8" s="271"/>
      <c r="J8" s="5" t="str">
        <f>'1. 기본 정보'!B20</f>
        <v>Infra-STORAGE</v>
      </c>
      <c r="K8" s="7" t="str">
        <f>'1. 기본 정보'!C20</f>
        <v>8eaffaaa</v>
      </c>
      <c r="L8">
        <f>'1. 기본 정보'!D20</f>
        <v>2393897642</v>
      </c>
      <c r="M8" s="27">
        <f t="shared" si="2"/>
        <v>2393897643</v>
      </c>
      <c r="N8" s="27">
        <f t="shared" si="3"/>
        <v>3</v>
      </c>
    </row>
    <row r="9" spans="1:14" x14ac:dyDescent="0.45">
      <c r="A9" s="271"/>
      <c r="B9" s="1">
        <v>7</v>
      </c>
      <c r="C9" s="5" t="str">
        <f>'1. 기본 정보'!B11</f>
        <v>x.x.x.16</v>
      </c>
      <c r="D9" s="7" t="str">
        <f>'1. 기본 정보'!C11</f>
        <v>886dec1d</v>
      </c>
      <c r="E9">
        <f>'1. 기본 정보'!D11</f>
        <v>2288905245</v>
      </c>
      <c r="F9" s="4">
        <f t="shared" si="0"/>
        <v>2288905246</v>
      </c>
      <c r="G9" s="28">
        <f t="shared" si="1"/>
        <v>6</v>
      </c>
      <c r="H9" s="28"/>
      <c r="I9" s="271"/>
      <c r="J9" s="5" t="str">
        <f>'1. 기본 정보'!B21</f>
        <v>AI-DNN</v>
      </c>
      <c r="K9" s="7" t="str">
        <f>'1. 기본 정보'!C21</f>
        <v>c2e504e4</v>
      </c>
      <c r="L9">
        <f>'1. 기본 정보'!D21</f>
        <v>3269788900</v>
      </c>
      <c r="M9" s="4">
        <f t="shared" si="2"/>
        <v>3269788901</v>
      </c>
      <c r="N9" s="28">
        <f t="shared" si="3"/>
        <v>5</v>
      </c>
    </row>
    <row r="10" spans="1:14" x14ac:dyDescent="0.45">
      <c r="A10" s="271"/>
      <c r="B10" s="1">
        <v>8</v>
      </c>
      <c r="C10" s="5" t="str">
        <f>'1. 기본 정보'!B12</f>
        <v>x.x.x.17</v>
      </c>
      <c r="D10" s="7" t="str">
        <f>'1. 기본 정보'!C12</f>
        <v>3f702d19</v>
      </c>
      <c r="E10">
        <f>'1. 기본 정보'!D12</f>
        <v>1064316185</v>
      </c>
      <c r="F10" s="4">
        <f t="shared" si="0"/>
        <v>1064316186</v>
      </c>
      <c r="G10" s="28">
        <f t="shared" si="1"/>
        <v>2</v>
      </c>
      <c r="H10" s="28"/>
      <c r="I10" s="271"/>
      <c r="J10" s="5" t="str">
        <f>'1. 기본 정보'!B22</f>
        <v>Data-Doc</v>
      </c>
      <c r="K10" s="7" t="str">
        <f>'1. 기본 정보'!C22</f>
        <v>f5f174c0</v>
      </c>
      <c r="L10">
        <f>'1. 기본 정보'!D22</f>
        <v>4126241984</v>
      </c>
      <c r="M10" s="4">
        <f t="shared" si="2"/>
        <v>4126241985</v>
      </c>
      <c r="N10" s="28">
        <f t="shared" si="3"/>
        <v>1</v>
      </c>
    </row>
    <row r="11" spans="1:14" x14ac:dyDescent="0.45">
      <c r="A11" s="2"/>
      <c r="I11" s="2"/>
    </row>
    <row r="12" spans="1:14" x14ac:dyDescent="0.45">
      <c r="A12" s="271" t="s">
        <v>18</v>
      </c>
      <c r="B12" s="5" t="s">
        <v>6</v>
      </c>
      <c r="C12" s="5">
        <f>'1. 기본 정보'!E27</f>
        <v>4</v>
      </c>
      <c r="D12" s="5"/>
      <c r="E12" s="5" t="s">
        <v>13</v>
      </c>
      <c r="F12" s="5">
        <f>'1. 기본 정보'!$E$1</f>
        <v>8</v>
      </c>
      <c r="G12" s="5"/>
      <c r="H12" s="5"/>
      <c r="I12" s="271" t="s">
        <v>18</v>
      </c>
    </row>
    <row r="13" spans="1:14" x14ac:dyDescent="0.45">
      <c r="A13" s="271"/>
      <c r="C13" t="s">
        <v>61</v>
      </c>
      <c r="D13" t="s">
        <v>3</v>
      </c>
      <c r="E13" t="s">
        <v>5</v>
      </c>
      <c r="F13" s="2" t="s">
        <v>25</v>
      </c>
      <c r="G13" s="3" t="s">
        <v>54</v>
      </c>
      <c r="H13" s="3"/>
      <c r="I13" s="271"/>
      <c r="J13" t="s">
        <v>62</v>
      </c>
      <c r="K13" t="s">
        <v>3</v>
      </c>
      <c r="L13" t="s">
        <v>5</v>
      </c>
      <c r="M13" s="2" t="s">
        <v>25</v>
      </c>
      <c r="N13" s="3" t="s">
        <v>54</v>
      </c>
    </row>
    <row r="14" spans="1:14" x14ac:dyDescent="0.45">
      <c r="A14" s="271"/>
      <c r="B14" s="1">
        <v>1</v>
      </c>
      <c r="C14" s="5" t="str">
        <f t="shared" ref="C14:D21" si="4">C3</f>
        <v>x.x.x.10</v>
      </c>
      <c r="D14" s="25" t="str">
        <f t="shared" si="4"/>
        <v>3a206a07</v>
      </c>
      <c r="E14">
        <f t="shared" ref="E14:E21" si="5">HEX2DEC(D14)</f>
        <v>975202823</v>
      </c>
      <c r="F14" s="4">
        <f t="shared" ref="F14:F21" si="6">E14+$C$12</f>
        <v>975202827</v>
      </c>
      <c r="G14" s="28">
        <f t="shared" ref="G14:G21" si="7">MOD(F14,$F$12)</f>
        <v>3</v>
      </c>
      <c r="H14" s="28"/>
      <c r="I14" s="271"/>
      <c r="J14" s="5" t="str">
        <f t="shared" ref="J14:L21" si="8">J3</f>
        <v>Data-Text</v>
      </c>
      <c r="K14" s="7" t="str">
        <f t="shared" si="8"/>
        <v>eed9ae79</v>
      </c>
      <c r="L14">
        <f t="shared" si="8"/>
        <v>4007243385</v>
      </c>
      <c r="M14" s="4">
        <f t="shared" ref="M14:M21" si="9">L14+$C$12</f>
        <v>4007243389</v>
      </c>
      <c r="N14" s="28">
        <f t="shared" ref="N14:N21" si="10">MOD(M14,$F$12)</f>
        <v>5</v>
      </c>
    </row>
    <row r="15" spans="1:14" x14ac:dyDescent="0.45">
      <c r="A15" s="271"/>
      <c r="B15" s="1">
        <v>2</v>
      </c>
      <c r="C15" s="5" t="str">
        <f t="shared" si="4"/>
        <v>x.x.x.11</v>
      </c>
      <c r="D15" s="26" t="str">
        <f t="shared" si="4"/>
        <v>8d3dab03</v>
      </c>
      <c r="E15">
        <f t="shared" si="5"/>
        <v>2369628931</v>
      </c>
      <c r="F15" s="30">
        <f t="shared" si="6"/>
        <v>2369628935</v>
      </c>
      <c r="G15" s="31">
        <f t="shared" si="7"/>
        <v>7</v>
      </c>
      <c r="H15" s="31"/>
      <c r="I15" s="271"/>
      <c r="J15" s="5" t="str">
        <f t="shared" si="8"/>
        <v>AI-LLM</v>
      </c>
      <c r="K15" s="7" t="str">
        <f t="shared" si="8"/>
        <v>2c397047</v>
      </c>
      <c r="L15">
        <f t="shared" si="8"/>
        <v>741961799</v>
      </c>
      <c r="M15" s="30">
        <f t="shared" si="9"/>
        <v>741961803</v>
      </c>
      <c r="N15" s="31">
        <f t="shared" si="10"/>
        <v>3</v>
      </c>
    </row>
    <row r="16" spans="1:14" x14ac:dyDescent="0.45">
      <c r="A16" s="271"/>
      <c r="B16" s="1">
        <v>3</v>
      </c>
      <c r="C16" s="5" t="str">
        <f t="shared" si="4"/>
        <v>x.x.x.12</v>
      </c>
      <c r="D16" s="26" t="str">
        <f t="shared" si="4"/>
        <v>541be80e</v>
      </c>
      <c r="E16">
        <f t="shared" si="5"/>
        <v>1411115022</v>
      </c>
      <c r="F16" s="4">
        <f t="shared" si="6"/>
        <v>1411115026</v>
      </c>
      <c r="G16" s="28">
        <f t="shared" si="7"/>
        <v>2</v>
      </c>
      <c r="H16" s="28"/>
      <c r="I16" s="271"/>
      <c r="J16" s="5" t="str">
        <f t="shared" si="8"/>
        <v>Infra-Memory</v>
      </c>
      <c r="K16" s="7" t="str">
        <f t="shared" si="8"/>
        <v>7c98c82d</v>
      </c>
      <c r="L16">
        <f t="shared" si="8"/>
        <v>2090387501</v>
      </c>
      <c r="M16" s="4">
        <f t="shared" si="9"/>
        <v>2090387505</v>
      </c>
      <c r="N16" s="28">
        <f t="shared" si="10"/>
        <v>1</v>
      </c>
    </row>
    <row r="17" spans="1:14" x14ac:dyDescent="0.45">
      <c r="A17" s="271"/>
      <c r="B17" s="1">
        <v>4</v>
      </c>
      <c r="C17" s="5" t="str">
        <f t="shared" si="4"/>
        <v>x.x.x.13</v>
      </c>
      <c r="D17" s="26" t="str">
        <f t="shared" si="4"/>
        <v>e306290a</v>
      </c>
      <c r="E17">
        <f t="shared" si="5"/>
        <v>3808831754</v>
      </c>
      <c r="F17" s="4">
        <f t="shared" si="6"/>
        <v>3808831758</v>
      </c>
      <c r="G17" s="28">
        <f t="shared" si="7"/>
        <v>6</v>
      </c>
      <c r="H17" s="28"/>
      <c r="I17" s="271"/>
      <c r="J17" s="5" t="str">
        <f t="shared" si="8"/>
        <v>Data-Picture</v>
      </c>
      <c r="K17" s="7" t="str">
        <f t="shared" si="8"/>
        <v>b34da9ae</v>
      </c>
      <c r="L17">
        <f t="shared" si="8"/>
        <v>3008211374</v>
      </c>
      <c r="M17" s="4">
        <f t="shared" si="9"/>
        <v>3008211378</v>
      </c>
      <c r="N17" s="28">
        <f t="shared" si="10"/>
        <v>2</v>
      </c>
    </row>
    <row r="18" spans="1:14" x14ac:dyDescent="0.45">
      <c r="A18" s="271"/>
      <c r="B18" s="1">
        <v>5</v>
      </c>
      <c r="C18" s="5" t="str">
        <f t="shared" si="4"/>
        <v>x.x.x.14</v>
      </c>
      <c r="D18" s="26" t="str">
        <f t="shared" si="4"/>
        <v>e6566e14</v>
      </c>
      <c r="E18">
        <f t="shared" si="5"/>
        <v>3864423956</v>
      </c>
      <c r="F18" s="4">
        <f t="shared" si="6"/>
        <v>3864423960</v>
      </c>
      <c r="G18" s="28">
        <f t="shared" si="7"/>
        <v>0</v>
      </c>
      <c r="H18" s="28"/>
      <c r="I18" s="271"/>
      <c r="J18" s="5" t="str">
        <f t="shared" si="8"/>
        <v>AI-GAN</v>
      </c>
      <c r="K18" s="7" t="str">
        <f t="shared" si="8"/>
        <v>632dea5b</v>
      </c>
      <c r="L18">
        <f t="shared" si="8"/>
        <v>1663953499</v>
      </c>
      <c r="M18" s="4">
        <f t="shared" si="9"/>
        <v>1663953503</v>
      </c>
      <c r="N18" s="28">
        <f t="shared" si="10"/>
        <v>7</v>
      </c>
    </row>
    <row r="19" spans="1:14" x14ac:dyDescent="0.45">
      <c r="A19" s="271"/>
      <c r="B19" s="1">
        <v>6</v>
      </c>
      <c r="C19" s="5" t="str">
        <f t="shared" si="4"/>
        <v>x.x.x.15</v>
      </c>
      <c r="D19" s="26" t="str">
        <f t="shared" si="4"/>
        <v>514baf10</v>
      </c>
      <c r="E19">
        <f t="shared" si="5"/>
        <v>1363914512</v>
      </c>
      <c r="F19" s="4">
        <f t="shared" si="6"/>
        <v>1363914516</v>
      </c>
      <c r="G19" s="28">
        <f t="shared" si="7"/>
        <v>4</v>
      </c>
      <c r="H19" s="28"/>
      <c r="I19" s="271"/>
      <c r="J19" s="5" t="str">
        <f t="shared" si="8"/>
        <v>Infra-STORAGE</v>
      </c>
      <c r="K19" s="7" t="str">
        <f t="shared" si="8"/>
        <v>8eaffaaa</v>
      </c>
      <c r="L19">
        <f t="shared" si="8"/>
        <v>2393897642</v>
      </c>
      <c r="M19" s="4">
        <f t="shared" si="9"/>
        <v>2393897646</v>
      </c>
      <c r="N19" s="28">
        <f t="shared" si="10"/>
        <v>6</v>
      </c>
    </row>
    <row r="20" spans="1:14" x14ac:dyDescent="0.45">
      <c r="A20" s="271"/>
      <c r="B20" s="1">
        <v>7</v>
      </c>
      <c r="C20" s="5" t="str">
        <f t="shared" si="4"/>
        <v>x.x.x.16</v>
      </c>
      <c r="D20" s="26" t="str">
        <f t="shared" si="4"/>
        <v>886dec1d</v>
      </c>
      <c r="E20">
        <f t="shared" si="5"/>
        <v>2288905245</v>
      </c>
      <c r="F20" s="4">
        <f t="shared" si="6"/>
        <v>2288905249</v>
      </c>
      <c r="G20" s="28">
        <f t="shared" si="7"/>
        <v>1</v>
      </c>
      <c r="H20" s="28"/>
      <c r="I20" s="271"/>
      <c r="J20" s="5" t="str">
        <f t="shared" si="8"/>
        <v>AI-DNN</v>
      </c>
      <c r="K20" s="7" t="str">
        <f t="shared" si="8"/>
        <v>c2e504e4</v>
      </c>
      <c r="L20">
        <f t="shared" si="8"/>
        <v>3269788900</v>
      </c>
      <c r="M20" s="4">
        <f t="shared" si="9"/>
        <v>3269788904</v>
      </c>
      <c r="N20" s="28">
        <f t="shared" si="10"/>
        <v>0</v>
      </c>
    </row>
    <row r="21" spans="1:14" x14ac:dyDescent="0.45">
      <c r="A21" s="271"/>
      <c r="B21" s="1">
        <v>8</v>
      </c>
      <c r="C21" s="5" t="str">
        <f t="shared" si="4"/>
        <v>x.x.x.17</v>
      </c>
      <c r="D21" s="26" t="str">
        <f t="shared" si="4"/>
        <v>3f702d19</v>
      </c>
      <c r="E21">
        <f t="shared" si="5"/>
        <v>1064316185</v>
      </c>
      <c r="F21" s="4">
        <f t="shared" si="6"/>
        <v>1064316189</v>
      </c>
      <c r="G21" s="28">
        <f t="shared" si="7"/>
        <v>5</v>
      </c>
      <c r="H21" s="28"/>
      <c r="I21" s="271"/>
      <c r="J21" s="5" t="str">
        <f t="shared" si="8"/>
        <v>Data-Doc</v>
      </c>
      <c r="K21" s="7" t="str">
        <f t="shared" si="8"/>
        <v>f5f174c0</v>
      </c>
      <c r="L21">
        <f t="shared" si="8"/>
        <v>4126241984</v>
      </c>
      <c r="M21" s="4">
        <f t="shared" si="9"/>
        <v>4126241988</v>
      </c>
      <c r="N21" s="28">
        <f t="shared" si="10"/>
        <v>4</v>
      </c>
    </row>
    <row r="22" spans="1:14" x14ac:dyDescent="0.45">
      <c r="A22" s="2"/>
      <c r="I22" s="2"/>
    </row>
    <row r="23" spans="1:14" x14ac:dyDescent="0.45">
      <c r="A23" s="271" t="s">
        <v>55</v>
      </c>
      <c r="B23" s="5" t="s">
        <v>6</v>
      </c>
      <c r="C23" s="5">
        <f>'1. 기본 정보'!E28</f>
        <v>7</v>
      </c>
      <c r="D23" s="5"/>
      <c r="E23" s="5" t="s">
        <v>13</v>
      </c>
      <c r="F23" s="5">
        <f>'1. 기본 정보'!$E$1</f>
        <v>8</v>
      </c>
      <c r="G23" s="5"/>
      <c r="H23" s="5"/>
      <c r="I23" s="271" t="s">
        <v>55</v>
      </c>
    </row>
    <row r="24" spans="1:14" x14ac:dyDescent="0.45">
      <c r="A24" s="271"/>
      <c r="C24" t="s">
        <v>61</v>
      </c>
      <c r="D24" t="s">
        <v>3</v>
      </c>
      <c r="E24" t="s">
        <v>5</v>
      </c>
      <c r="F24" s="2" t="s">
        <v>25</v>
      </c>
      <c r="G24" s="3" t="s">
        <v>54</v>
      </c>
      <c r="H24" s="3"/>
      <c r="I24" s="271"/>
      <c r="J24" t="s">
        <v>62</v>
      </c>
      <c r="K24" t="s">
        <v>3</v>
      </c>
      <c r="L24" t="s">
        <v>5</v>
      </c>
      <c r="M24" s="2" t="s">
        <v>25</v>
      </c>
      <c r="N24" s="3" t="s">
        <v>54</v>
      </c>
    </row>
    <row r="25" spans="1:14" x14ac:dyDescent="0.45">
      <c r="A25" s="271"/>
      <c r="B25" s="1">
        <v>1</v>
      </c>
      <c r="C25" s="5" t="str">
        <f t="shared" ref="C25:D32" si="11">C14</f>
        <v>x.x.x.10</v>
      </c>
      <c r="D25" s="25" t="str">
        <f t="shared" si="11"/>
        <v>3a206a07</v>
      </c>
      <c r="E25">
        <f t="shared" ref="E25:E32" si="12">HEX2DEC(D25)</f>
        <v>975202823</v>
      </c>
      <c r="F25" s="4">
        <f t="shared" ref="F25:F32" si="13">E25+$C$23</f>
        <v>975202830</v>
      </c>
      <c r="G25" s="28">
        <f>MOD(F25,$F$23)</f>
        <v>6</v>
      </c>
      <c r="H25" s="28"/>
      <c r="I25" s="271"/>
      <c r="J25" s="5" t="str">
        <f t="shared" ref="J25:L32" si="14">J14</f>
        <v>Data-Text</v>
      </c>
      <c r="K25" s="7" t="str">
        <f t="shared" si="14"/>
        <v>eed9ae79</v>
      </c>
      <c r="L25">
        <f t="shared" si="14"/>
        <v>4007243385</v>
      </c>
      <c r="M25" s="4">
        <f t="shared" ref="M25:M32" si="15">L25+$C$23</f>
        <v>4007243392</v>
      </c>
      <c r="N25" s="28">
        <f t="shared" ref="N25:N32" si="16">MOD(M25,$F$23)</f>
        <v>0</v>
      </c>
    </row>
    <row r="26" spans="1:14" x14ac:dyDescent="0.45">
      <c r="A26" s="271"/>
      <c r="B26" s="1">
        <v>2</v>
      </c>
      <c r="C26" s="5" t="str">
        <f t="shared" si="11"/>
        <v>x.x.x.11</v>
      </c>
      <c r="D26" s="26" t="str">
        <f t="shared" si="11"/>
        <v>8d3dab03</v>
      </c>
      <c r="E26">
        <f t="shared" si="12"/>
        <v>2369628931</v>
      </c>
      <c r="F26" s="4">
        <f t="shared" si="13"/>
        <v>2369628938</v>
      </c>
      <c r="G26" s="28">
        <f t="shared" ref="G26:G32" si="17">MOD(F26,$F$23)</f>
        <v>2</v>
      </c>
      <c r="H26" s="28"/>
      <c r="I26" s="271"/>
      <c r="J26" s="5" t="str">
        <f t="shared" si="14"/>
        <v>AI-LLM</v>
      </c>
      <c r="K26" s="7" t="str">
        <f t="shared" si="14"/>
        <v>2c397047</v>
      </c>
      <c r="L26">
        <f t="shared" si="14"/>
        <v>741961799</v>
      </c>
      <c r="M26" s="4">
        <f t="shared" si="15"/>
        <v>741961806</v>
      </c>
      <c r="N26" s="28">
        <f t="shared" si="16"/>
        <v>6</v>
      </c>
    </row>
    <row r="27" spans="1:14" x14ac:dyDescent="0.45">
      <c r="A27" s="271"/>
      <c r="B27" s="1">
        <v>3</v>
      </c>
      <c r="C27" s="5" t="str">
        <f t="shared" si="11"/>
        <v>x.x.x.12</v>
      </c>
      <c r="D27" s="26" t="str">
        <f t="shared" si="11"/>
        <v>541be80e</v>
      </c>
      <c r="E27">
        <f t="shared" si="12"/>
        <v>1411115022</v>
      </c>
      <c r="F27" s="30">
        <f t="shared" si="13"/>
        <v>1411115029</v>
      </c>
      <c r="G27" s="30">
        <f t="shared" si="17"/>
        <v>5</v>
      </c>
      <c r="H27" s="30"/>
      <c r="I27" s="271"/>
      <c r="J27" s="5" t="str">
        <f t="shared" si="14"/>
        <v>Infra-Memory</v>
      </c>
      <c r="K27" s="7" t="str">
        <f t="shared" si="14"/>
        <v>7c98c82d</v>
      </c>
      <c r="L27">
        <f t="shared" si="14"/>
        <v>2090387501</v>
      </c>
      <c r="M27" s="30">
        <f t="shared" si="15"/>
        <v>2090387508</v>
      </c>
      <c r="N27" s="31">
        <f t="shared" si="16"/>
        <v>4</v>
      </c>
    </row>
    <row r="28" spans="1:14" x14ac:dyDescent="0.45">
      <c r="A28" s="271"/>
      <c r="B28" s="1">
        <v>4</v>
      </c>
      <c r="C28" s="5" t="str">
        <f t="shared" si="11"/>
        <v>x.x.x.13</v>
      </c>
      <c r="D28" s="26" t="str">
        <f t="shared" si="11"/>
        <v>e306290a</v>
      </c>
      <c r="E28">
        <f t="shared" si="12"/>
        <v>3808831754</v>
      </c>
      <c r="F28" s="4">
        <f t="shared" si="13"/>
        <v>3808831761</v>
      </c>
      <c r="G28" s="28">
        <f t="shared" si="17"/>
        <v>1</v>
      </c>
      <c r="H28" s="28"/>
      <c r="I28" s="271"/>
      <c r="J28" s="5" t="str">
        <f t="shared" si="14"/>
        <v>Data-Picture</v>
      </c>
      <c r="K28" s="7" t="str">
        <f t="shared" si="14"/>
        <v>b34da9ae</v>
      </c>
      <c r="L28">
        <f t="shared" si="14"/>
        <v>3008211374</v>
      </c>
      <c r="M28" s="4">
        <f t="shared" si="15"/>
        <v>3008211381</v>
      </c>
      <c r="N28" s="28">
        <f t="shared" si="16"/>
        <v>5</v>
      </c>
    </row>
    <row r="29" spans="1:14" x14ac:dyDescent="0.45">
      <c r="A29" s="271"/>
      <c r="B29" s="1">
        <v>5</v>
      </c>
      <c r="C29" s="5" t="str">
        <f t="shared" si="11"/>
        <v>x.x.x.14</v>
      </c>
      <c r="D29" s="26" t="str">
        <f t="shared" si="11"/>
        <v>e6566e14</v>
      </c>
      <c r="E29">
        <f t="shared" si="12"/>
        <v>3864423956</v>
      </c>
      <c r="F29" s="4">
        <f t="shared" si="13"/>
        <v>3864423963</v>
      </c>
      <c r="G29" s="28">
        <f t="shared" si="17"/>
        <v>3</v>
      </c>
      <c r="H29" s="28"/>
      <c r="I29" s="271"/>
      <c r="J29" s="5" t="str">
        <f t="shared" si="14"/>
        <v>AI-GAN</v>
      </c>
      <c r="K29" s="7" t="str">
        <f t="shared" si="14"/>
        <v>632dea5b</v>
      </c>
      <c r="L29">
        <f t="shared" si="14"/>
        <v>1663953499</v>
      </c>
      <c r="M29" s="4">
        <f t="shared" si="15"/>
        <v>1663953506</v>
      </c>
      <c r="N29" s="28">
        <f t="shared" si="16"/>
        <v>2</v>
      </c>
    </row>
    <row r="30" spans="1:14" x14ac:dyDescent="0.45">
      <c r="A30" s="271"/>
      <c r="B30" s="1">
        <v>6</v>
      </c>
      <c r="C30" s="5" t="str">
        <f t="shared" si="11"/>
        <v>x.x.x.15</v>
      </c>
      <c r="D30" s="26" t="str">
        <f t="shared" si="11"/>
        <v>514baf10</v>
      </c>
      <c r="E30">
        <f t="shared" si="12"/>
        <v>1363914512</v>
      </c>
      <c r="F30" s="4">
        <f t="shared" si="13"/>
        <v>1363914519</v>
      </c>
      <c r="G30" s="28">
        <f t="shared" si="17"/>
        <v>7</v>
      </c>
      <c r="H30" s="28"/>
      <c r="I30" s="271"/>
      <c r="J30" s="5" t="str">
        <f t="shared" si="14"/>
        <v>Infra-STORAGE</v>
      </c>
      <c r="K30" s="7" t="str">
        <f t="shared" si="14"/>
        <v>8eaffaaa</v>
      </c>
      <c r="L30">
        <f t="shared" si="14"/>
        <v>2393897642</v>
      </c>
      <c r="M30" s="4">
        <f t="shared" si="15"/>
        <v>2393897649</v>
      </c>
      <c r="N30" s="28">
        <f t="shared" si="16"/>
        <v>1</v>
      </c>
    </row>
    <row r="31" spans="1:14" x14ac:dyDescent="0.45">
      <c r="A31" s="271"/>
      <c r="B31" s="1">
        <v>7</v>
      </c>
      <c r="C31" s="5" t="str">
        <f t="shared" si="11"/>
        <v>x.x.x.16</v>
      </c>
      <c r="D31" s="26" t="str">
        <f t="shared" si="11"/>
        <v>886dec1d</v>
      </c>
      <c r="E31">
        <f t="shared" si="12"/>
        <v>2288905245</v>
      </c>
      <c r="F31" s="4">
        <f t="shared" si="13"/>
        <v>2288905252</v>
      </c>
      <c r="G31" s="28">
        <f t="shared" si="17"/>
        <v>4</v>
      </c>
      <c r="H31" s="28"/>
      <c r="I31" s="271"/>
      <c r="J31" s="5" t="str">
        <f t="shared" si="14"/>
        <v>AI-DNN</v>
      </c>
      <c r="K31" s="7" t="str">
        <f t="shared" si="14"/>
        <v>c2e504e4</v>
      </c>
      <c r="L31">
        <f t="shared" si="14"/>
        <v>3269788900</v>
      </c>
      <c r="M31" s="4">
        <f t="shared" si="15"/>
        <v>3269788907</v>
      </c>
      <c r="N31" s="28">
        <f t="shared" si="16"/>
        <v>3</v>
      </c>
    </row>
    <row r="32" spans="1:14" x14ac:dyDescent="0.45">
      <c r="A32" s="271"/>
      <c r="B32" s="1">
        <v>8</v>
      </c>
      <c r="C32" s="5" t="str">
        <f t="shared" si="11"/>
        <v>x.x.x.17</v>
      </c>
      <c r="D32" s="26" t="str">
        <f t="shared" si="11"/>
        <v>3f702d19</v>
      </c>
      <c r="E32">
        <f t="shared" si="12"/>
        <v>1064316185</v>
      </c>
      <c r="F32" s="4">
        <f t="shared" si="13"/>
        <v>1064316192</v>
      </c>
      <c r="G32" s="28">
        <f t="shared" si="17"/>
        <v>0</v>
      </c>
      <c r="H32" s="28"/>
      <c r="I32" s="271"/>
      <c r="J32" s="5" t="str">
        <f t="shared" si="14"/>
        <v>Data-Doc</v>
      </c>
      <c r="K32" s="7" t="str">
        <f t="shared" si="14"/>
        <v>f5f174c0</v>
      </c>
      <c r="L32">
        <f t="shared" si="14"/>
        <v>4126241984</v>
      </c>
      <c r="M32" s="4">
        <f t="shared" si="15"/>
        <v>4126241991</v>
      </c>
      <c r="N32" s="28">
        <f t="shared" si="16"/>
        <v>7</v>
      </c>
    </row>
    <row r="34" spans="1:14" x14ac:dyDescent="0.45">
      <c r="A34" s="271" t="s">
        <v>56</v>
      </c>
      <c r="B34" s="5" t="s">
        <v>6</v>
      </c>
      <c r="C34" s="5">
        <f>'1. 기본 정보'!E29</f>
        <v>6</v>
      </c>
      <c r="D34" s="5"/>
      <c r="E34" s="5" t="s">
        <v>13</v>
      </c>
      <c r="F34" s="5">
        <f>'1. 기본 정보'!$E$1</f>
        <v>8</v>
      </c>
      <c r="G34" s="5"/>
      <c r="H34" s="5"/>
      <c r="I34" s="271" t="s">
        <v>56</v>
      </c>
    </row>
    <row r="35" spans="1:14" x14ac:dyDescent="0.45">
      <c r="A35" s="271"/>
      <c r="C35" t="s">
        <v>61</v>
      </c>
      <c r="D35" t="s">
        <v>3</v>
      </c>
      <c r="E35" t="s">
        <v>5</v>
      </c>
      <c r="F35" s="2" t="s">
        <v>25</v>
      </c>
      <c r="G35" s="3" t="s">
        <v>54</v>
      </c>
      <c r="H35" s="3"/>
      <c r="I35" s="271"/>
      <c r="J35" t="s">
        <v>62</v>
      </c>
      <c r="K35" t="s">
        <v>3</v>
      </c>
      <c r="L35" t="s">
        <v>5</v>
      </c>
      <c r="M35" s="2" t="s">
        <v>25</v>
      </c>
      <c r="N35" s="3" t="s">
        <v>54</v>
      </c>
    </row>
    <row r="36" spans="1:14" x14ac:dyDescent="0.45">
      <c r="A36" s="271"/>
      <c r="B36" s="1">
        <v>1</v>
      </c>
      <c r="C36" s="5" t="str">
        <f t="shared" ref="C36:D43" si="18">C25</f>
        <v>x.x.x.10</v>
      </c>
      <c r="D36" s="25" t="str">
        <f t="shared" si="18"/>
        <v>3a206a07</v>
      </c>
      <c r="E36">
        <f t="shared" ref="E36:E43" si="19">HEX2DEC(D36)</f>
        <v>975202823</v>
      </c>
      <c r="F36" s="4">
        <f t="shared" ref="F36:F43" si="20">E36+$C$34</f>
        <v>975202829</v>
      </c>
      <c r="G36" s="28">
        <f t="shared" ref="G36:G43" si="21">MOD(F36,$F$34)</f>
        <v>5</v>
      </c>
      <c r="H36" s="28"/>
      <c r="I36" s="271"/>
      <c r="J36" s="5" t="str">
        <f t="shared" ref="J36:L43" si="22">J25</f>
        <v>Data-Text</v>
      </c>
      <c r="K36" s="7" t="str">
        <f t="shared" si="22"/>
        <v>eed9ae79</v>
      </c>
      <c r="L36">
        <f t="shared" si="22"/>
        <v>4007243385</v>
      </c>
      <c r="M36" s="4">
        <f t="shared" ref="M36:M43" si="23">L36+$C$34</f>
        <v>4007243391</v>
      </c>
      <c r="N36" s="28">
        <f t="shared" ref="N36:N43" si="24">MOD(M36,$F$34)</f>
        <v>7</v>
      </c>
    </row>
    <row r="37" spans="1:14" x14ac:dyDescent="0.45">
      <c r="A37" s="271"/>
      <c r="B37" s="1">
        <v>2</v>
      </c>
      <c r="C37" s="5" t="str">
        <f t="shared" si="18"/>
        <v>x.x.x.11</v>
      </c>
      <c r="D37" s="26" t="str">
        <f t="shared" si="18"/>
        <v>8d3dab03</v>
      </c>
      <c r="E37">
        <f t="shared" si="19"/>
        <v>2369628931</v>
      </c>
      <c r="F37" s="4">
        <f t="shared" si="20"/>
        <v>2369628937</v>
      </c>
      <c r="G37" s="28">
        <f t="shared" si="21"/>
        <v>1</v>
      </c>
      <c r="H37" s="28"/>
      <c r="I37" s="271"/>
      <c r="J37" s="5" t="str">
        <f t="shared" si="22"/>
        <v>AI-LLM</v>
      </c>
      <c r="K37" s="7" t="str">
        <f t="shared" si="22"/>
        <v>2c397047</v>
      </c>
      <c r="L37">
        <f t="shared" si="22"/>
        <v>741961799</v>
      </c>
      <c r="M37" s="4">
        <f t="shared" si="23"/>
        <v>741961805</v>
      </c>
      <c r="N37" s="28">
        <f t="shared" si="24"/>
        <v>5</v>
      </c>
    </row>
    <row r="38" spans="1:14" x14ac:dyDescent="0.45">
      <c r="A38" s="271"/>
      <c r="B38" s="1">
        <v>3</v>
      </c>
      <c r="C38" s="5" t="str">
        <f t="shared" si="18"/>
        <v>x.x.x.12</v>
      </c>
      <c r="D38" s="26" t="str">
        <f t="shared" si="18"/>
        <v>541be80e</v>
      </c>
      <c r="E38">
        <f t="shared" si="19"/>
        <v>1411115022</v>
      </c>
      <c r="F38" s="4">
        <f t="shared" si="20"/>
        <v>1411115028</v>
      </c>
      <c r="G38" s="28">
        <f t="shared" si="21"/>
        <v>4</v>
      </c>
      <c r="H38" s="28"/>
      <c r="I38" s="271"/>
      <c r="J38" s="5" t="str">
        <f t="shared" si="22"/>
        <v>Infra-Memory</v>
      </c>
      <c r="K38" s="7" t="str">
        <f t="shared" si="22"/>
        <v>7c98c82d</v>
      </c>
      <c r="L38">
        <f t="shared" si="22"/>
        <v>2090387501</v>
      </c>
      <c r="M38" s="4">
        <f t="shared" si="23"/>
        <v>2090387507</v>
      </c>
      <c r="N38" s="28">
        <f t="shared" si="24"/>
        <v>3</v>
      </c>
    </row>
    <row r="39" spans="1:14" x14ac:dyDescent="0.45">
      <c r="A39" s="271"/>
      <c r="B39" s="1">
        <v>4</v>
      </c>
      <c r="C39" s="5" t="str">
        <f t="shared" si="18"/>
        <v>x.x.x.13</v>
      </c>
      <c r="D39" s="26" t="str">
        <f t="shared" si="18"/>
        <v>e306290a</v>
      </c>
      <c r="E39">
        <f t="shared" si="19"/>
        <v>3808831754</v>
      </c>
      <c r="F39" s="30">
        <f t="shared" si="20"/>
        <v>3808831760</v>
      </c>
      <c r="G39" s="30">
        <f t="shared" si="21"/>
        <v>0</v>
      </c>
      <c r="H39" s="30"/>
      <c r="I39" s="271"/>
      <c r="J39" s="5" t="str">
        <f t="shared" si="22"/>
        <v>Data-Picture</v>
      </c>
      <c r="K39" s="7" t="str">
        <f t="shared" si="22"/>
        <v>b34da9ae</v>
      </c>
      <c r="L39">
        <f t="shared" si="22"/>
        <v>3008211374</v>
      </c>
      <c r="M39" s="30">
        <f t="shared" si="23"/>
        <v>3008211380</v>
      </c>
      <c r="N39" s="31">
        <f t="shared" si="24"/>
        <v>4</v>
      </c>
    </row>
    <row r="40" spans="1:14" x14ac:dyDescent="0.45">
      <c r="A40" s="271"/>
      <c r="B40" s="1">
        <v>5</v>
      </c>
      <c r="C40" s="5" t="str">
        <f t="shared" si="18"/>
        <v>x.x.x.14</v>
      </c>
      <c r="D40" s="26" t="str">
        <f t="shared" si="18"/>
        <v>e6566e14</v>
      </c>
      <c r="E40">
        <f t="shared" si="19"/>
        <v>3864423956</v>
      </c>
      <c r="F40" s="4">
        <f t="shared" si="20"/>
        <v>3864423962</v>
      </c>
      <c r="G40" s="28">
        <f t="shared" si="21"/>
        <v>2</v>
      </c>
      <c r="H40" s="28"/>
      <c r="I40" s="271"/>
      <c r="J40" s="5" t="str">
        <f t="shared" si="22"/>
        <v>AI-GAN</v>
      </c>
      <c r="K40" s="7" t="str">
        <f t="shared" si="22"/>
        <v>632dea5b</v>
      </c>
      <c r="L40">
        <f t="shared" si="22"/>
        <v>1663953499</v>
      </c>
      <c r="M40" s="4">
        <f t="shared" si="23"/>
        <v>1663953505</v>
      </c>
      <c r="N40" s="28">
        <f t="shared" si="24"/>
        <v>1</v>
      </c>
    </row>
    <row r="41" spans="1:14" x14ac:dyDescent="0.45">
      <c r="A41" s="271"/>
      <c r="B41" s="1">
        <v>6</v>
      </c>
      <c r="C41" s="5" t="str">
        <f t="shared" si="18"/>
        <v>x.x.x.15</v>
      </c>
      <c r="D41" s="26" t="str">
        <f t="shared" si="18"/>
        <v>514baf10</v>
      </c>
      <c r="E41">
        <f t="shared" si="19"/>
        <v>1363914512</v>
      </c>
      <c r="F41" s="4">
        <f t="shared" si="20"/>
        <v>1363914518</v>
      </c>
      <c r="G41" s="28">
        <f t="shared" si="21"/>
        <v>6</v>
      </c>
      <c r="H41" s="28"/>
      <c r="I41" s="271"/>
      <c r="J41" s="5" t="str">
        <f t="shared" si="22"/>
        <v>Infra-STORAGE</v>
      </c>
      <c r="K41" s="7" t="str">
        <f t="shared" si="22"/>
        <v>8eaffaaa</v>
      </c>
      <c r="L41">
        <f t="shared" si="22"/>
        <v>2393897642</v>
      </c>
      <c r="M41" s="4">
        <f t="shared" si="23"/>
        <v>2393897648</v>
      </c>
      <c r="N41" s="28">
        <f t="shared" si="24"/>
        <v>0</v>
      </c>
    </row>
    <row r="42" spans="1:14" x14ac:dyDescent="0.45">
      <c r="A42" s="271"/>
      <c r="B42" s="1">
        <v>7</v>
      </c>
      <c r="C42" s="5" t="str">
        <f t="shared" si="18"/>
        <v>x.x.x.16</v>
      </c>
      <c r="D42" s="26" t="str">
        <f t="shared" si="18"/>
        <v>886dec1d</v>
      </c>
      <c r="E42">
        <f t="shared" si="19"/>
        <v>2288905245</v>
      </c>
      <c r="F42" s="4">
        <f t="shared" si="20"/>
        <v>2288905251</v>
      </c>
      <c r="G42" s="28">
        <f t="shared" si="21"/>
        <v>3</v>
      </c>
      <c r="H42" s="28"/>
      <c r="I42" s="271"/>
      <c r="J42" s="5" t="str">
        <f t="shared" si="22"/>
        <v>AI-DNN</v>
      </c>
      <c r="K42" s="7" t="str">
        <f t="shared" si="22"/>
        <v>c2e504e4</v>
      </c>
      <c r="L42">
        <f t="shared" si="22"/>
        <v>3269788900</v>
      </c>
      <c r="M42" s="4">
        <f t="shared" si="23"/>
        <v>3269788906</v>
      </c>
      <c r="N42" s="28">
        <f t="shared" si="24"/>
        <v>2</v>
      </c>
    </row>
    <row r="43" spans="1:14" x14ac:dyDescent="0.45">
      <c r="A43" s="271"/>
      <c r="B43" s="1">
        <v>8</v>
      </c>
      <c r="C43" s="5" t="str">
        <f t="shared" si="18"/>
        <v>x.x.x.17</v>
      </c>
      <c r="D43" s="26" t="str">
        <f t="shared" si="18"/>
        <v>3f702d19</v>
      </c>
      <c r="E43">
        <f t="shared" si="19"/>
        <v>1064316185</v>
      </c>
      <c r="F43" s="4">
        <f t="shared" si="20"/>
        <v>1064316191</v>
      </c>
      <c r="G43" s="28">
        <f t="shared" si="21"/>
        <v>7</v>
      </c>
      <c r="H43" s="28"/>
      <c r="I43" s="271"/>
      <c r="J43" s="5" t="str">
        <f t="shared" si="22"/>
        <v>Data-Doc</v>
      </c>
      <c r="K43" s="7" t="str">
        <f t="shared" si="22"/>
        <v>f5f174c0</v>
      </c>
      <c r="L43">
        <f t="shared" si="22"/>
        <v>4126241984</v>
      </c>
      <c r="M43" s="4">
        <f t="shared" si="23"/>
        <v>4126241990</v>
      </c>
      <c r="N43" s="28">
        <f t="shared" si="24"/>
        <v>6</v>
      </c>
    </row>
    <row r="45" spans="1:14" x14ac:dyDescent="0.45">
      <c r="A45" s="271" t="s">
        <v>57</v>
      </c>
      <c r="B45" s="5" t="s">
        <v>53</v>
      </c>
      <c r="C45" s="5">
        <f>'1. 기본 정보'!E30</f>
        <v>2</v>
      </c>
      <c r="D45" s="5"/>
      <c r="E45" s="5" t="s">
        <v>13</v>
      </c>
      <c r="F45" s="5">
        <f>'1. 기본 정보'!$E$1</f>
        <v>8</v>
      </c>
      <c r="G45" s="5"/>
      <c r="H45" s="5"/>
      <c r="I45" s="271" t="s">
        <v>57</v>
      </c>
    </row>
    <row r="46" spans="1:14" x14ac:dyDescent="0.45">
      <c r="A46" s="271"/>
      <c r="C46" t="s">
        <v>61</v>
      </c>
      <c r="D46" t="s">
        <v>3</v>
      </c>
      <c r="E46" t="s">
        <v>5</v>
      </c>
      <c r="F46" s="2" t="s">
        <v>25</v>
      </c>
      <c r="G46" s="3" t="s">
        <v>54</v>
      </c>
      <c r="H46" s="3"/>
      <c r="I46" s="271"/>
      <c r="J46" t="s">
        <v>62</v>
      </c>
      <c r="K46" t="s">
        <v>3</v>
      </c>
      <c r="L46" t="s">
        <v>5</v>
      </c>
      <c r="M46" s="2" t="s">
        <v>25</v>
      </c>
      <c r="N46" s="3" t="s">
        <v>54</v>
      </c>
    </row>
    <row r="47" spans="1:14" x14ac:dyDescent="0.45">
      <c r="A47" s="271"/>
      <c r="B47" s="1">
        <v>1</v>
      </c>
      <c r="C47" s="5" t="str">
        <f t="shared" ref="C47:D54" si="25">C36</f>
        <v>x.x.x.10</v>
      </c>
      <c r="D47" s="25" t="str">
        <f t="shared" si="25"/>
        <v>3a206a07</v>
      </c>
      <c r="E47">
        <f t="shared" ref="E47:E54" si="26">HEX2DEC(D47)</f>
        <v>975202823</v>
      </c>
      <c r="F47" s="4">
        <f t="shared" ref="F47:F54" si="27">E47+$C$45</f>
        <v>975202825</v>
      </c>
      <c r="G47" s="28">
        <f t="shared" ref="G47:G54" si="28">MOD(F47,$F$45)</f>
        <v>1</v>
      </c>
      <c r="H47" s="28"/>
      <c r="I47" s="271"/>
      <c r="J47" s="5" t="str">
        <f t="shared" ref="J47:L54" si="29">J36</f>
        <v>Data-Text</v>
      </c>
      <c r="K47" s="7" t="str">
        <f t="shared" si="29"/>
        <v>eed9ae79</v>
      </c>
      <c r="L47">
        <f t="shared" si="29"/>
        <v>4007243385</v>
      </c>
      <c r="M47" s="4">
        <f t="shared" ref="M47:M54" si="30">L47+$C$45</f>
        <v>4007243387</v>
      </c>
      <c r="N47" s="28">
        <f t="shared" ref="N47:N54" si="31">MOD(M47,$F$45)</f>
        <v>3</v>
      </c>
    </row>
    <row r="48" spans="1:14" x14ac:dyDescent="0.45">
      <c r="A48" s="271"/>
      <c r="B48" s="1">
        <v>2</v>
      </c>
      <c r="C48" s="5" t="str">
        <f t="shared" si="25"/>
        <v>x.x.x.11</v>
      </c>
      <c r="D48" s="26" t="str">
        <f t="shared" si="25"/>
        <v>8d3dab03</v>
      </c>
      <c r="E48">
        <f t="shared" si="26"/>
        <v>2369628931</v>
      </c>
      <c r="F48" s="4">
        <f t="shared" si="27"/>
        <v>2369628933</v>
      </c>
      <c r="G48" s="28">
        <f t="shared" si="28"/>
        <v>5</v>
      </c>
      <c r="H48" s="28"/>
      <c r="I48" s="271"/>
      <c r="J48" s="5" t="str">
        <f t="shared" si="29"/>
        <v>AI-LLM</v>
      </c>
      <c r="K48" s="7" t="str">
        <f t="shared" si="29"/>
        <v>2c397047</v>
      </c>
      <c r="L48">
        <f t="shared" si="29"/>
        <v>741961799</v>
      </c>
      <c r="M48" s="4">
        <f t="shared" si="30"/>
        <v>741961801</v>
      </c>
      <c r="N48" s="28">
        <f t="shared" si="31"/>
        <v>1</v>
      </c>
    </row>
    <row r="49" spans="1:14" x14ac:dyDescent="0.45">
      <c r="A49" s="271"/>
      <c r="B49" s="1">
        <v>3</v>
      </c>
      <c r="C49" s="5" t="str">
        <f t="shared" si="25"/>
        <v>x.x.x.12</v>
      </c>
      <c r="D49" s="26" t="str">
        <f t="shared" si="25"/>
        <v>541be80e</v>
      </c>
      <c r="E49">
        <f t="shared" si="26"/>
        <v>1411115022</v>
      </c>
      <c r="F49" s="4">
        <f t="shared" si="27"/>
        <v>1411115024</v>
      </c>
      <c r="G49" s="4">
        <f t="shared" si="28"/>
        <v>0</v>
      </c>
      <c r="H49" s="4"/>
      <c r="I49" s="271"/>
      <c r="J49" s="5" t="str">
        <f t="shared" si="29"/>
        <v>Infra-Memory</v>
      </c>
      <c r="K49" s="7" t="str">
        <f t="shared" si="29"/>
        <v>7c98c82d</v>
      </c>
      <c r="L49">
        <f t="shared" si="29"/>
        <v>2090387501</v>
      </c>
      <c r="M49" s="4">
        <f t="shared" si="30"/>
        <v>2090387503</v>
      </c>
      <c r="N49" s="28">
        <f t="shared" si="31"/>
        <v>7</v>
      </c>
    </row>
    <row r="50" spans="1:14" x14ac:dyDescent="0.45">
      <c r="A50" s="271"/>
      <c r="B50" s="1">
        <v>4</v>
      </c>
      <c r="C50" s="5" t="str">
        <f t="shared" si="25"/>
        <v>x.x.x.13</v>
      </c>
      <c r="D50" s="26" t="str">
        <f t="shared" si="25"/>
        <v>e306290a</v>
      </c>
      <c r="E50">
        <f t="shared" si="26"/>
        <v>3808831754</v>
      </c>
      <c r="F50" s="4">
        <f t="shared" si="27"/>
        <v>3808831756</v>
      </c>
      <c r="G50" s="4">
        <f t="shared" si="28"/>
        <v>4</v>
      </c>
      <c r="H50" s="4"/>
      <c r="I50" s="271"/>
      <c r="J50" s="5" t="str">
        <f t="shared" si="29"/>
        <v>Data-Picture</v>
      </c>
      <c r="K50" s="7" t="str">
        <f t="shared" si="29"/>
        <v>b34da9ae</v>
      </c>
      <c r="L50">
        <f t="shared" si="29"/>
        <v>3008211374</v>
      </c>
      <c r="M50" s="4">
        <f t="shared" si="30"/>
        <v>3008211376</v>
      </c>
      <c r="N50" s="28">
        <f t="shared" si="31"/>
        <v>0</v>
      </c>
    </row>
    <row r="51" spans="1:14" x14ac:dyDescent="0.45">
      <c r="A51" s="271"/>
      <c r="B51" s="1">
        <v>5</v>
      </c>
      <c r="C51" s="5" t="str">
        <f t="shared" si="25"/>
        <v>x.x.x.14</v>
      </c>
      <c r="D51" s="26" t="str">
        <f t="shared" si="25"/>
        <v>e6566e14</v>
      </c>
      <c r="E51">
        <f t="shared" si="26"/>
        <v>3864423956</v>
      </c>
      <c r="F51" s="30">
        <f t="shared" si="27"/>
        <v>3864423958</v>
      </c>
      <c r="G51" s="30">
        <f t="shared" si="28"/>
        <v>6</v>
      </c>
      <c r="H51" s="30"/>
      <c r="I51" s="271"/>
      <c r="J51" s="5" t="str">
        <f t="shared" si="29"/>
        <v>AI-GAN</v>
      </c>
      <c r="K51" s="7" t="str">
        <f t="shared" si="29"/>
        <v>632dea5b</v>
      </c>
      <c r="L51">
        <f t="shared" si="29"/>
        <v>1663953499</v>
      </c>
      <c r="M51" s="30">
        <f t="shared" si="30"/>
        <v>1663953501</v>
      </c>
      <c r="N51" s="31">
        <f t="shared" si="31"/>
        <v>5</v>
      </c>
    </row>
    <row r="52" spans="1:14" x14ac:dyDescent="0.45">
      <c r="A52" s="271"/>
      <c r="B52" s="1">
        <v>6</v>
      </c>
      <c r="C52" s="5" t="str">
        <f t="shared" si="25"/>
        <v>x.x.x.15</v>
      </c>
      <c r="D52" s="26" t="str">
        <f t="shared" si="25"/>
        <v>514baf10</v>
      </c>
      <c r="E52">
        <f t="shared" si="26"/>
        <v>1363914512</v>
      </c>
      <c r="F52" s="4">
        <f t="shared" si="27"/>
        <v>1363914514</v>
      </c>
      <c r="G52" s="4">
        <f t="shared" si="28"/>
        <v>2</v>
      </c>
      <c r="H52" s="4"/>
      <c r="I52" s="271"/>
      <c r="J52" s="5" t="str">
        <f t="shared" si="29"/>
        <v>Infra-STORAGE</v>
      </c>
      <c r="K52" s="7" t="str">
        <f t="shared" si="29"/>
        <v>8eaffaaa</v>
      </c>
      <c r="L52">
        <f t="shared" si="29"/>
        <v>2393897642</v>
      </c>
      <c r="M52" s="4">
        <f t="shared" si="30"/>
        <v>2393897644</v>
      </c>
      <c r="N52" s="28">
        <f t="shared" si="31"/>
        <v>4</v>
      </c>
    </row>
    <row r="53" spans="1:14" x14ac:dyDescent="0.45">
      <c r="A53" s="271"/>
      <c r="B53" s="1">
        <v>7</v>
      </c>
      <c r="C53" s="5" t="str">
        <f t="shared" si="25"/>
        <v>x.x.x.16</v>
      </c>
      <c r="D53" s="26" t="str">
        <f t="shared" si="25"/>
        <v>886dec1d</v>
      </c>
      <c r="E53">
        <f t="shared" si="26"/>
        <v>2288905245</v>
      </c>
      <c r="F53" s="4">
        <f t="shared" si="27"/>
        <v>2288905247</v>
      </c>
      <c r="G53" s="28">
        <f t="shared" si="28"/>
        <v>7</v>
      </c>
      <c r="H53" s="28"/>
      <c r="I53" s="271"/>
      <c r="J53" s="5" t="str">
        <f t="shared" si="29"/>
        <v>AI-DNN</v>
      </c>
      <c r="K53" s="7" t="str">
        <f t="shared" si="29"/>
        <v>c2e504e4</v>
      </c>
      <c r="L53">
        <f t="shared" si="29"/>
        <v>3269788900</v>
      </c>
      <c r="M53" s="4">
        <f t="shared" si="30"/>
        <v>3269788902</v>
      </c>
      <c r="N53" s="28">
        <f t="shared" si="31"/>
        <v>6</v>
      </c>
    </row>
    <row r="54" spans="1:14" x14ac:dyDescent="0.45">
      <c r="A54" s="271"/>
      <c r="B54" s="1">
        <v>8</v>
      </c>
      <c r="C54" s="5" t="str">
        <f t="shared" si="25"/>
        <v>x.x.x.17</v>
      </c>
      <c r="D54" s="26" t="str">
        <f t="shared" si="25"/>
        <v>3f702d19</v>
      </c>
      <c r="E54">
        <f t="shared" si="26"/>
        <v>1064316185</v>
      </c>
      <c r="F54" s="4">
        <f t="shared" si="27"/>
        <v>1064316187</v>
      </c>
      <c r="G54" s="28">
        <f t="shared" si="28"/>
        <v>3</v>
      </c>
      <c r="H54" s="28"/>
      <c r="I54" s="271"/>
      <c r="J54" s="5" t="str">
        <f t="shared" si="29"/>
        <v>Data-Doc</v>
      </c>
      <c r="K54" s="7" t="str">
        <f t="shared" si="29"/>
        <v>f5f174c0</v>
      </c>
      <c r="L54">
        <f t="shared" si="29"/>
        <v>4126241984</v>
      </c>
      <c r="M54" s="4">
        <f t="shared" si="30"/>
        <v>4126241986</v>
      </c>
      <c r="N54" s="28">
        <f t="shared" si="31"/>
        <v>2</v>
      </c>
    </row>
    <row r="55" spans="1:14" x14ac:dyDescent="0.45">
      <c r="A55" s="2"/>
      <c r="I55" s="2"/>
    </row>
    <row r="56" spans="1:14" x14ac:dyDescent="0.45">
      <c r="A56" s="271" t="s">
        <v>58</v>
      </c>
      <c r="B56" s="5" t="s">
        <v>6</v>
      </c>
      <c r="C56" s="5">
        <f>'1. 기본 정보'!E31</f>
        <v>3</v>
      </c>
      <c r="D56" s="5"/>
      <c r="E56" s="5" t="s">
        <v>13</v>
      </c>
      <c r="F56" s="5">
        <f>'1. 기본 정보'!$E$1</f>
        <v>8</v>
      </c>
      <c r="G56" s="5"/>
      <c r="H56" s="5"/>
      <c r="I56" s="271" t="s">
        <v>58</v>
      </c>
    </row>
    <row r="57" spans="1:14" x14ac:dyDescent="0.45">
      <c r="A57" s="271"/>
      <c r="C57" t="s">
        <v>61</v>
      </c>
      <c r="D57" t="s">
        <v>3</v>
      </c>
      <c r="E57" t="s">
        <v>5</v>
      </c>
      <c r="F57" s="2" t="s">
        <v>25</v>
      </c>
      <c r="G57" s="3" t="s">
        <v>54</v>
      </c>
      <c r="H57" s="3"/>
      <c r="I57" s="271"/>
      <c r="J57" t="s">
        <v>62</v>
      </c>
      <c r="K57" t="s">
        <v>3</v>
      </c>
      <c r="L57" t="s">
        <v>5</v>
      </c>
      <c r="M57" s="2" t="s">
        <v>25</v>
      </c>
      <c r="N57" s="3" t="s">
        <v>54</v>
      </c>
    </row>
    <row r="58" spans="1:14" x14ac:dyDescent="0.45">
      <c r="A58" s="271"/>
      <c r="B58" s="1">
        <v>1</v>
      </c>
      <c r="C58" s="5" t="str">
        <f t="shared" ref="C58:D65" si="32">C47</f>
        <v>x.x.x.10</v>
      </c>
      <c r="D58" s="25" t="str">
        <f t="shared" si="32"/>
        <v>3a206a07</v>
      </c>
      <c r="E58">
        <f t="shared" ref="E58:E65" si="33">HEX2DEC(D58)</f>
        <v>975202823</v>
      </c>
      <c r="F58" s="4">
        <f t="shared" ref="F58:F65" si="34">E58+$C$56</f>
        <v>975202826</v>
      </c>
      <c r="G58" s="28">
        <f t="shared" ref="G58:G65" si="35">MOD(F58,$F$56)</f>
        <v>2</v>
      </c>
      <c r="H58" s="28"/>
      <c r="I58" s="271"/>
      <c r="J58" s="5" t="str">
        <f t="shared" ref="J58:L65" si="36">J47</f>
        <v>Data-Text</v>
      </c>
      <c r="K58" s="7" t="str">
        <f t="shared" si="36"/>
        <v>eed9ae79</v>
      </c>
      <c r="L58">
        <f t="shared" si="36"/>
        <v>4007243385</v>
      </c>
      <c r="M58" s="4">
        <f t="shared" ref="M58:M65" si="37">L58+$C$56</f>
        <v>4007243388</v>
      </c>
      <c r="N58" s="28">
        <f t="shared" ref="N58:N65" si="38">MOD(M58,$F$56)</f>
        <v>4</v>
      </c>
    </row>
    <row r="59" spans="1:14" x14ac:dyDescent="0.45">
      <c r="A59" s="271"/>
      <c r="B59" s="1">
        <v>2</v>
      </c>
      <c r="C59" s="5" t="str">
        <f t="shared" si="32"/>
        <v>x.x.x.11</v>
      </c>
      <c r="D59" s="26" t="str">
        <f t="shared" si="32"/>
        <v>8d3dab03</v>
      </c>
      <c r="E59">
        <f t="shared" si="33"/>
        <v>2369628931</v>
      </c>
      <c r="F59" s="4">
        <f t="shared" si="34"/>
        <v>2369628934</v>
      </c>
      <c r="G59" s="28">
        <f t="shared" si="35"/>
        <v>6</v>
      </c>
      <c r="H59" s="28"/>
      <c r="I59" s="271"/>
      <c r="J59" s="5" t="str">
        <f t="shared" si="36"/>
        <v>AI-LLM</v>
      </c>
      <c r="K59" s="7" t="str">
        <f t="shared" si="36"/>
        <v>2c397047</v>
      </c>
      <c r="L59">
        <f t="shared" si="36"/>
        <v>741961799</v>
      </c>
      <c r="M59" s="4">
        <f t="shared" si="37"/>
        <v>741961802</v>
      </c>
      <c r="N59" s="28">
        <f t="shared" si="38"/>
        <v>2</v>
      </c>
    </row>
    <row r="60" spans="1:14" x14ac:dyDescent="0.45">
      <c r="A60" s="271"/>
      <c r="B60" s="1">
        <v>3</v>
      </c>
      <c r="C60" s="5" t="str">
        <f t="shared" si="32"/>
        <v>x.x.x.12</v>
      </c>
      <c r="D60" s="26" t="str">
        <f t="shared" si="32"/>
        <v>541be80e</v>
      </c>
      <c r="E60">
        <f t="shared" si="33"/>
        <v>1411115022</v>
      </c>
      <c r="F60" s="4">
        <f t="shared" si="34"/>
        <v>1411115025</v>
      </c>
      <c r="G60" s="28">
        <f t="shared" si="35"/>
        <v>1</v>
      </c>
      <c r="H60" s="28"/>
      <c r="I60" s="271"/>
      <c r="J60" s="5" t="str">
        <f t="shared" si="36"/>
        <v>Infra-Memory</v>
      </c>
      <c r="K60" s="7" t="str">
        <f t="shared" si="36"/>
        <v>7c98c82d</v>
      </c>
      <c r="L60">
        <f t="shared" si="36"/>
        <v>2090387501</v>
      </c>
      <c r="M60" s="4">
        <f t="shared" si="37"/>
        <v>2090387504</v>
      </c>
      <c r="N60" s="28">
        <f t="shared" si="38"/>
        <v>0</v>
      </c>
    </row>
    <row r="61" spans="1:14" x14ac:dyDescent="0.45">
      <c r="A61" s="271"/>
      <c r="B61" s="1">
        <v>4</v>
      </c>
      <c r="C61" s="5" t="str">
        <f t="shared" si="32"/>
        <v>x.x.x.13</v>
      </c>
      <c r="D61" s="26" t="str">
        <f t="shared" si="32"/>
        <v>e306290a</v>
      </c>
      <c r="E61">
        <f t="shared" si="33"/>
        <v>3808831754</v>
      </c>
      <c r="F61" s="4">
        <f t="shared" si="34"/>
        <v>3808831757</v>
      </c>
      <c r="G61" s="4">
        <f t="shared" si="35"/>
        <v>5</v>
      </c>
      <c r="H61" s="4"/>
      <c r="I61" s="271"/>
      <c r="J61" s="5" t="str">
        <f t="shared" si="36"/>
        <v>Data-Picture</v>
      </c>
      <c r="K61" s="7" t="str">
        <f t="shared" si="36"/>
        <v>b34da9ae</v>
      </c>
      <c r="L61">
        <f t="shared" si="36"/>
        <v>3008211374</v>
      </c>
      <c r="M61" s="4">
        <f t="shared" si="37"/>
        <v>3008211377</v>
      </c>
      <c r="N61" s="28">
        <f t="shared" si="38"/>
        <v>1</v>
      </c>
    </row>
    <row r="62" spans="1:14" x14ac:dyDescent="0.45">
      <c r="A62" s="271"/>
      <c r="B62" s="1">
        <v>5</v>
      </c>
      <c r="C62" s="5" t="str">
        <f t="shared" si="32"/>
        <v>x.x.x.14</v>
      </c>
      <c r="D62" s="26" t="str">
        <f t="shared" si="32"/>
        <v>e6566e14</v>
      </c>
      <c r="E62">
        <f t="shared" si="33"/>
        <v>3864423956</v>
      </c>
      <c r="F62" s="4">
        <f t="shared" si="34"/>
        <v>3864423959</v>
      </c>
      <c r="G62" s="4">
        <f t="shared" si="35"/>
        <v>7</v>
      </c>
      <c r="H62" s="4"/>
      <c r="I62" s="271"/>
      <c r="J62" s="5" t="str">
        <f t="shared" si="36"/>
        <v>AI-GAN</v>
      </c>
      <c r="K62" s="7" t="str">
        <f t="shared" si="36"/>
        <v>632dea5b</v>
      </c>
      <c r="L62">
        <f t="shared" si="36"/>
        <v>1663953499</v>
      </c>
      <c r="M62" s="4">
        <f t="shared" si="37"/>
        <v>1663953502</v>
      </c>
      <c r="N62" s="28">
        <f t="shared" si="38"/>
        <v>6</v>
      </c>
    </row>
    <row r="63" spans="1:14" x14ac:dyDescent="0.45">
      <c r="A63" s="271"/>
      <c r="B63" s="1">
        <v>6</v>
      </c>
      <c r="C63" s="5" t="str">
        <f t="shared" si="32"/>
        <v>x.x.x.15</v>
      </c>
      <c r="D63" s="26" t="str">
        <f t="shared" si="32"/>
        <v>514baf10</v>
      </c>
      <c r="E63">
        <f t="shared" si="33"/>
        <v>1363914512</v>
      </c>
      <c r="F63" s="30">
        <f t="shared" si="34"/>
        <v>1363914515</v>
      </c>
      <c r="G63" s="30">
        <f t="shared" si="35"/>
        <v>3</v>
      </c>
      <c r="H63" s="30"/>
      <c r="I63" s="271"/>
      <c r="J63" s="5" t="str">
        <f t="shared" si="36"/>
        <v>Infra-STORAGE</v>
      </c>
      <c r="K63" s="7" t="str">
        <f t="shared" si="36"/>
        <v>8eaffaaa</v>
      </c>
      <c r="L63">
        <f t="shared" si="36"/>
        <v>2393897642</v>
      </c>
      <c r="M63" s="30">
        <f t="shared" si="37"/>
        <v>2393897645</v>
      </c>
      <c r="N63" s="31">
        <f t="shared" si="38"/>
        <v>5</v>
      </c>
    </row>
    <row r="64" spans="1:14" x14ac:dyDescent="0.45">
      <c r="A64" s="271"/>
      <c r="B64" s="1">
        <v>7</v>
      </c>
      <c r="C64" s="5" t="str">
        <f t="shared" si="32"/>
        <v>x.x.x.16</v>
      </c>
      <c r="D64" s="26" t="str">
        <f t="shared" si="32"/>
        <v>886dec1d</v>
      </c>
      <c r="E64">
        <f t="shared" si="33"/>
        <v>2288905245</v>
      </c>
      <c r="F64" s="4">
        <f t="shared" si="34"/>
        <v>2288905248</v>
      </c>
      <c r="G64" s="4">
        <f t="shared" si="35"/>
        <v>0</v>
      </c>
      <c r="H64" s="4"/>
      <c r="I64" s="271"/>
      <c r="J64" s="5" t="str">
        <f t="shared" si="36"/>
        <v>AI-DNN</v>
      </c>
      <c r="K64" s="7" t="str">
        <f t="shared" si="36"/>
        <v>c2e504e4</v>
      </c>
      <c r="L64">
        <f t="shared" si="36"/>
        <v>3269788900</v>
      </c>
      <c r="M64" s="4">
        <f t="shared" si="37"/>
        <v>3269788903</v>
      </c>
      <c r="N64" s="28">
        <f t="shared" si="38"/>
        <v>7</v>
      </c>
    </row>
    <row r="65" spans="1:14" x14ac:dyDescent="0.45">
      <c r="A65" s="271"/>
      <c r="B65" s="1">
        <v>8</v>
      </c>
      <c r="C65" s="5" t="str">
        <f t="shared" si="32"/>
        <v>x.x.x.17</v>
      </c>
      <c r="D65" s="26" t="str">
        <f t="shared" si="32"/>
        <v>3f702d19</v>
      </c>
      <c r="E65">
        <f t="shared" si="33"/>
        <v>1064316185</v>
      </c>
      <c r="F65" s="4">
        <f t="shared" si="34"/>
        <v>1064316188</v>
      </c>
      <c r="G65" s="28">
        <f t="shared" si="35"/>
        <v>4</v>
      </c>
      <c r="H65" s="28"/>
      <c r="I65" s="271"/>
      <c r="J65" s="5" t="str">
        <f t="shared" si="36"/>
        <v>Data-Doc</v>
      </c>
      <c r="K65" s="7" t="str">
        <f t="shared" si="36"/>
        <v>f5f174c0</v>
      </c>
      <c r="L65">
        <f t="shared" si="36"/>
        <v>4126241984</v>
      </c>
      <c r="M65" s="4">
        <f t="shared" si="37"/>
        <v>4126241987</v>
      </c>
      <c r="N65" s="28">
        <f t="shared" si="38"/>
        <v>3</v>
      </c>
    </row>
    <row r="66" spans="1:14" x14ac:dyDescent="0.45">
      <c r="A66" s="2"/>
      <c r="I66" s="2"/>
    </row>
    <row r="67" spans="1:14" x14ac:dyDescent="0.45">
      <c r="A67" s="271" t="s">
        <v>59</v>
      </c>
      <c r="B67" s="5" t="s">
        <v>6</v>
      </c>
      <c r="C67" s="5">
        <f>'1. 기본 정보'!E32</f>
        <v>0</v>
      </c>
      <c r="D67" s="5"/>
      <c r="E67" s="5" t="s">
        <v>13</v>
      </c>
      <c r="F67" s="5">
        <f>'1. 기본 정보'!$E$1</f>
        <v>8</v>
      </c>
      <c r="G67" s="5"/>
      <c r="H67" s="5"/>
      <c r="I67" s="271" t="s">
        <v>59</v>
      </c>
    </row>
    <row r="68" spans="1:14" x14ac:dyDescent="0.45">
      <c r="A68" s="271"/>
      <c r="D68" t="s">
        <v>3</v>
      </c>
      <c r="E68" t="s">
        <v>5</v>
      </c>
      <c r="F68" s="2" t="s">
        <v>25</v>
      </c>
      <c r="G68" s="3" t="s">
        <v>54</v>
      </c>
      <c r="H68" s="3"/>
      <c r="I68" s="271"/>
      <c r="K68" t="s">
        <v>3</v>
      </c>
      <c r="L68" t="s">
        <v>5</v>
      </c>
      <c r="M68" s="2" t="s">
        <v>25</v>
      </c>
      <c r="N68" s="3" t="s">
        <v>54</v>
      </c>
    </row>
    <row r="69" spans="1:14" x14ac:dyDescent="0.45">
      <c r="A69" s="271"/>
      <c r="B69" s="1">
        <v>1</v>
      </c>
      <c r="C69" s="5" t="str">
        <f t="shared" ref="C69:D76" si="39">C58</f>
        <v>x.x.x.10</v>
      </c>
      <c r="D69" s="25" t="str">
        <f t="shared" si="39"/>
        <v>3a206a07</v>
      </c>
      <c r="E69">
        <f t="shared" ref="E69:E76" si="40">HEX2DEC(D69)</f>
        <v>975202823</v>
      </c>
      <c r="F69" s="4">
        <f t="shared" ref="F69:F76" si="41">E69+$C$67</f>
        <v>975202823</v>
      </c>
      <c r="G69" s="28">
        <f t="shared" ref="G69:G76" si="42">MOD(F69,$F$67)</f>
        <v>7</v>
      </c>
      <c r="H69" s="28"/>
      <c r="I69" s="271"/>
      <c r="J69" s="5" t="str">
        <f t="shared" ref="J69:L76" si="43">J58</f>
        <v>Data-Text</v>
      </c>
      <c r="K69" s="7" t="str">
        <f t="shared" si="43"/>
        <v>eed9ae79</v>
      </c>
      <c r="L69">
        <f t="shared" si="43"/>
        <v>4007243385</v>
      </c>
      <c r="M69" s="4">
        <f t="shared" ref="M69:M76" si="44">L69+$C$67</f>
        <v>4007243385</v>
      </c>
      <c r="N69" s="28">
        <f t="shared" ref="N69:N76" si="45">MOD(M69,$F$67)</f>
        <v>1</v>
      </c>
    </row>
    <row r="70" spans="1:14" x14ac:dyDescent="0.45">
      <c r="A70" s="271"/>
      <c r="B70" s="1">
        <v>2</v>
      </c>
      <c r="C70" s="5" t="str">
        <f t="shared" si="39"/>
        <v>x.x.x.11</v>
      </c>
      <c r="D70" s="26" t="str">
        <f t="shared" si="39"/>
        <v>8d3dab03</v>
      </c>
      <c r="E70">
        <f t="shared" si="40"/>
        <v>2369628931</v>
      </c>
      <c r="F70" s="4">
        <f t="shared" si="41"/>
        <v>2369628931</v>
      </c>
      <c r="G70" s="28">
        <f t="shared" si="42"/>
        <v>3</v>
      </c>
      <c r="H70" s="28"/>
      <c r="I70" s="271"/>
      <c r="J70" s="5" t="str">
        <f t="shared" si="43"/>
        <v>AI-LLM</v>
      </c>
      <c r="K70" s="7" t="str">
        <f t="shared" si="43"/>
        <v>2c397047</v>
      </c>
      <c r="L70">
        <f t="shared" si="43"/>
        <v>741961799</v>
      </c>
      <c r="M70" s="4">
        <f t="shared" si="44"/>
        <v>741961799</v>
      </c>
      <c r="N70" s="28">
        <f t="shared" si="45"/>
        <v>7</v>
      </c>
    </row>
    <row r="71" spans="1:14" x14ac:dyDescent="0.45">
      <c r="A71" s="271"/>
      <c r="B71" s="1">
        <v>3</v>
      </c>
      <c r="C71" s="5" t="str">
        <f t="shared" si="39"/>
        <v>x.x.x.12</v>
      </c>
      <c r="D71" s="26" t="str">
        <f t="shared" si="39"/>
        <v>541be80e</v>
      </c>
      <c r="E71">
        <f t="shared" si="40"/>
        <v>1411115022</v>
      </c>
      <c r="F71" s="4">
        <f t="shared" si="41"/>
        <v>1411115022</v>
      </c>
      <c r="G71" s="28">
        <f t="shared" si="42"/>
        <v>6</v>
      </c>
      <c r="H71" s="28"/>
      <c r="I71" s="271"/>
      <c r="J71" s="5" t="str">
        <f t="shared" si="43"/>
        <v>Infra-Memory</v>
      </c>
      <c r="K71" s="7" t="str">
        <f t="shared" si="43"/>
        <v>7c98c82d</v>
      </c>
      <c r="L71">
        <f t="shared" si="43"/>
        <v>2090387501</v>
      </c>
      <c r="M71" s="4">
        <f t="shared" si="44"/>
        <v>2090387501</v>
      </c>
      <c r="N71" s="28">
        <f t="shared" si="45"/>
        <v>5</v>
      </c>
    </row>
    <row r="72" spans="1:14" x14ac:dyDescent="0.45">
      <c r="A72" s="271"/>
      <c r="B72" s="1">
        <v>4</v>
      </c>
      <c r="C72" s="5" t="str">
        <f t="shared" si="39"/>
        <v>x.x.x.13</v>
      </c>
      <c r="D72" s="26" t="str">
        <f t="shared" si="39"/>
        <v>e306290a</v>
      </c>
      <c r="E72">
        <f t="shared" si="40"/>
        <v>3808831754</v>
      </c>
      <c r="F72" s="4">
        <f t="shared" si="41"/>
        <v>3808831754</v>
      </c>
      <c r="G72" s="28">
        <f t="shared" si="42"/>
        <v>2</v>
      </c>
      <c r="H72" s="28"/>
      <c r="I72" s="271"/>
      <c r="J72" s="5" t="str">
        <f t="shared" si="43"/>
        <v>Data-Picture</v>
      </c>
      <c r="K72" s="7" t="str">
        <f t="shared" si="43"/>
        <v>b34da9ae</v>
      </c>
      <c r="L72">
        <f t="shared" si="43"/>
        <v>3008211374</v>
      </c>
      <c r="M72" s="4">
        <f t="shared" si="44"/>
        <v>3008211374</v>
      </c>
      <c r="N72" s="28">
        <f t="shared" si="45"/>
        <v>6</v>
      </c>
    </row>
    <row r="73" spans="1:14" x14ac:dyDescent="0.45">
      <c r="A73" s="271"/>
      <c r="B73" s="1">
        <v>5</v>
      </c>
      <c r="C73" s="5" t="str">
        <f t="shared" si="39"/>
        <v>x.x.x.14</v>
      </c>
      <c r="D73" s="26" t="str">
        <f t="shared" si="39"/>
        <v>e6566e14</v>
      </c>
      <c r="E73">
        <f t="shared" si="40"/>
        <v>3864423956</v>
      </c>
      <c r="F73" s="4">
        <f t="shared" si="41"/>
        <v>3864423956</v>
      </c>
      <c r="G73" s="28">
        <f t="shared" si="42"/>
        <v>4</v>
      </c>
      <c r="H73" s="28"/>
      <c r="I73" s="271"/>
      <c r="J73" s="5" t="str">
        <f t="shared" si="43"/>
        <v>AI-GAN</v>
      </c>
      <c r="K73" s="7" t="str">
        <f t="shared" si="43"/>
        <v>632dea5b</v>
      </c>
      <c r="L73">
        <f t="shared" si="43"/>
        <v>1663953499</v>
      </c>
      <c r="M73" s="4">
        <f t="shared" si="44"/>
        <v>1663953499</v>
      </c>
      <c r="N73" s="28">
        <f t="shared" si="45"/>
        <v>3</v>
      </c>
    </row>
    <row r="74" spans="1:14" x14ac:dyDescent="0.45">
      <c r="A74" s="271"/>
      <c r="B74" s="1">
        <v>6</v>
      </c>
      <c r="C74" s="5" t="str">
        <f t="shared" si="39"/>
        <v>x.x.x.15</v>
      </c>
      <c r="D74" s="26" t="str">
        <f t="shared" si="39"/>
        <v>514baf10</v>
      </c>
      <c r="E74">
        <f t="shared" si="40"/>
        <v>1363914512</v>
      </c>
      <c r="F74" s="4">
        <f t="shared" si="41"/>
        <v>1363914512</v>
      </c>
      <c r="G74" s="28">
        <f t="shared" si="42"/>
        <v>0</v>
      </c>
      <c r="H74" s="28"/>
      <c r="I74" s="271"/>
      <c r="J74" s="5" t="str">
        <f t="shared" si="43"/>
        <v>Infra-STORAGE</v>
      </c>
      <c r="K74" s="7" t="str">
        <f t="shared" si="43"/>
        <v>8eaffaaa</v>
      </c>
      <c r="L74">
        <f t="shared" si="43"/>
        <v>2393897642</v>
      </c>
      <c r="M74" s="4">
        <f t="shared" si="44"/>
        <v>2393897642</v>
      </c>
      <c r="N74" s="28">
        <f t="shared" si="45"/>
        <v>2</v>
      </c>
    </row>
    <row r="75" spans="1:14" x14ac:dyDescent="0.45">
      <c r="A75" s="271"/>
      <c r="B75" s="1">
        <v>7</v>
      </c>
      <c r="C75" s="5" t="str">
        <f t="shared" si="39"/>
        <v>x.x.x.16</v>
      </c>
      <c r="D75" s="26" t="str">
        <f t="shared" si="39"/>
        <v>886dec1d</v>
      </c>
      <c r="E75">
        <f t="shared" si="40"/>
        <v>2288905245</v>
      </c>
      <c r="F75" s="30">
        <f t="shared" si="41"/>
        <v>2288905245</v>
      </c>
      <c r="G75" s="30">
        <f t="shared" si="42"/>
        <v>5</v>
      </c>
      <c r="H75" s="30"/>
      <c r="I75" s="271"/>
      <c r="J75" s="5" t="str">
        <f t="shared" si="43"/>
        <v>AI-DNN</v>
      </c>
      <c r="K75" s="7" t="str">
        <f t="shared" si="43"/>
        <v>c2e504e4</v>
      </c>
      <c r="L75">
        <f t="shared" si="43"/>
        <v>3269788900</v>
      </c>
      <c r="M75" s="30">
        <f t="shared" si="44"/>
        <v>3269788900</v>
      </c>
      <c r="N75" s="31">
        <f t="shared" si="45"/>
        <v>4</v>
      </c>
    </row>
    <row r="76" spans="1:14" x14ac:dyDescent="0.45">
      <c r="A76" s="271"/>
      <c r="B76" s="1">
        <v>8</v>
      </c>
      <c r="C76" s="5" t="str">
        <f t="shared" si="39"/>
        <v>x.x.x.17</v>
      </c>
      <c r="D76" s="26" t="str">
        <f t="shared" si="39"/>
        <v>3f702d19</v>
      </c>
      <c r="E76">
        <f t="shared" si="40"/>
        <v>1064316185</v>
      </c>
      <c r="F76" s="4">
        <f t="shared" si="41"/>
        <v>1064316185</v>
      </c>
      <c r="G76" s="28">
        <f t="shared" si="42"/>
        <v>1</v>
      </c>
      <c r="H76" s="28"/>
      <c r="I76" s="271"/>
      <c r="J76" s="5" t="str">
        <f t="shared" si="43"/>
        <v>Data-Doc</v>
      </c>
      <c r="K76" s="7" t="str">
        <f t="shared" si="43"/>
        <v>f5f174c0</v>
      </c>
      <c r="L76">
        <f t="shared" si="43"/>
        <v>4126241984</v>
      </c>
      <c r="M76" s="4">
        <f t="shared" si="44"/>
        <v>4126241984</v>
      </c>
      <c r="N76" s="28">
        <f t="shared" si="45"/>
        <v>0</v>
      </c>
    </row>
    <row r="77" spans="1:14" x14ac:dyDescent="0.45">
      <c r="G77" s="2"/>
      <c r="H77" s="2"/>
    </row>
    <row r="78" spans="1:14" x14ac:dyDescent="0.45">
      <c r="A78" s="271" t="s">
        <v>60</v>
      </c>
      <c r="B78" s="5" t="s">
        <v>6</v>
      </c>
      <c r="C78" s="5">
        <f>'1. 기본 정보'!E33</f>
        <v>5</v>
      </c>
      <c r="D78" s="5"/>
      <c r="E78" s="5" t="s">
        <v>13</v>
      </c>
      <c r="F78" s="5">
        <f>'1. 기본 정보'!$E$1</f>
        <v>8</v>
      </c>
      <c r="G78" s="29"/>
      <c r="H78" s="29"/>
      <c r="I78" s="271" t="s">
        <v>60</v>
      </c>
    </row>
    <row r="79" spans="1:14" x14ac:dyDescent="0.45">
      <c r="A79" s="271"/>
      <c r="C79" t="s">
        <v>61</v>
      </c>
      <c r="D79" t="s">
        <v>3</v>
      </c>
      <c r="E79" t="s">
        <v>5</v>
      </c>
      <c r="F79" s="2" t="s">
        <v>25</v>
      </c>
      <c r="G79" s="3" t="s">
        <v>54</v>
      </c>
      <c r="H79" s="3"/>
      <c r="I79" s="271"/>
      <c r="J79" t="s">
        <v>62</v>
      </c>
      <c r="K79" t="s">
        <v>3</v>
      </c>
      <c r="L79" t="s">
        <v>5</v>
      </c>
      <c r="M79" s="2" t="s">
        <v>25</v>
      </c>
      <c r="N79" s="3" t="s">
        <v>54</v>
      </c>
    </row>
    <row r="80" spans="1:14" x14ac:dyDescent="0.45">
      <c r="A80" s="271"/>
      <c r="B80" s="1">
        <v>1</v>
      </c>
      <c r="C80" s="5" t="str">
        <f t="shared" ref="C80:D87" si="46">C69</f>
        <v>x.x.x.10</v>
      </c>
      <c r="D80" s="25" t="str">
        <f t="shared" si="46"/>
        <v>3a206a07</v>
      </c>
      <c r="E80">
        <f t="shared" ref="E80:E87" si="47">HEX2DEC(D80)</f>
        <v>975202823</v>
      </c>
      <c r="F80" s="4">
        <f t="shared" ref="F80:F87" si="48">E80+$C$78</f>
        <v>975202828</v>
      </c>
      <c r="G80" s="28">
        <f t="shared" ref="G80:G87" si="49">MOD(F80,$F$78)</f>
        <v>4</v>
      </c>
      <c r="H80" s="28"/>
      <c r="I80" s="271"/>
      <c r="J80" s="5" t="str">
        <f t="shared" ref="J80:L87" si="50">J69</f>
        <v>Data-Text</v>
      </c>
      <c r="K80" s="7" t="str">
        <f t="shared" si="50"/>
        <v>eed9ae79</v>
      </c>
      <c r="L80">
        <f t="shared" si="50"/>
        <v>4007243385</v>
      </c>
      <c r="M80" s="4">
        <f t="shared" ref="M80:M87" si="51">L80+$C$78</f>
        <v>4007243390</v>
      </c>
      <c r="N80" s="28">
        <f t="shared" ref="N80:N87" si="52">MOD(M80,$F$78)</f>
        <v>6</v>
      </c>
    </row>
    <row r="81" spans="1:14" x14ac:dyDescent="0.45">
      <c r="A81" s="271"/>
      <c r="B81" s="1">
        <v>2</v>
      </c>
      <c r="C81" s="5" t="str">
        <f t="shared" si="46"/>
        <v>x.x.x.11</v>
      </c>
      <c r="D81" s="26" t="str">
        <f t="shared" si="46"/>
        <v>8d3dab03</v>
      </c>
      <c r="E81">
        <f t="shared" si="47"/>
        <v>2369628931</v>
      </c>
      <c r="F81" s="4">
        <f t="shared" si="48"/>
        <v>2369628936</v>
      </c>
      <c r="G81" s="28">
        <f t="shared" si="49"/>
        <v>0</v>
      </c>
      <c r="H81" s="28"/>
      <c r="I81" s="271"/>
      <c r="J81" s="5" t="str">
        <f t="shared" si="50"/>
        <v>AI-LLM</v>
      </c>
      <c r="K81" s="7" t="str">
        <f t="shared" si="50"/>
        <v>2c397047</v>
      </c>
      <c r="L81">
        <f t="shared" si="50"/>
        <v>741961799</v>
      </c>
      <c r="M81" s="4">
        <f t="shared" si="51"/>
        <v>741961804</v>
      </c>
      <c r="N81" s="28">
        <f t="shared" si="52"/>
        <v>4</v>
      </c>
    </row>
    <row r="82" spans="1:14" x14ac:dyDescent="0.45">
      <c r="A82" s="271"/>
      <c r="B82" s="1">
        <v>3</v>
      </c>
      <c r="C82" s="5" t="str">
        <f t="shared" si="46"/>
        <v>x.x.x.12</v>
      </c>
      <c r="D82" s="26" t="str">
        <f t="shared" si="46"/>
        <v>541be80e</v>
      </c>
      <c r="E82">
        <f t="shared" si="47"/>
        <v>1411115022</v>
      </c>
      <c r="F82" s="4">
        <f t="shared" si="48"/>
        <v>1411115027</v>
      </c>
      <c r="G82" s="28">
        <f t="shared" si="49"/>
        <v>3</v>
      </c>
      <c r="H82" s="28"/>
      <c r="I82" s="271"/>
      <c r="J82" s="5" t="str">
        <f t="shared" si="50"/>
        <v>Infra-Memory</v>
      </c>
      <c r="K82" s="7" t="str">
        <f t="shared" si="50"/>
        <v>7c98c82d</v>
      </c>
      <c r="L82">
        <f t="shared" si="50"/>
        <v>2090387501</v>
      </c>
      <c r="M82" s="4">
        <f t="shared" si="51"/>
        <v>2090387506</v>
      </c>
      <c r="N82" s="28">
        <f t="shared" si="52"/>
        <v>2</v>
      </c>
    </row>
    <row r="83" spans="1:14" x14ac:dyDescent="0.45">
      <c r="A83" s="271"/>
      <c r="B83" s="1">
        <v>4</v>
      </c>
      <c r="C83" s="5" t="str">
        <f t="shared" si="46"/>
        <v>x.x.x.13</v>
      </c>
      <c r="D83" s="26" t="str">
        <f t="shared" si="46"/>
        <v>e306290a</v>
      </c>
      <c r="E83">
        <f t="shared" si="47"/>
        <v>3808831754</v>
      </c>
      <c r="F83" s="4">
        <f t="shared" si="48"/>
        <v>3808831759</v>
      </c>
      <c r="G83" s="28">
        <f t="shared" si="49"/>
        <v>7</v>
      </c>
      <c r="H83" s="28"/>
      <c r="I83" s="271"/>
      <c r="J83" s="5" t="str">
        <f t="shared" si="50"/>
        <v>Data-Picture</v>
      </c>
      <c r="K83" s="7" t="str">
        <f t="shared" si="50"/>
        <v>b34da9ae</v>
      </c>
      <c r="L83">
        <f t="shared" si="50"/>
        <v>3008211374</v>
      </c>
      <c r="M83" s="4">
        <f t="shared" si="51"/>
        <v>3008211379</v>
      </c>
      <c r="N83" s="28">
        <f t="shared" si="52"/>
        <v>3</v>
      </c>
    </row>
    <row r="84" spans="1:14" x14ac:dyDescent="0.45">
      <c r="A84" s="271"/>
      <c r="B84" s="1">
        <v>5</v>
      </c>
      <c r="C84" s="5" t="str">
        <f t="shared" si="46"/>
        <v>x.x.x.14</v>
      </c>
      <c r="D84" s="26" t="str">
        <f t="shared" si="46"/>
        <v>e6566e14</v>
      </c>
      <c r="E84">
        <f t="shared" si="47"/>
        <v>3864423956</v>
      </c>
      <c r="F84" s="4">
        <f t="shared" si="48"/>
        <v>3864423961</v>
      </c>
      <c r="G84" s="28">
        <f t="shared" si="49"/>
        <v>1</v>
      </c>
      <c r="H84" s="28"/>
      <c r="I84" s="271"/>
      <c r="J84" s="5" t="str">
        <f t="shared" si="50"/>
        <v>AI-GAN</v>
      </c>
      <c r="K84" s="7" t="str">
        <f t="shared" si="50"/>
        <v>632dea5b</v>
      </c>
      <c r="L84">
        <f t="shared" si="50"/>
        <v>1663953499</v>
      </c>
      <c r="M84" s="4">
        <f t="shared" si="51"/>
        <v>1663953504</v>
      </c>
      <c r="N84" s="28">
        <f t="shared" si="52"/>
        <v>0</v>
      </c>
    </row>
    <row r="85" spans="1:14" x14ac:dyDescent="0.45">
      <c r="A85" s="271"/>
      <c r="B85" s="1">
        <v>6</v>
      </c>
      <c r="C85" s="5" t="str">
        <f t="shared" si="46"/>
        <v>x.x.x.15</v>
      </c>
      <c r="D85" s="26" t="str">
        <f t="shared" si="46"/>
        <v>514baf10</v>
      </c>
      <c r="E85">
        <f t="shared" si="47"/>
        <v>1363914512</v>
      </c>
      <c r="F85" s="4">
        <f t="shared" si="48"/>
        <v>1363914517</v>
      </c>
      <c r="G85" s="28">
        <f t="shared" si="49"/>
        <v>5</v>
      </c>
      <c r="H85" s="28"/>
      <c r="I85" s="271"/>
      <c r="J85" s="5" t="str">
        <f t="shared" si="50"/>
        <v>Infra-STORAGE</v>
      </c>
      <c r="K85" s="7" t="str">
        <f t="shared" si="50"/>
        <v>8eaffaaa</v>
      </c>
      <c r="L85">
        <f t="shared" si="50"/>
        <v>2393897642</v>
      </c>
      <c r="M85" s="4">
        <f t="shared" si="51"/>
        <v>2393897647</v>
      </c>
      <c r="N85" s="28">
        <f t="shared" si="52"/>
        <v>7</v>
      </c>
    </row>
    <row r="86" spans="1:14" x14ac:dyDescent="0.45">
      <c r="A86" s="271"/>
      <c r="B86" s="1">
        <v>7</v>
      </c>
      <c r="C86" s="5" t="str">
        <f t="shared" si="46"/>
        <v>x.x.x.16</v>
      </c>
      <c r="D86" s="26" t="str">
        <f t="shared" si="46"/>
        <v>886dec1d</v>
      </c>
      <c r="E86">
        <f t="shared" si="47"/>
        <v>2288905245</v>
      </c>
      <c r="F86" s="4">
        <f t="shared" si="48"/>
        <v>2288905250</v>
      </c>
      <c r="G86" s="28">
        <f t="shared" si="49"/>
        <v>2</v>
      </c>
      <c r="H86" s="28"/>
      <c r="I86" s="271"/>
      <c r="J86" s="5" t="str">
        <f t="shared" si="50"/>
        <v>AI-DNN</v>
      </c>
      <c r="K86" s="7" t="str">
        <f t="shared" si="50"/>
        <v>c2e504e4</v>
      </c>
      <c r="L86">
        <f t="shared" si="50"/>
        <v>3269788900</v>
      </c>
      <c r="M86" s="4">
        <f t="shared" si="51"/>
        <v>3269788905</v>
      </c>
      <c r="N86" s="28">
        <f t="shared" si="52"/>
        <v>1</v>
      </c>
    </row>
    <row r="87" spans="1:14" x14ac:dyDescent="0.45">
      <c r="A87" s="271"/>
      <c r="B87" s="1">
        <v>8</v>
      </c>
      <c r="C87" s="5" t="str">
        <f t="shared" si="46"/>
        <v>x.x.x.17</v>
      </c>
      <c r="D87" s="26" t="str">
        <f t="shared" si="46"/>
        <v>3f702d19</v>
      </c>
      <c r="E87">
        <f t="shared" si="47"/>
        <v>1064316185</v>
      </c>
      <c r="F87" s="30">
        <f t="shared" si="48"/>
        <v>1064316190</v>
      </c>
      <c r="G87" s="30">
        <f t="shared" si="49"/>
        <v>6</v>
      </c>
      <c r="H87" s="30"/>
      <c r="I87" s="271"/>
      <c r="J87" s="5" t="str">
        <f t="shared" si="50"/>
        <v>Data-Doc</v>
      </c>
      <c r="K87" s="7" t="str">
        <f t="shared" si="50"/>
        <v>f5f174c0</v>
      </c>
      <c r="L87">
        <f t="shared" si="50"/>
        <v>4126241984</v>
      </c>
      <c r="M87" s="30">
        <f t="shared" si="51"/>
        <v>4126241989</v>
      </c>
      <c r="N87" s="31">
        <f t="shared" si="52"/>
        <v>5</v>
      </c>
    </row>
  </sheetData>
  <mergeCells count="16">
    <mergeCell ref="A56:A65"/>
    <mergeCell ref="A67:A76"/>
    <mergeCell ref="A78:A87"/>
    <mergeCell ref="I1:I10"/>
    <mergeCell ref="I12:I21"/>
    <mergeCell ref="I23:I32"/>
    <mergeCell ref="I34:I43"/>
    <mergeCell ref="I45:I54"/>
    <mergeCell ref="I56:I65"/>
    <mergeCell ref="I67:I76"/>
    <mergeCell ref="I78:I87"/>
    <mergeCell ref="A1:A10"/>
    <mergeCell ref="A12:A21"/>
    <mergeCell ref="A23:A32"/>
    <mergeCell ref="A34:A43"/>
    <mergeCell ref="A45:A54"/>
  </mergeCells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view="pageBreakPreview" zoomScaleNormal="100" zoomScaleSheetLayoutView="100" workbookViewId="0">
      <selection activeCell="D16" sqref="D16"/>
    </sheetView>
  </sheetViews>
  <sheetFormatPr defaultRowHeight="17" x14ac:dyDescent="0.45"/>
  <cols>
    <col min="3" max="3" width="10.75" customWidth="1"/>
    <col min="4" max="4" width="12.08203125" customWidth="1"/>
    <col min="5" max="5" width="12.33203125" customWidth="1"/>
  </cols>
  <sheetData>
    <row r="1" spans="1:5" x14ac:dyDescent="0.45">
      <c r="A1" s="270" t="s">
        <v>10</v>
      </c>
      <c r="B1" s="270"/>
      <c r="C1" s="270"/>
      <c r="D1" s="270"/>
      <c r="E1" s="5">
        <f>'1. 기본 정보'!E1</f>
        <v>8</v>
      </c>
    </row>
    <row r="2" spans="1:5" x14ac:dyDescent="0.45">
      <c r="A2" s="6"/>
      <c r="B2" s="6"/>
      <c r="C2" s="6"/>
      <c r="D2" s="6"/>
      <c r="E2" s="5"/>
    </row>
    <row r="3" spans="1:5" x14ac:dyDescent="0.45">
      <c r="A3" s="6"/>
      <c r="B3" s="6"/>
      <c r="C3" s="6"/>
      <c r="D3" s="6"/>
      <c r="E3" t="s">
        <v>65</v>
      </c>
    </row>
    <row r="4" spans="1:5" x14ac:dyDescent="0.45">
      <c r="A4" s="272"/>
      <c r="B4" s="272"/>
      <c r="C4" s="272"/>
      <c r="D4" s="272"/>
      <c r="E4" s="272"/>
    </row>
    <row r="5" spans="1:5" x14ac:dyDescent="0.45">
      <c r="A5" s="12" t="s">
        <v>9</v>
      </c>
      <c r="B5" s="17" t="s">
        <v>107</v>
      </c>
      <c r="C5" s="7"/>
      <c r="D5" s="7">
        <v>1694767713</v>
      </c>
      <c r="E5" s="22">
        <f>MOD(D5,'1. 기본 정보'!$E$1)</f>
        <v>1</v>
      </c>
    </row>
    <row r="6" spans="1:5" x14ac:dyDescent="0.45">
      <c r="B6" s="17" t="s">
        <v>116</v>
      </c>
      <c r="C6" s="7"/>
      <c r="D6" s="7">
        <v>1694767723</v>
      </c>
      <c r="E6" s="22">
        <f>MOD(D6,'1. 기본 정보'!$E$1)</f>
        <v>3</v>
      </c>
    </row>
    <row r="7" spans="1:5" x14ac:dyDescent="0.45">
      <c r="B7" s="17" t="s">
        <v>117</v>
      </c>
      <c r="C7" s="7"/>
      <c r="D7" s="7">
        <v>1694767733</v>
      </c>
      <c r="E7" s="22">
        <f>MOD(D7,'1. 기본 정보'!$E$1)</f>
        <v>5</v>
      </c>
    </row>
  </sheetData>
  <mergeCells count="2">
    <mergeCell ref="A4:E4"/>
    <mergeCell ref="A1:D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view="pageBreakPreview" topLeftCell="A12" zoomScaleNormal="100" zoomScaleSheetLayoutView="100" workbookViewId="0">
      <selection activeCell="E27" sqref="E27"/>
    </sheetView>
  </sheetViews>
  <sheetFormatPr defaultRowHeight="17" x14ac:dyDescent="0.45"/>
  <cols>
    <col min="1" max="1" width="16.5" bestFit="1" customWidth="1"/>
    <col min="2" max="2" width="10.83203125" customWidth="1"/>
    <col min="3" max="3" width="24.25" customWidth="1"/>
    <col min="4" max="4" width="17.5" style="40" customWidth="1"/>
    <col min="5" max="5" width="31.6640625" customWidth="1"/>
    <col min="6" max="6" width="19.5" customWidth="1"/>
  </cols>
  <sheetData>
    <row r="1" spans="1:6" x14ac:dyDescent="0.45">
      <c r="A1" t="s">
        <v>66</v>
      </c>
      <c r="B1" s="38" t="s">
        <v>75</v>
      </c>
    </row>
    <row r="2" spans="1:6" x14ac:dyDescent="0.45">
      <c r="A2" s="39" t="s">
        <v>67</v>
      </c>
      <c r="B2" s="38" t="s">
        <v>68</v>
      </c>
      <c r="F2" t="s">
        <v>191</v>
      </c>
    </row>
    <row r="4" spans="1:6" x14ac:dyDescent="0.45">
      <c r="A4" s="2" t="s">
        <v>76</v>
      </c>
      <c r="B4" s="314" t="s">
        <v>69</v>
      </c>
      <c r="C4" s="315" t="s">
        <v>70</v>
      </c>
      <c r="D4" s="316"/>
      <c r="E4" s="316"/>
    </row>
    <row r="5" spans="1:6" x14ac:dyDescent="0.45">
      <c r="A5" s="2"/>
      <c r="B5" s="314" t="s">
        <v>73</v>
      </c>
      <c r="C5" s="316" t="s">
        <v>74</v>
      </c>
      <c r="D5" s="316"/>
      <c r="E5" s="316"/>
    </row>
    <row r="6" spans="1:6" x14ac:dyDescent="0.45">
      <c r="A6" s="2"/>
      <c r="B6" s="321" t="s">
        <v>93</v>
      </c>
      <c r="C6" s="317" t="s">
        <v>91</v>
      </c>
      <c r="D6" s="318" t="s">
        <v>92</v>
      </c>
      <c r="E6" s="318"/>
    </row>
    <row r="7" spans="1:6" ht="113" customHeight="1" x14ac:dyDescent="0.45">
      <c r="B7" s="322"/>
      <c r="C7" s="319" t="s">
        <v>71</v>
      </c>
      <c r="D7" s="320" t="s">
        <v>72</v>
      </c>
      <c r="E7" s="320"/>
    </row>
    <row r="8" spans="1:6" ht="27" customHeight="1" x14ac:dyDescent="0.45"/>
    <row r="9" spans="1:6" x14ac:dyDescent="0.45">
      <c r="C9" s="323" t="s">
        <v>192</v>
      </c>
      <c r="D9" s="324" t="s">
        <v>193</v>
      </c>
      <c r="E9" s="324"/>
    </row>
    <row r="10" spans="1:6" ht="27.75" customHeight="1" x14ac:dyDescent="0.45">
      <c r="A10" t="s">
        <v>77</v>
      </c>
      <c r="C10" s="326" t="s">
        <v>79</v>
      </c>
      <c r="D10" s="330" t="s">
        <v>94</v>
      </c>
      <c r="E10" s="330"/>
    </row>
    <row r="11" spans="1:6" x14ac:dyDescent="0.45">
      <c r="B11" s="323" t="s">
        <v>195</v>
      </c>
      <c r="C11" s="323" t="s">
        <v>192</v>
      </c>
      <c r="D11" s="323" t="s">
        <v>194</v>
      </c>
      <c r="E11" s="323" t="s">
        <v>193</v>
      </c>
      <c r="F11" s="42"/>
    </row>
    <row r="12" spans="1:6" ht="48" x14ac:dyDescent="0.45">
      <c r="A12" t="s">
        <v>80</v>
      </c>
      <c r="B12" s="327">
        <v>1</v>
      </c>
      <c r="C12" s="328" t="s">
        <v>79</v>
      </c>
      <c r="D12" s="329" t="s">
        <v>81</v>
      </c>
      <c r="E12" s="331" t="s">
        <v>90</v>
      </c>
    </row>
    <row r="13" spans="1:6" ht="48" x14ac:dyDescent="0.45">
      <c r="B13" s="327">
        <v>2</v>
      </c>
      <c r="C13" s="328" t="s">
        <v>79</v>
      </c>
      <c r="D13" s="329" t="s">
        <v>82</v>
      </c>
      <c r="E13" s="331" t="s">
        <v>83</v>
      </c>
    </row>
    <row r="14" spans="1:6" ht="48" x14ac:dyDescent="0.45">
      <c r="B14" s="327">
        <v>3</v>
      </c>
      <c r="C14" s="328" t="s">
        <v>79</v>
      </c>
      <c r="D14" s="329" t="s">
        <v>84</v>
      </c>
      <c r="E14" s="331" t="s">
        <v>85</v>
      </c>
    </row>
    <row r="15" spans="1:6" ht="48" x14ac:dyDescent="0.45">
      <c r="B15" s="327">
        <v>4</v>
      </c>
      <c r="C15" s="328" t="s">
        <v>79</v>
      </c>
      <c r="D15" s="329" t="s">
        <v>86</v>
      </c>
      <c r="E15" s="331" t="s">
        <v>89</v>
      </c>
    </row>
    <row r="16" spans="1:6" ht="48" x14ac:dyDescent="0.45">
      <c r="B16" s="327">
        <v>5</v>
      </c>
      <c r="C16" s="328" t="s">
        <v>79</v>
      </c>
      <c r="D16" s="329" t="s">
        <v>87</v>
      </c>
      <c r="E16" s="331" t="s">
        <v>88</v>
      </c>
    </row>
    <row r="19" spans="2:5" x14ac:dyDescent="0.45">
      <c r="B19" s="323" t="s">
        <v>195</v>
      </c>
      <c r="C19" s="323" t="s">
        <v>193</v>
      </c>
      <c r="D19" s="323" t="s">
        <v>196</v>
      </c>
      <c r="E19" s="323" t="s">
        <v>197</v>
      </c>
    </row>
    <row r="20" spans="2:5" ht="52.5" x14ac:dyDescent="0.45">
      <c r="B20" s="327">
        <v>1</v>
      </c>
      <c r="C20" s="331" t="str">
        <f>E12</f>
        <v>qvbbjHjUaOtHLj1dlS6Ble1rNrzZaKxyFUuoHaxMWkgI9mkNh3cv/R3oEH4xuYrsvKVVEA6k16K8zW8H27C8Hx2jC3IV1wNBmAXw+MGttKpfOYVrDvVucVpV2UHIhFcxIMV3WdwhRUk5mHy+FSJkYio8RrSyzfexdvW0vrI5wrA=</v>
      </c>
      <c r="D20" s="329" t="s">
        <v>81</v>
      </c>
      <c r="E20" s="325" t="s">
        <v>78</v>
      </c>
    </row>
    <row r="21" spans="2:5" ht="52.5" x14ac:dyDescent="0.45">
      <c r="B21" s="327">
        <v>2</v>
      </c>
      <c r="C21" s="331" t="str">
        <f>E13</f>
        <v>QHOk3250m8nE3w/Yr3tvApoG+MQrOWCVyFNWKD16hhVT+HoCT3e2wjEqCKai3arA9O9SDMOjYzEgeAyfkWZklC5A5CCvdEr7nEzbrOqTwYwPublSNv2ghStH0pKu+22L7nV71jU/goqsNfUNzH5fHtXeAlGsANTOpAU/R9jkTNs=</v>
      </c>
      <c r="D21" s="329" t="s">
        <v>82</v>
      </c>
      <c r="E21" s="325" t="s">
        <v>78</v>
      </c>
    </row>
    <row r="22" spans="2:5" ht="52.5" x14ac:dyDescent="0.45">
      <c r="B22" s="327">
        <v>3</v>
      </c>
      <c r="C22" s="331" t="str">
        <f>E14</f>
        <v>qi56kCNaqb4ubrq6LXFdTzRvTHzd+KWMcd/CTGqIiRlx6vbSF7IDwIajJuzpm4tg1su2s5Q4khqYy53iKxn1RiW/iKsaZfffpM7Qlc9pN5iDMHWJ/n5u8cjZwLRdcMerHi7WTdHG4BWtro9B0LX1v2KHR7lv/fx7InvtQQZqE/8=</v>
      </c>
      <c r="D22" s="329" t="s">
        <v>84</v>
      </c>
      <c r="E22" s="325" t="s">
        <v>78</v>
      </c>
    </row>
    <row r="23" spans="2:5" ht="52.5" x14ac:dyDescent="0.45">
      <c r="B23" s="327">
        <v>4</v>
      </c>
      <c r="C23" s="331" t="str">
        <f>E15</f>
        <v>jH9IgijW1XOTlh4ZMbMW1wMwoGS0lJcKepC+nemu2L0abZC++7CM5TbjWjjm/gvE3z+LgBm6wBu45hYoF9RAwaYGabb0o9i75vb+nfsr4GJvbtWHve79WjZBkkP35VH4uoIivgVvJRVO61TI+97wqZ0iwScAZ9NcmAAUPBQ0174=</v>
      </c>
      <c r="D23" s="329" t="s">
        <v>86</v>
      </c>
      <c r="E23" s="325" t="s">
        <v>78</v>
      </c>
    </row>
    <row r="24" spans="2:5" ht="52.5" x14ac:dyDescent="0.45">
      <c r="B24" s="327">
        <v>5</v>
      </c>
      <c r="C24" s="331" t="str">
        <f>E16</f>
        <v>f9MUZW24NPGBxCJC4bYk839hXSWDKLgFjjjzGUigV+3BqUIu0Xh3HMv38QwhnjTzLADUfdnEaXqJsblcIfv/oultju9cmN3ej45ssB9Kw+4aSdVsNHGmX4+DkdA1VwlvTP78x4tjHNUtNiomWM4SskZJ872Esj64bnmsWsKKCYc=</v>
      </c>
      <c r="D24" s="329" t="s">
        <v>87</v>
      </c>
      <c r="E24" s="325" t="s">
        <v>78</v>
      </c>
    </row>
  </sheetData>
  <mergeCells count="7">
    <mergeCell ref="B6:B7"/>
    <mergeCell ref="D7:E7"/>
    <mergeCell ref="D6:E6"/>
    <mergeCell ref="C5:E5"/>
    <mergeCell ref="D10:E10"/>
    <mergeCell ref="C4:E4"/>
    <mergeCell ref="D9:E9"/>
  </mergeCells>
  <phoneticPr fontId="2" type="noConversion"/>
  <hyperlinks>
    <hyperlink ref="B1" r:id="rId1" xr:uid="{00000000-0004-0000-0300-000000000000}"/>
    <hyperlink ref="B2" r:id="rId2" display="https://xor.pw/" xr:uid="{00000000-0004-0000-0300-000001000000}"/>
  </hyperlinks>
  <pageMargins left="0.7" right="0.7" top="0.75" bottom="0.75" header="0.3" footer="0.3"/>
  <pageSetup paperSize="9" scale="58" orientation="portrait" horizontalDpi="300" verticalDpi="300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80"/>
  <sheetViews>
    <sheetView view="pageBreakPreview" topLeftCell="D1" zoomScale="115" zoomScaleNormal="100" zoomScaleSheetLayoutView="115" workbookViewId="0">
      <selection activeCell="C5" sqref="C5:C7"/>
    </sheetView>
  </sheetViews>
  <sheetFormatPr defaultRowHeight="17" x14ac:dyDescent="0.45"/>
  <cols>
    <col min="4" max="4" width="15.08203125" customWidth="1"/>
    <col min="5" max="5" width="12.5" customWidth="1"/>
    <col min="6" max="6" width="11.5" customWidth="1"/>
    <col min="7" max="7" width="16.5" customWidth="1"/>
    <col min="8" max="8" width="10.08203125" customWidth="1"/>
    <col min="9" max="9" width="6.08203125" customWidth="1"/>
    <col min="11" max="11" width="12.83203125" customWidth="1"/>
    <col min="12" max="12" width="15" customWidth="1"/>
    <col min="13" max="13" width="9.75" customWidth="1"/>
  </cols>
  <sheetData>
    <row r="1" spans="2:6" x14ac:dyDescent="0.45">
      <c r="B1" s="270" t="s">
        <v>10</v>
      </c>
      <c r="C1" s="270"/>
      <c r="D1" s="270"/>
      <c r="E1" s="270"/>
      <c r="F1" s="5">
        <v>8</v>
      </c>
    </row>
    <row r="2" spans="2:6" x14ac:dyDescent="0.45">
      <c r="B2" s="6"/>
      <c r="C2" s="6"/>
      <c r="D2" s="6"/>
      <c r="E2" s="6"/>
      <c r="F2" s="5"/>
    </row>
    <row r="3" spans="2:6" x14ac:dyDescent="0.45">
      <c r="B3" s="270" t="s">
        <v>30</v>
      </c>
      <c r="C3" s="270"/>
      <c r="D3" s="270"/>
      <c r="E3" s="270"/>
      <c r="F3" s="270"/>
    </row>
    <row r="4" spans="2:6" x14ac:dyDescent="0.45">
      <c r="B4" s="9"/>
      <c r="C4" s="9" t="s">
        <v>24</v>
      </c>
      <c r="D4" s="10" t="s">
        <v>3</v>
      </c>
      <c r="E4" s="11" t="s">
        <v>28</v>
      </c>
      <c r="F4" s="33"/>
    </row>
    <row r="5" spans="2:6" x14ac:dyDescent="0.45">
      <c r="B5" s="12" t="s">
        <v>9</v>
      </c>
      <c r="C5" s="7" t="s">
        <v>33</v>
      </c>
      <c r="D5" s="7" t="s">
        <v>2</v>
      </c>
      <c r="E5" s="13">
        <f t="shared" ref="E5:E7" si="0">HEX2DEC(D5)</f>
        <v>975202823</v>
      </c>
      <c r="F5" s="34">
        <f>MOD(E5,$F$1)</f>
        <v>7</v>
      </c>
    </row>
    <row r="6" spans="2:6" x14ac:dyDescent="0.45">
      <c r="B6" s="12" t="s">
        <v>8</v>
      </c>
      <c r="C6" s="8" t="s">
        <v>34</v>
      </c>
      <c r="D6" s="8" t="s">
        <v>1</v>
      </c>
      <c r="E6" s="13">
        <f t="shared" si="0"/>
        <v>2369628931</v>
      </c>
      <c r="F6" s="34">
        <f>MOD(E6,$F$1)</f>
        <v>3</v>
      </c>
    </row>
    <row r="7" spans="2:6" x14ac:dyDescent="0.45">
      <c r="B7" s="12" t="s">
        <v>7</v>
      </c>
      <c r="C7" s="8" t="s">
        <v>35</v>
      </c>
      <c r="D7" s="8" t="s">
        <v>0</v>
      </c>
      <c r="E7" s="13">
        <f t="shared" si="0"/>
        <v>1411115022</v>
      </c>
      <c r="F7" s="34">
        <f>MOD(E7,$F$1)</f>
        <v>6</v>
      </c>
    </row>
    <row r="8" spans="2:6" x14ac:dyDescent="0.45">
      <c r="B8" s="6"/>
      <c r="C8" s="6"/>
      <c r="D8" s="6"/>
      <c r="E8" s="6"/>
      <c r="F8" s="36"/>
    </row>
    <row r="9" spans="2:6" x14ac:dyDescent="0.45">
      <c r="B9" s="9"/>
      <c r="C9" s="9" t="s">
        <v>29</v>
      </c>
      <c r="D9" s="10" t="s">
        <v>3</v>
      </c>
      <c r="E9" s="11" t="s">
        <v>28</v>
      </c>
      <c r="F9" s="33"/>
    </row>
    <row r="10" spans="2:6" x14ac:dyDescent="0.45">
      <c r="B10" s="12" t="s">
        <v>9</v>
      </c>
      <c r="C10" s="7" t="s">
        <v>63</v>
      </c>
      <c r="D10" s="7" t="s">
        <v>41</v>
      </c>
      <c r="E10" s="13">
        <f t="shared" ref="E10:E12" si="1">HEX2DEC(D10)</f>
        <v>4007243385</v>
      </c>
      <c r="F10" s="34">
        <f>MOD(E10,$F$1)</f>
        <v>1</v>
      </c>
    </row>
    <row r="11" spans="2:6" x14ac:dyDescent="0.45">
      <c r="B11" s="12" t="s">
        <v>8</v>
      </c>
      <c r="C11" s="8" t="s">
        <v>64</v>
      </c>
      <c r="D11" s="8" t="s">
        <v>42</v>
      </c>
      <c r="E11" s="13">
        <f t="shared" si="1"/>
        <v>741961799</v>
      </c>
      <c r="F11" s="34">
        <f>MOD(E11,$F$1)</f>
        <v>7</v>
      </c>
    </row>
    <row r="12" spans="2:6" x14ac:dyDescent="0.45">
      <c r="B12" s="12" t="s">
        <v>7</v>
      </c>
      <c r="C12" s="8" t="s">
        <v>43</v>
      </c>
      <c r="D12" s="8" t="s">
        <v>44</v>
      </c>
      <c r="E12" s="13">
        <f t="shared" si="1"/>
        <v>2090387501</v>
      </c>
      <c r="F12" s="34">
        <f>MOD(E12,$F$1)</f>
        <v>5</v>
      </c>
    </row>
    <row r="13" spans="2:6" x14ac:dyDescent="0.45">
      <c r="B13" s="6"/>
      <c r="C13" s="6"/>
      <c r="D13" s="6"/>
      <c r="E13" s="6"/>
      <c r="F13" s="6"/>
    </row>
    <row r="14" spans="2:6" x14ac:dyDescent="0.45">
      <c r="B14" s="270" t="s">
        <v>95</v>
      </c>
      <c r="C14" s="270"/>
      <c r="D14" s="270"/>
      <c r="E14" s="270"/>
      <c r="F14" s="270"/>
    </row>
    <row r="15" spans="2:6" x14ac:dyDescent="0.45">
      <c r="B15" s="9"/>
      <c r="C15" s="20" t="s">
        <v>26</v>
      </c>
      <c r="D15" s="21"/>
      <c r="E15" s="10" t="s">
        <v>27</v>
      </c>
      <c r="F15" s="24" t="s">
        <v>6</v>
      </c>
    </row>
    <row r="16" spans="2:6" x14ac:dyDescent="0.45">
      <c r="B16" s="12" t="s">
        <v>9</v>
      </c>
      <c r="C16" s="17" t="s">
        <v>107</v>
      </c>
      <c r="D16" s="7"/>
      <c r="E16" s="7">
        <v>1694767713</v>
      </c>
      <c r="F16" s="22">
        <f t="shared" ref="F16:F18" si="2">MOD(E16,$F$1)</f>
        <v>1</v>
      </c>
    </row>
    <row r="17" spans="2:13" x14ac:dyDescent="0.45">
      <c r="B17" s="12" t="s">
        <v>8</v>
      </c>
      <c r="C17" s="17" t="s">
        <v>113</v>
      </c>
      <c r="D17" s="7"/>
      <c r="E17" s="7">
        <v>1695027404</v>
      </c>
      <c r="F17" s="22">
        <f t="shared" si="2"/>
        <v>4</v>
      </c>
    </row>
    <row r="18" spans="2:13" x14ac:dyDescent="0.45">
      <c r="B18" s="14" t="s">
        <v>7</v>
      </c>
      <c r="C18" s="18" t="s">
        <v>114</v>
      </c>
      <c r="D18" s="19"/>
      <c r="E18" s="19">
        <v>1695027407</v>
      </c>
      <c r="F18" s="23">
        <f t="shared" si="2"/>
        <v>7</v>
      </c>
    </row>
    <row r="19" spans="2:13" x14ac:dyDescent="0.45">
      <c r="B19" s="45" t="s">
        <v>9</v>
      </c>
      <c r="C19" s="46" t="s">
        <v>110</v>
      </c>
      <c r="D19" s="47"/>
      <c r="E19" s="47">
        <v>1694866776</v>
      </c>
      <c r="F19" s="24">
        <f>MOD(E19,$F$1)</f>
        <v>0</v>
      </c>
    </row>
    <row r="20" spans="2:13" x14ac:dyDescent="0.45">
      <c r="B20" s="12" t="s">
        <v>8</v>
      </c>
      <c r="C20" s="17" t="s">
        <v>118</v>
      </c>
      <c r="D20" s="7"/>
      <c r="E20" s="7">
        <v>1694779961</v>
      </c>
      <c r="F20" s="22">
        <f>MOD(E20,$F$1)</f>
        <v>1</v>
      </c>
    </row>
    <row r="21" spans="2:13" x14ac:dyDescent="0.45">
      <c r="B21" s="14" t="s">
        <v>7</v>
      </c>
      <c r="C21" s="18" t="s">
        <v>109</v>
      </c>
      <c r="D21" s="19"/>
      <c r="E21" s="19">
        <v>1694780381</v>
      </c>
      <c r="F21" s="23">
        <f t="shared" ref="F21" si="3">MOD(E21,$F$1)</f>
        <v>5</v>
      </c>
    </row>
    <row r="22" spans="2:13" x14ac:dyDescent="0.45">
      <c r="B22" s="45" t="s">
        <v>9</v>
      </c>
      <c r="C22" s="46" t="s">
        <v>115</v>
      </c>
      <c r="D22" s="47"/>
      <c r="E22" s="47">
        <v>1695027046</v>
      </c>
      <c r="F22" s="24">
        <f>MOD(E22,$F$1)</f>
        <v>6</v>
      </c>
    </row>
    <row r="23" spans="2:13" x14ac:dyDescent="0.45">
      <c r="B23" s="12" t="s">
        <v>8</v>
      </c>
      <c r="C23" s="17" t="s">
        <v>112</v>
      </c>
      <c r="D23" s="7"/>
      <c r="E23" s="7">
        <v>1694956842</v>
      </c>
      <c r="F23" s="22">
        <f>MOD(E23,$F$1)</f>
        <v>2</v>
      </c>
    </row>
    <row r="24" spans="2:13" x14ac:dyDescent="0.45">
      <c r="B24" s="14" t="s">
        <v>7</v>
      </c>
      <c r="C24" s="18" t="s">
        <v>111</v>
      </c>
      <c r="D24" s="19"/>
      <c r="E24" s="19">
        <v>1694870435</v>
      </c>
      <c r="F24" s="23">
        <f>MOD(E24,$F$1)</f>
        <v>3</v>
      </c>
    </row>
    <row r="26" spans="2:13" x14ac:dyDescent="0.45">
      <c r="B26" s="270" t="s">
        <v>96</v>
      </c>
      <c r="C26" s="270"/>
      <c r="D26" s="270"/>
      <c r="E26" s="270"/>
    </row>
    <row r="27" spans="2:13" x14ac:dyDescent="0.45">
      <c r="B27" s="273">
        <v>1</v>
      </c>
      <c r="C27" s="10"/>
      <c r="D27" s="48" t="s">
        <v>6</v>
      </c>
      <c r="E27" s="48">
        <f>F16</f>
        <v>1</v>
      </c>
      <c r="F27" s="48"/>
      <c r="G27" s="48" t="s">
        <v>13</v>
      </c>
      <c r="H27" s="56">
        <f>$F$1</f>
        <v>8</v>
      </c>
      <c r="J27" s="9"/>
      <c r="K27" s="10"/>
      <c r="L27" s="10"/>
      <c r="M27" s="11"/>
    </row>
    <row r="28" spans="2:13" ht="32" x14ac:dyDescent="0.45">
      <c r="B28" s="274"/>
      <c r="C28" s="2"/>
      <c r="E28" s="59" t="s">
        <v>61</v>
      </c>
      <c r="F28" s="59" t="s">
        <v>3</v>
      </c>
      <c r="G28" s="43" t="s">
        <v>97</v>
      </c>
      <c r="H28" s="60" t="s">
        <v>54</v>
      </c>
      <c r="I28" s="59"/>
      <c r="J28" s="61" t="s">
        <v>62</v>
      </c>
      <c r="K28" s="59" t="s">
        <v>5</v>
      </c>
      <c r="L28" s="43" t="s">
        <v>97</v>
      </c>
      <c r="M28" s="60" t="s">
        <v>54</v>
      </c>
    </row>
    <row r="29" spans="2:13" x14ac:dyDescent="0.45">
      <c r="B29" s="274"/>
      <c r="C29" s="44" t="s">
        <v>4</v>
      </c>
      <c r="D29" s="1">
        <v>1</v>
      </c>
      <c r="E29" s="5" t="str">
        <f>$C$5</f>
        <v>x.x.x.10</v>
      </c>
      <c r="F29">
        <f>$E$5</f>
        <v>975202823</v>
      </c>
      <c r="G29" s="30">
        <f>F29+$E$27</f>
        <v>975202824</v>
      </c>
      <c r="H29" s="49">
        <f>MOD(G29,$H$27)</f>
        <v>0</v>
      </c>
      <c r="J29" s="12" t="str">
        <f>$C$10</f>
        <v>Data-Text</v>
      </c>
      <c r="K29" s="30">
        <f>$E$10</f>
        <v>4007243385</v>
      </c>
      <c r="L29" s="30">
        <f>K29+$E$27</f>
        <v>4007243386</v>
      </c>
      <c r="M29" s="49">
        <f>MOD(L29,$H$27)</f>
        <v>2</v>
      </c>
    </row>
    <row r="30" spans="2:13" x14ac:dyDescent="0.45">
      <c r="B30" s="274"/>
      <c r="C30" s="44"/>
      <c r="D30" s="1">
        <v>2</v>
      </c>
      <c r="E30" s="5" t="str">
        <f>$C$6</f>
        <v>x.x.x.11</v>
      </c>
      <c r="F30">
        <f>$E$6</f>
        <v>2369628931</v>
      </c>
      <c r="G30" s="30">
        <f>F30+$E$27</f>
        <v>2369628932</v>
      </c>
      <c r="H30" s="49">
        <f t="shared" ref="H30:H31" si="4">MOD(G30,$H$27)</f>
        <v>4</v>
      </c>
      <c r="J30" s="12" t="str">
        <f>$C$11</f>
        <v>AI-LLM</v>
      </c>
      <c r="K30" s="30">
        <f>$E$11</f>
        <v>741961799</v>
      </c>
      <c r="L30" s="30">
        <f>K30+$E$27</f>
        <v>741961800</v>
      </c>
      <c r="M30" s="49">
        <f t="shared" ref="M30:M31" si="5">MOD(L30,$H$27)</f>
        <v>0</v>
      </c>
    </row>
    <row r="31" spans="2:13" x14ac:dyDescent="0.45">
      <c r="B31" s="274"/>
      <c r="C31" s="44"/>
      <c r="D31" s="1">
        <v>3</v>
      </c>
      <c r="E31" s="5" t="str">
        <f>$C$7</f>
        <v>x.x.x.12</v>
      </c>
      <c r="F31">
        <f>$E$7</f>
        <v>1411115022</v>
      </c>
      <c r="G31" s="30">
        <f>F31+$E$27</f>
        <v>1411115023</v>
      </c>
      <c r="H31" s="49">
        <f t="shared" si="4"/>
        <v>7</v>
      </c>
      <c r="J31" s="12" t="str">
        <f>$C$12</f>
        <v>Infra-Memory</v>
      </c>
      <c r="K31" s="30">
        <f>$E$12</f>
        <v>2090387501</v>
      </c>
      <c r="L31" s="30">
        <f>K31+$E$27</f>
        <v>2090387502</v>
      </c>
      <c r="M31" s="49">
        <f t="shared" si="5"/>
        <v>6</v>
      </c>
    </row>
    <row r="32" spans="2:13" x14ac:dyDescent="0.45">
      <c r="B32" s="274"/>
      <c r="C32" s="2"/>
      <c r="H32" s="13"/>
      <c r="J32" s="58"/>
      <c r="M32" s="13"/>
    </row>
    <row r="33" spans="2:13" x14ac:dyDescent="0.45">
      <c r="B33" s="274"/>
      <c r="C33" s="44" t="s">
        <v>18</v>
      </c>
      <c r="D33" s="5" t="s">
        <v>6</v>
      </c>
      <c r="E33" s="5">
        <f>F17</f>
        <v>4</v>
      </c>
      <c r="F33" s="5"/>
      <c r="G33" s="5" t="s">
        <v>13</v>
      </c>
      <c r="H33" s="57">
        <f>$F$1</f>
        <v>8</v>
      </c>
      <c r="J33" s="58"/>
      <c r="M33" s="13"/>
    </row>
    <row r="34" spans="2:13" ht="32" x14ac:dyDescent="0.45">
      <c r="B34" s="274"/>
      <c r="C34" s="44"/>
      <c r="E34" s="59" t="s">
        <v>61</v>
      </c>
      <c r="F34" s="59" t="s">
        <v>3</v>
      </c>
      <c r="G34" s="43" t="s">
        <v>97</v>
      </c>
      <c r="H34" s="60" t="s">
        <v>54</v>
      </c>
      <c r="I34" s="59"/>
      <c r="J34" s="61" t="s">
        <v>62</v>
      </c>
      <c r="K34" s="59" t="s">
        <v>5</v>
      </c>
      <c r="L34" s="43" t="s">
        <v>97</v>
      </c>
      <c r="M34" s="60" t="s">
        <v>54</v>
      </c>
    </row>
    <row r="35" spans="2:13" x14ac:dyDescent="0.45">
      <c r="B35" s="274"/>
      <c r="C35" s="44"/>
      <c r="D35" s="1">
        <v>1</v>
      </c>
      <c r="E35" s="5" t="str">
        <f t="shared" ref="E35:F37" si="6">E29</f>
        <v>x.x.x.10</v>
      </c>
      <c r="F35">
        <f t="shared" si="6"/>
        <v>975202823</v>
      </c>
      <c r="G35" s="30">
        <f>F35+$E$33</f>
        <v>975202827</v>
      </c>
      <c r="H35" s="49">
        <f>MOD(G35,$H$33)</f>
        <v>3</v>
      </c>
      <c r="J35" s="12" t="str">
        <f t="shared" ref="J35:K37" si="7">J29</f>
        <v>Data-Text</v>
      </c>
      <c r="K35" s="30">
        <f t="shared" si="7"/>
        <v>4007243385</v>
      </c>
      <c r="L35" s="30">
        <f>K35+$E$33</f>
        <v>4007243389</v>
      </c>
      <c r="M35" s="49">
        <f>MOD(L35,$H$33)</f>
        <v>5</v>
      </c>
    </row>
    <row r="36" spans="2:13" x14ac:dyDescent="0.45">
      <c r="B36" s="274"/>
      <c r="C36" s="44"/>
      <c r="D36" s="1">
        <v>2</v>
      </c>
      <c r="E36" s="5" t="str">
        <f t="shared" si="6"/>
        <v>x.x.x.11</v>
      </c>
      <c r="F36">
        <f t="shared" si="6"/>
        <v>2369628931</v>
      </c>
      <c r="G36" s="30">
        <f>F36+$E$33</f>
        <v>2369628935</v>
      </c>
      <c r="H36" s="49">
        <f t="shared" ref="H36:H37" si="8">MOD(G36,$H$33)</f>
        <v>7</v>
      </c>
      <c r="J36" s="12" t="str">
        <f t="shared" si="7"/>
        <v>AI-LLM</v>
      </c>
      <c r="K36" s="30">
        <f t="shared" si="7"/>
        <v>741961799</v>
      </c>
      <c r="L36" s="30">
        <f>K36+$E$33</f>
        <v>741961803</v>
      </c>
      <c r="M36" s="49">
        <f t="shared" ref="M36:M37" si="9">MOD(L36,$H$33)</f>
        <v>3</v>
      </c>
    </row>
    <row r="37" spans="2:13" x14ac:dyDescent="0.45">
      <c r="B37" s="274"/>
      <c r="C37" s="44"/>
      <c r="D37" s="1">
        <v>3</v>
      </c>
      <c r="E37" s="5" t="str">
        <f t="shared" si="6"/>
        <v>x.x.x.12</v>
      </c>
      <c r="F37">
        <f t="shared" si="6"/>
        <v>1411115022</v>
      </c>
      <c r="G37" s="30">
        <f>F37+$E$33</f>
        <v>1411115026</v>
      </c>
      <c r="H37" s="49">
        <f t="shared" si="8"/>
        <v>2</v>
      </c>
      <c r="J37" s="12" t="str">
        <f t="shared" si="7"/>
        <v>Infra-Memory</v>
      </c>
      <c r="K37" s="30">
        <f t="shared" si="7"/>
        <v>2090387501</v>
      </c>
      <c r="L37" s="30">
        <f t="shared" ref="L37" si="10">K37+$E$33</f>
        <v>2090387505</v>
      </c>
      <c r="M37" s="49">
        <f t="shared" si="9"/>
        <v>1</v>
      </c>
    </row>
    <row r="38" spans="2:13" x14ac:dyDescent="0.45">
      <c r="B38" s="274"/>
      <c r="C38" s="2"/>
      <c r="H38" s="13"/>
      <c r="J38" s="58"/>
      <c r="M38" s="13"/>
    </row>
    <row r="39" spans="2:13" x14ac:dyDescent="0.45">
      <c r="B39" s="274"/>
      <c r="C39" s="44" t="s">
        <v>55</v>
      </c>
      <c r="D39" s="5" t="s">
        <v>6</v>
      </c>
      <c r="E39" s="5">
        <f>F18</f>
        <v>7</v>
      </c>
      <c r="F39" s="5"/>
      <c r="G39" s="5" t="s">
        <v>13</v>
      </c>
      <c r="H39" s="57">
        <f>$F$1</f>
        <v>8</v>
      </c>
      <c r="J39" s="58"/>
      <c r="M39" s="13"/>
    </row>
    <row r="40" spans="2:13" ht="32" x14ac:dyDescent="0.45">
      <c r="B40" s="274"/>
      <c r="C40" s="44"/>
      <c r="E40" s="59" t="s">
        <v>61</v>
      </c>
      <c r="F40" s="59" t="s">
        <v>3</v>
      </c>
      <c r="G40" s="43" t="s">
        <v>97</v>
      </c>
      <c r="H40" s="60" t="s">
        <v>54</v>
      </c>
      <c r="I40" s="59"/>
      <c r="J40" s="61" t="s">
        <v>62</v>
      </c>
      <c r="K40" s="59" t="s">
        <v>5</v>
      </c>
      <c r="L40" s="43" t="s">
        <v>97</v>
      </c>
      <c r="M40" s="60" t="s">
        <v>54</v>
      </c>
    </row>
    <row r="41" spans="2:13" x14ac:dyDescent="0.45">
      <c r="B41" s="274"/>
      <c r="C41" s="44"/>
      <c r="D41" s="1">
        <v>1</v>
      </c>
      <c r="E41" s="5" t="str">
        <f t="shared" ref="E41:F43" si="11">E35</f>
        <v>x.x.x.10</v>
      </c>
      <c r="F41">
        <f t="shared" si="11"/>
        <v>975202823</v>
      </c>
      <c r="G41" s="30">
        <f>F41+$E$39</f>
        <v>975202830</v>
      </c>
      <c r="H41" s="49">
        <f>MOD(G41,$H$39)</f>
        <v>6</v>
      </c>
      <c r="J41" s="12" t="str">
        <f t="shared" ref="J41:K43" si="12">J35</f>
        <v>Data-Text</v>
      </c>
      <c r="K41" s="30">
        <f t="shared" si="12"/>
        <v>4007243385</v>
      </c>
      <c r="L41" s="30">
        <f>K41+$E$39</f>
        <v>4007243392</v>
      </c>
      <c r="M41" s="49">
        <f>MOD(L41,$H$39)</f>
        <v>0</v>
      </c>
    </row>
    <row r="42" spans="2:13" x14ac:dyDescent="0.45">
      <c r="B42" s="274"/>
      <c r="C42" s="44"/>
      <c r="D42" s="1">
        <v>2</v>
      </c>
      <c r="E42" s="5" t="str">
        <f t="shared" si="11"/>
        <v>x.x.x.11</v>
      </c>
      <c r="F42">
        <f t="shared" si="11"/>
        <v>2369628931</v>
      </c>
      <c r="G42" s="30">
        <f>F42+$E$39</f>
        <v>2369628938</v>
      </c>
      <c r="H42" s="49">
        <f>MOD(G42,$H$39)</f>
        <v>2</v>
      </c>
      <c r="J42" s="12" t="str">
        <f t="shared" si="12"/>
        <v>AI-LLM</v>
      </c>
      <c r="K42" s="30">
        <f t="shared" si="12"/>
        <v>741961799</v>
      </c>
      <c r="L42" s="30">
        <f>K42+$E$39</f>
        <v>741961806</v>
      </c>
      <c r="M42" s="49">
        <f>MOD(L42,$H$39)</f>
        <v>6</v>
      </c>
    </row>
    <row r="43" spans="2:13" x14ac:dyDescent="0.45">
      <c r="B43" s="275"/>
      <c r="C43" s="50"/>
      <c r="D43" s="51">
        <v>3</v>
      </c>
      <c r="E43" s="52" t="str">
        <f t="shared" si="11"/>
        <v>x.x.x.12</v>
      </c>
      <c r="F43" s="53">
        <f t="shared" si="11"/>
        <v>1411115022</v>
      </c>
      <c r="G43" s="54">
        <f>F43+$E$39</f>
        <v>1411115029</v>
      </c>
      <c r="H43" s="55">
        <f>MOD(G43,$H$39)</f>
        <v>5</v>
      </c>
      <c r="J43" s="14" t="str">
        <f t="shared" si="12"/>
        <v>Infra-Memory</v>
      </c>
      <c r="K43" s="54">
        <f t="shared" si="12"/>
        <v>2090387501</v>
      </c>
      <c r="L43" s="54">
        <f>K43+$E$39</f>
        <v>2090387508</v>
      </c>
      <c r="M43" s="55">
        <f>MOD(L43,$H$39)</f>
        <v>4</v>
      </c>
    </row>
    <row r="45" spans="2:13" x14ac:dyDescent="0.45">
      <c r="B45" s="273">
        <v>2</v>
      </c>
      <c r="C45" s="10"/>
      <c r="D45" s="48" t="s">
        <v>6</v>
      </c>
      <c r="E45" s="48">
        <f>F19</f>
        <v>0</v>
      </c>
      <c r="F45" s="48"/>
      <c r="G45" s="48" t="s">
        <v>13</v>
      </c>
      <c r="H45" s="56">
        <f>$F$1</f>
        <v>8</v>
      </c>
      <c r="J45" s="9"/>
      <c r="K45" s="10"/>
      <c r="L45" s="10"/>
      <c r="M45" s="11"/>
    </row>
    <row r="46" spans="2:13" ht="32" x14ac:dyDescent="0.45">
      <c r="B46" s="274"/>
      <c r="C46" s="2"/>
      <c r="E46" s="59" t="s">
        <v>61</v>
      </c>
      <c r="F46" s="59" t="s">
        <v>3</v>
      </c>
      <c r="G46" s="43" t="s">
        <v>97</v>
      </c>
      <c r="H46" s="60" t="s">
        <v>54</v>
      </c>
      <c r="I46" s="59"/>
      <c r="J46" s="61" t="s">
        <v>62</v>
      </c>
      <c r="K46" s="59" t="s">
        <v>5</v>
      </c>
      <c r="L46" s="43" t="s">
        <v>97</v>
      </c>
      <c r="M46" s="60" t="s">
        <v>54</v>
      </c>
    </row>
    <row r="47" spans="2:13" x14ac:dyDescent="0.45">
      <c r="B47" s="274"/>
      <c r="C47" s="44" t="s">
        <v>4</v>
      </c>
      <c r="D47" s="1">
        <v>1</v>
      </c>
      <c r="E47" s="5" t="str">
        <f>$C$5</f>
        <v>x.x.x.10</v>
      </c>
      <c r="F47">
        <f>$E$5</f>
        <v>975202823</v>
      </c>
      <c r="G47" s="30">
        <f>F47+$E$45</f>
        <v>975202823</v>
      </c>
      <c r="H47" s="49">
        <f>MOD(G47,$H$45)</f>
        <v>7</v>
      </c>
      <c r="J47" s="12" t="str">
        <f>$C$10</f>
        <v>Data-Text</v>
      </c>
      <c r="K47" s="30">
        <f>$E$10</f>
        <v>4007243385</v>
      </c>
      <c r="L47" s="30">
        <f>K47+$E$45</f>
        <v>4007243385</v>
      </c>
      <c r="M47" s="49">
        <f>MOD(L47,$H$45)</f>
        <v>1</v>
      </c>
    </row>
    <row r="48" spans="2:13" x14ac:dyDescent="0.45">
      <c r="B48" s="274"/>
      <c r="C48" s="44"/>
      <c r="D48" s="1">
        <v>2</v>
      </c>
      <c r="E48" s="5" t="str">
        <f>$C$6</f>
        <v>x.x.x.11</v>
      </c>
      <c r="F48">
        <f>$E$6</f>
        <v>2369628931</v>
      </c>
      <c r="G48" s="30">
        <f>F48+$E$45</f>
        <v>2369628931</v>
      </c>
      <c r="H48" s="49">
        <f>MOD(G48,$H$45)</f>
        <v>3</v>
      </c>
      <c r="J48" s="12" t="str">
        <f>$C$11</f>
        <v>AI-LLM</v>
      </c>
      <c r="K48" s="30">
        <f>$E$11</f>
        <v>741961799</v>
      </c>
      <c r="L48" s="30">
        <f>K48+$E$45</f>
        <v>741961799</v>
      </c>
      <c r="M48" s="49">
        <f>MOD(L48,$H$45)</f>
        <v>7</v>
      </c>
    </row>
    <row r="49" spans="2:13" x14ac:dyDescent="0.45">
      <c r="B49" s="274"/>
      <c r="C49" s="44"/>
      <c r="D49" s="1">
        <v>3</v>
      </c>
      <c r="E49" s="5" t="str">
        <f>$C$7</f>
        <v>x.x.x.12</v>
      </c>
      <c r="F49">
        <f>$E$7</f>
        <v>1411115022</v>
      </c>
      <c r="G49" s="30">
        <f>F49+$E$45</f>
        <v>1411115022</v>
      </c>
      <c r="H49" s="49">
        <f>MOD(G49,$H$45)</f>
        <v>6</v>
      </c>
      <c r="J49" s="12" t="str">
        <f>$C$12</f>
        <v>Infra-Memory</v>
      </c>
      <c r="K49" s="30">
        <f>$E$12</f>
        <v>2090387501</v>
      </c>
      <c r="L49" s="30">
        <f>K49+$E$45</f>
        <v>2090387501</v>
      </c>
      <c r="M49" s="49">
        <f>MOD(L49,$H$45)</f>
        <v>5</v>
      </c>
    </row>
    <row r="50" spans="2:13" x14ac:dyDescent="0.45">
      <c r="B50" s="274"/>
      <c r="C50" s="2"/>
      <c r="H50" s="13"/>
      <c r="J50" s="58"/>
      <c r="M50" s="13"/>
    </row>
    <row r="51" spans="2:13" x14ac:dyDescent="0.45">
      <c r="B51" s="274"/>
      <c r="C51" s="44" t="s">
        <v>18</v>
      </c>
      <c r="D51" s="5" t="s">
        <v>6</v>
      </c>
      <c r="E51" s="5">
        <f>F20</f>
        <v>1</v>
      </c>
      <c r="F51" s="5"/>
      <c r="G51" s="5" t="s">
        <v>13</v>
      </c>
      <c r="H51" s="57">
        <f>$F$1</f>
        <v>8</v>
      </c>
      <c r="J51" s="58"/>
      <c r="M51" s="13"/>
    </row>
    <row r="52" spans="2:13" ht="32" x14ac:dyDescent="0.45">
      <c r="B52" s="274"/>
      <c r="C52" s="44"/>
      <c r="E52" s="59" t="s">
        <v>61</v>
      </c>
      <c r="F52" s="59" t="s">
        <v>3</v>
      </c>
      <c r="G52" s="43" t="s">
        <v>97</v>
      </c>
      <c r="H52" s="60" t="s">
        <v>54</v>
      </c>
      <c r="I52" s="59"/>
      <c r="J52" s="61" t="s">
        <v>62</v>
      </c>
      <c r="K52" s="59" t="s">
        <v>5</v>
      </c>
      <c r="L52" s="43" t="s">
        <v>97</v>
      </c>
      <c r="M52" s="60" t="s">
        <v>54</v>
      </c>
    </row>
    <row r="53" spans="2:13" x14ac:dyDescent="0.45">
      <c r="B53" s="274"/>
      <c r="C53" s="44"/>
      <c r="D53" s="1">
        <v>1</v>
      </c>
      <c r="E53" s="5" t="str">
        <f t="shared" ref="E53:F55" si="13">E47</f>
        <v>x.x.x.10</v>
      </c>
      <c r="F53">
        <f t="shared" si="13"/>
        <v>975202823</v>
      </c>
      <c r="G53" s="30">
        <f>F53+$E$51</f>
        <v>975202824</v>
      </c>
      <c r="H53" s="49">
        <f>MOD(G53,$H$51)</f>
        <v>0</v>
      </c>
      <c r="J53" s="12" t="str">
        <f t="shared" ref="J53:K55" si="14">J47</f>
        <v>Data-Text</v>
      </c>
      <c r="K53" s="30">
        <f t="shared" si="14"/>
        <v>4007243385</v>
      </c>
      <c r="L53" s="30">
        <f>K53+$E$51</f>
        <v>4007243386</v>
      </c>
      <c r="M53" s="49">
        <f>MOD(L53,$H$51)</f>
        <v>2</v>
      </c>
    </row>
    <row r="54" spans="2:13" x14ac:dyDescent="0.45">
      <c r="B54" s="274"/>
      <c r="C54" s="44"/>
      <c r="D54" s="1">
        <v>2</v>
      </c>
      <c r="E54" s="5" t="str">
        <f t="shared" si="13"/>
        <v>x.x.x.11</v>
      </c>
      <c r="F54">
        <f t="shared" si="13"/>
        <v>2369628931</v>
      </c>
      <c r="G54" s="30">
        <f>F54+$E$51</f>
        <v>2369628932</v>
      </c>
      <c r="H54" s="49">
        <f>MOD(G54,$H$51)</f>
        <v>4</v>
      </c>
      <c r="J54" s="12" t="str">
        <f t="shared" si="14"/>
        <v>AI-LLM</v>
      </c>
      <c r="K54" s="30">
        <f t="shared" si="14"/>
        <v>741961799</v>
      </c>
      <c r="L54" s="30">
        <f>K54+$E$51</f>
        <v>741961800</v>
      </c>
      <c r="M54" s="49">
        <f>MOD(L54,$H$51)</f>
        <v>0</v>
      </c>
    </row>
    <row r="55" spans="2:13" x14ac:dyDescent="0.45">
      <c r="B55" s="274"/>
      <c r="C55" s="44"/>
      <c r="D55" s="1">
        <v>3</v>
      </c>
      <c r="E55" s="5" t="str">
        <f t="shared" si="13"/>
        <v>x.x.x.12</v>
      </c>
      <c r="F55">
        <f t="shared" si="13"/>
        <v>1411115022</v>
      </c>
      <c r="G55" s="30">
        <f>F55+$E$51</f>
        <v>1411115023</v>
      </c>
      <c r="H55" s="49">
        <f>MOD(G55,$H$51)</f>
        <v>7</v>
      </c>
      <c r="J55" s="12" t="str">
        <f t="shared" si="14"/>
        <v>Infra-Memory</v>
      </c>
      <c r="K55" s="30">
        <f t="shared" si="14"/>
        <v>2090387501</v>
      </c>
      <c r="L55" s="30">
        <f>K55+$E$51</f>
        <v>2090387502</v>
      </c>
      <c r="M55" s="49">
        <f>MOD(L55,$H$51)</f>
        <v>6</v>
      </c>
    </row>
    <row r="56" spans="2:13" x14ac:dyDescent="0.45">
      <c r="B56" s="274"/>
      <c r="C56" s="2"/>
      <c r="H56" s="13"/>
      <c r="J56" s="58"/>
      <c r="M56" s="13"/>
    </row>
    <row r="57" spans="2:13" x14ac:dyDescent="0.45">
      <c r="B57" s="274"/>
      <c r="C57" s="44" t="s">
        <v>55</v>
      </c>
      <c r="D57" s="5" t="s">
        <v>6</v>
      </c>
      <c r="E57" s="5">
        <f>F21</f>
        <v>5</v>
      </c>
      <c r="F57" s="5"/>
      <c r="G57" s="5" t="s">
        <v>13</v>
      </c>
      <c r="H57" s="57">
        <f>$F$1</f>
        <v>8</v>
      </c>
      <c r="J57" s="58"/>
      <c r="M57" s="13"/>
    </row>
    <row r="58" spans="2:13" ht="32" x14ac:dyDescent="0.45">
      <c r="B58" s="274"/>
      <c r="C58" s="44"/>
      <c r="E58" s="59" t="s">
        <v>61</v>
      </c>
      <c r="F58" s="59" t="s">
        <v>3</v>
      </c>
      <c r="G58" s="43" t="s">
        <v>97</v>
      </c>
      <c r="H58" s="60" t="s">
        <v>54</v>
      </c>
      <c r="I58" s="59"/>
      <c r="J58" s="61" t="s">
        <v>62</v>
      </c>
      <c r="K58" s="59" t="s">
        <v>5</v>
      </c>
      <c r="L58" s="43" t="s">
        <v>97</v>
      </c>
      <c r="M58" s="60" t="s">
        <v>54</v>
      </c>
    </row>
    <row r="59" spans="2:13" x14ac:dyDescent="0.45">
      <c r="B59" s="274"/>
      <c r="C59" s="44"/>
      <c r="D59" s="1">
        <v>1</v>
      </c>
      <c r="E59" s="5" t="str">
        <f t="shared" ref="E59:F61" si="15">E53</f>
        <v>x.x.x.10</v>
      </c>
      <c r="F59">
        <f t="shared" si="15"/>
        <v>975202823</v>
      </c>
      <c r="G59" s="30">
        <f>F59+$E$57</f>
        <v>975202828</v>
      </c>
      <c r="H59" s="49">
        <f>MOD(G59,$H$57)</f>
        <v>4</v>
      </c>
      <c r="J59" s="12" t="str">
        <f t="shared" ref="J59:K61" si="16">J53</f>
        <v>Data-Text</v>
      </c>
      <c r="K59" s="30">
        <f t="shared" si="16"/>
        <v>4007243385</v>
      </c>
      <c r="L59" s="30">
        <f>K59+$E$57</f>
        <v>4007243390</v>
      </c>
      <c r="M59" s="49">
        <f>MOD(L59,$H$57)</f>
        <v>6</v>
      </c>
    </row>
    <row r="60" spans="2:13" x14ac:dyDescent="0.45">
      <c r="B60" s="274"/>
      <c r="C60" s="44"/>
      <c r="D60" s="1">
        <v>2</v>
      </c>
      <c r="E60" s="5" t="str">
        <f t="shared" si="15"/>
        <v>x.x.x.11</v>
      </c>
      <c r="F60">
        <f t="shared" si="15"/>
        <v>2369628931</v>
      </c>
      <c r="G60" s="30">
        <f>F60+$E$57</f>
        <v>2369628936</v>
      </c>
      <c r="H60" s="49">
        <f t="shared" ref="H60:H61" si="17">MOD(G60,$H$57)</f>
        <v>0</v>
      </c>
      <c r="J60" s="12" t="str">
        <f t="shared" si="16"/>
        <v>AI-LLM</v>
      </c>
      <c r="K60" s="30">
        <f t="shared" si="16"/>
        <v>741961799</v>
      </c>
      <c r="L60" s="30">
        <f>K60+$E$57</f>
        <v>741961804</v>
      </c>
      <c r="M60" s="49">
        <f t="shared" ref="M60:M61" si="18">MOD(L60,$H$57)</f>
        <v>4</v>
      </c>
    </row>
    <row r="61" spans="2:13" x14ac:dyDescent="0.45">
      <c r="B61" s="275"/>
      <c r="C61" s="50"/>
      <c r="D61" s="51">
        <v>3</v>
      </c>
      <c r="E61" s="52" t="str">
        <f t="shared" si="15"/>
        <v>x.x.x.12</v>
      </c>
      <c r="F61" s="53">
        <f t="shared" si="15"/>
        <v>1411115022</v>
      </c>
      <c r="G61" s="30">
        <f>F61+$E$57</f>
        <v>1411115027</v>
      </c>
      <c r="H61" s="49">
        <f t="shared" si="17"/>
        <v>3</v>
      </c>
      <c r="J61" s="14" t="str">
        <f t="shared" si="16"/>
        <v>Infra-Memory</v>
      </c>
      <c r="K61" s="54">
        <f t="shared" si="16"/>
        <v>2090387501</v>
      </c>
      <c r="L61" s="30">
        <f>K61+$E$57</f>
        <v>2090387506</v>
      </c>
      <c r="M61" s="49">
        <f t="shared" si="18"/>
        <v>2</v>
      </c>
    </row>
    <row r="64" spans="2:13" x14ac:dyDescent="0.45">
      <c r="B64" s="273">
        <v>3</v>
      </c>
      <c r="C64" s="10"/>
      <c r="D64" s="48" t="s">
        <v>6</v>
      </c>
      <c r="E64" s="48">
        <f>F22</f>
        <v>6</v>
      </c>
      <c r="F64" s="48"/>
      <c r="G64" s="48" t="s">
        <v>13</v>
      </c>
      <c r="H64" s="56">
        <f>$F$1</f>
        <v>8</v>
      </c>
      <c r="J64" s="9"/>
      <c r="K64" s="10"/>
      <c r="L64" s="10"/>
      <c r="M64" s="11"/>
    </row>
    <row r="65" spans="2:13" ht="32" x14ac:dyDescent="0.45">
      <c r="B65" s="274"/>
      <c r="C65" s="2"/>
      <c r="E65" s="59" t="s">
        <v>61</v>
      </c>
      <c r="F65" s="59" t="s">
        <v>3</v>
      </c>
      <c r="G65" s="43" t="s">
        <v>97</v>
      </c>
      <c r="H65" s="60" t="s">
        <v>54</v>
      </c>
      <c r="I65" s="59"/>
      <c r="J65" s="61" t="s">
        <v>62</v>
      </c>
      <c r="K65" s="59" t="s">
        <v>5</v>
      </c>
      <c r="L65" s="43" t="s">
        <v>97</v>
      </c>
      <c r="M65" s="60" t="s">
        <v>54</v>
      </c>
    </row>
    <row r="66" spans="2:13" x14ac:dyDescent="0.45">
      <c r="B66" s="274"/>
      <c r="C66" s="44" t="s">
        <v>4</v>
      </c>
      <c r="D66" s="1">
        <v>1</v>
      </c>
      <c r="E66" s="5" t="str">
        <f>$C$5</f>
        <v>x.x.x.10</v>
      </c>
      <c r="F66">
        <f>$E$5</f>
        <v>975202823</v>
      </c>
      <c r="G66" s="30">
        <f>F66+$E$64</f>
        <v>975202829</v>
      </c>
      <c r="H66" s="49">
        <f>MOD(G66,$H$64)</f>
        <v>5</v>
      </c>
      <c r="J66" s="12" t="str">
        <f>$C$10</f>
        <v>Data-Text</v>
      </c>
      <c r="K66" s="30">
        <f>$E$10</f>
        <v>4007243385</v>
      </c>
      <c r="L66" s="30">
        <f>K66+$E$64</f>
        <v>4007243391</v>
      </c>
      <c r="M66" s="49">
        <f>MOD(L66,$H$64)</f>
        <v>7</v>
      </c>
    </row>
    <row r="67" spans="2:13" x14ac:dyDescent="0.45">
      <c r="B67" s="274"/>
      <c r="C67" s="44"/>
      <c r="D67" s="1">
        <v>2</v>
      </c>
      <c r="E67" s="5" t="str">
        <f>$C$6</f>
        <v>x.x.x.11</v>
      </c>
      <c r="F67">
        <f>$E$6</f>
        <v>2369628931</v>
      </c>
      <c r="G67" s="30">
        <f t="shared" ref="G67" si="19">F67+$E$64</f>
        <v>2369628937</v>
      </c>
      <c r="H67" s="49">
        <f t="shared" ref="H67:H68" si="20">MOD(G67,$H$64)</f>
        <v>1</v>
      </c>
      <c r="J67" s="12" t="str">
        <f>$C$11</f>
        <v>AI-LLM</v>
      </c>
      <c r="K67" s="30">
        <f>$E$11</f>
        <v>741961799</v>
      </c>
      <c r="L67" s="30">
        <f t="shared" ref="L67:L68" si="21">K67+$E$64</f>
        <v>741961805</v>
      </c>
      <c r="M67" s="49">
        <f t="shared" ref="M67:M68" si="22">MOD(L67,$H$64)</f>
        <v>5</v>
      </c>
    </row>
    <row r="68" spans="2:13" x14ac:dyDescent="0.45">
      <c r="B68" s="274"/>
      <c r="C68" s="44"/>
      <c r="D68" s="1">
        <v>3</v>
      </c>
      <c r="E68" s="5" t="str">
        <f>$C$7</f>
        <v>x.x.x.12</v>
      </c>
      <c r="F68">
        <f>$E$7</f>
        <v>1411115022</v>
      </c>
      <c r="G68" s="30">
        <f>F68+$E$64</f>
        <v>1411115028</v>
      </c>
      <c r="H68" s="49">
        <f t="shared" si="20"/>
        <v>4</v>
      </c>
      <c r="J68" s="12" t="str">
        <f>$C$12</f>
        <v>Infra-Memory</v>
      </c>
      <c r="K68" s="30">
        <f>$E$12</f>
        <v>2090387501</v>
      </c>
      <c r="L68" s="30">
        <f t="shared" si="21"/>
        <v>2090387507</v>
      </c>
      <c r="M68" s="49">
        <f t="shared" si="22"/>
        <v>3</v>
      </c>
    </row>
    <row r="69" spans="2:13" x14ac:dyDescent="0.45">
      <c r="B69" s="274"/>
      <c r="C69" s="2"/>
      <c r="H69" s="13"/>
      <c r="J69" s="58"/>
      <c r="M69" s="13"/>
    </row>
    <row r="70" spans="2:13" x14ac:dyDescent="0.45">
      <c r="B70" s="274"/>
      <c r="C70" s="44" t="s">
        <v>18</v>
      </c>
      <c r="D70" s="5" t="s">
        <v>6</v>
      </c>
      <c r="E70" s="5">
        <f>F23</f>
        <v>2</v>
      </c>
      <c r="F70" s="5"/>
      <c r="G70" s="5" t="s">
        <v>13</v>
      </c>
      <c r="H70" s="57">
        <f>$F$1</f>
        <v>8</v>
      </c>
      <c r="J70" s="58"/>
      <c r="M70" s="13"/>
    </row>
    <row r="71" spans="2:13" ht="32" x14ac:dyDescent="0.45">
      <c r="B71" s="274"/>
      <c r="C71" s="44"/>
      <c r="E71" s="59" t="s">
        <v>61</v>
      </c>
      <c r="F71" s="59" t="s">
        <v>3</v>
      </c>
      <c r="G71" s="43" t="s">
        <v>97</v>
      </c>
      <c r="H71" s="60" t="s">
        <v>54</v>
      </c>
      <c r="I71" s="59"/>
      <c r="J71" s="61" t="s">
        <v>62</v>
      </c>
      <c r="K71" s="59" t="s">
        <v>5</v>
      </c>
      <c r="L71" s="43" t="s">
        <v>97</v>
      </c>
      <c r="M71" s="60" t="s">
        <v>54</v>
      </c>
    </row>
    <row r="72" spans="2:13" x14ac:dyDescent="0.45">
      <c r="B72" s="274"/>
      <c r="C72" s="44"/>
      <c r="D72" s="1">
        <v>1</v>
      </c>
      <c r="E72" s="5" t="str">
        <f t="shared" ref="E72:F74" si="23">E66</f>
        <v>x.x.x.10</v>
      </c>
      <c r="F72">
        <f t="shared" si="23"/>
        <v>975202823</v>
      </c>
      <c r="G72" s="30">
        <f>F72+$E$70</f>
        <v>975202825</v>
      </c>
      <c r="H72" s="49">
        <f>MOD(G72,$H$70)</f>
        <v>1</v>
      </c>
      <c r="J72" s="12" t="str">
        <f t="shared" ref="J72:K74" si="24">J66</f>
        <v>Data-Text</v>
      </c>
      <c r="K72" s="30">
        <f t="shared" si="24"/>
        <v>4007243385</v>
      </c>
      <c r="L72" s="30">
        <f>K72+$E$70</f>
        <v>4007243387</v>
      </c>
      <c r="M72" s="49">
        <f>MOD(L72,$H$70)</f>
        <v>3</v>
      </c>
    </row>
    <row r="73" spans="2:13" x14ac:dyDescent="0.45">
      <c r="B73" s="274"/>
      <c r="C73" s="44"/>
      <c r="D73" s="1">
        <v>2</v>
      </c>
      <c r="E73" s="5" t="str">
        <f t="shared" si="23"/>
        <v>x.x.x.11</v>
      </c>
      <c r="F73">
        <f t="shared" si="23"/>
        <v>2369628931</v>
      </c>
      <c r="G73" s="30">
        <f>F73+$E$70</f>
        <v>2369628933</v>
      </c>
      <c r="H73" s="49">
        <f t="shared" ref="H73:H74" si="25">MOD(G73,$H$70)</f>
        <v>5</v>
      </c>
      <c r="J73" s="12" t="str">
        <f t="shared" si="24"/>
        <v>AI-LLM</v>
      </c>
      <c r="K73" s="30">
        <f t="shared" si="24"/>
        <v>741961799</v>
      </c>
      <c r="L73" s="30">
        <f>K73+$E$70</f>
        <v>741961801</v>
      </c>
      <c r="M73" s="49">
        <f t="shared" ref="M73:M74" si="26">MOD(L73,$H$70)</f>
        <v>1</v>
      </c>
    </row>
    <row r="74" spans="2:13" x14ac:dyDescent="0.45">
      <c r="B74" s="274"/>
      <c r="C74" s="44"/>
      <c r="D74" s="1">
        <v>3</v>
      </c>
      <c r="E74" s="5" t="str">
        <f t="shared" si="23"/>
        <v>x.x.x.12</v>
      </c>
      <c r="F74">
        <f t="shared" si="23"/>
        <v>1411115022</v>
      </c>
      <c r="G74" s="30">
        <f>F74+$E$70</f>
        <v>1411115024</v>
      </c>
      <c r="H74" s="49">
        <f t="shared" si="25"/>
        <v>0</v>
      </c>
      <c r="J74" s="12" t="str">
        <f t="shared" si="24"/>
        <v>Infra-Memory</v>
      </c>
      <c r="K74" s="30">
        <f t="shared" si="24"/>
        <v>2090387501</v>
      </c>
      <c r="L74" s="30">
        <f>K74+$E$70</f>
        <v>2090387503</v>
      </c>
      <c r="M74" s="49">
        <f t="shared" si="26"/>
        <v>7</v>
      </c>
    </row>
    <row r="75" spans="2:13" x14ac:dyDescent="0.45">
      <c r="B75" s="274"/>
      <c r="C75" s="2"/>
      <c r="H75" s="13"/>
      <c r="J75" s="58"/>
      <c r="M75" s="13"/>
    </row>
    <row r="76" spans="2:13" x14ac:dyDescent="0.45">
      <c r="B76" s="274"/>
      <c r="C76" s="44" t="s">
        <v>55</v>
      </c>
      <c r="D76" s="5" t="s">
        <v>6</v>
      </c>
      <c r="E76" s="5">
        <f>F24</f>
        <v>3</v>
      </c>
      <c r="F76" s="5"/>
      <c r="G76" s="5" t="s">
        <v>13</v>
      </c>
      <c r="H76" s="57">
        <f>$F$1</f>
        <v>8</v>
      </c>
      <c r="J76" s="58"/>
      <c r="M76" s="13"/>
    </row>
    <row r="77" spans="2:13" ht="32" x14ac:dyDescent="0.45">
      <c r="B77" s="274"/>
      <c r="C77" s="44"/>
      <c r="E77" s="59" t="s">
        <v>61</v>
      </c>
      <c r="F77" s="59" t="s">
        <v>3</v>
      </c>
      <c r="G77" s="43" t="s">
        <v>97</v>
      </c>
      <c r="H77" s="60" t="s">
        <v>54</v>
      </c>
      <c r="I77" s="59"/>
      <c r="J77" s="61" t="s">
        <v>62</v>
      </c>
      <c r="K77" s="59" t="s">
        <v>5</v>
      </c>
      <c r="L77" s="43" t="s">
        <v>97</v>
      </c>
      <c r="M77" s="60" t="s">
        <v>54</v>
      </c>
    </row>
    <row r="78" spans="2:13" x14ac:dyDescent="0.45">
      <c r="B78" s="274"/>
      <c r="C78" s="44"/>
      <c r="D78" s="1">
        <v>1</v>
      </c>
      <c r="E78" s="5" t="str">
        <f t="shared" ref="E78:F80" si="27">E72</f>
        <v>x.x.x.10</v>
      </c>
      <c r="F78">
        <f t="shared" si="27"/>
        <v>975202823</v>
      </c>
      <c r="G78" s="30">
        <f>F78+$E$76</f>
        <v>975202826</v>
      </c>
      <c r="H78" s="49">
        <f>MOD(G78,$H$76)</f>
        <v>2</v>
      </c>
      <c r="J78" s="12" t="str">
        <f t="shared" ref="J78:K80" si="28">J72</f>
        <v>Data-Text</v>
      </c>
      <c r="K78" s="30">
        <f t="shared" si="28"/>
        <v>4007243385</v>
      </c>
      <c r="L78" s="30">
        <f>K78+$E$76</f>
        <v>4007243388</v>
      </c>
      <c r="M78" s="49">
        <f>MOD(L78,$H$76)</f>
        <v>4</v>
      </c>
    </row>
    <row r="79" spans="2:13" x14ac:dyDescent="0.45">
      <c r="B79" s="274"/>
      <c r="C79" s="44"/>
      <c r="D79" s="1">
        <v>2</v>
      </c>
      <c r="E79" s="5" t="str">
        <f t="shared" si="27"/>
        <v>x.x.x.11</v>
      </c>
      <c r="F79">
        <f t="shared" si="27"/>
        <v>2369628931</v>
      </c>
      <c r="G79" s="30">
        <f t="shared" ref="G79:G80" si="29">F79+$E$76</f>
        <v>2369628934</v>
      </c>
      <c r="H79" s="49">
        <f t="shared" ref="H79:H80" si="30">MOD(G79,$H$76)</f>
        <v>6</v>
      </c>
      <c r="J79" s="12" t="str">
        <f t="shared" si="28"/>
        <v>AI-LLM</v>
      </c>
      <c r="K79" s="30">
        <f t="shared" si="28"/>
        <v>741961799</v>
      </c>
      <c r="L79" s="30">
        <f t="shared" ref="L79:L80" si="31">K79+$E$76</f>
        <v>741961802</v>
      </c>
      <c r="M79" s="49">
        <f t="shared" ref="M79:M80" si="32">MOD(L79,$H$76)</f>
        <v>2</v>
      </c>
    </row>
    <row r="80" spans="2:13" x14ac:dyDescent="0.45">
      <c r="B80" s="275"/>
      <c r="C80" s="50"/>
      <c r="D80" s="51">
        <v>3</v>
      </c>
      <c r="E80" s="52" t="str">
        <f t="shared" si="27"/>
        <v>x.x.x.12</v>
      </c>
      <c r="F80" s="53">
        <f t="shared" si="27"/>
        <v>1411115022</v>
      </c>
      <c r="G80" s="30">
        <f t="shared" si="29"/>
        <v>1411115025</v>
      </c>
      <c r="H80" s="49">
        <f t="shared" si="30"/>
        <v>1</v>
      </c>
      <c r="J80" s="14" t="str">
        <f t="shared" si="28"/>
        <v>Infra-Memory</v>
      </c>
      <c r="K80" s="54">
        <f t="shared" si="28"/>
        <v>2090387501</v>
      </c>
      <c r="L80" s="30">
        <f t="shared" si="31"/>
        <v>2090387504</v>
      </c>
      <c r="M80" s="49">
        <f t="shared" si="32"/>
        <v>0</v>
      </c>
    </row>
  </sheetData>
  <mergeCells count="7">
    <mergeCell ref="B64:B80"/>
    <mergeCell ref="B27:B43"/>
    <mergeCell ref="B26:E26"/>
    <mergeCell ref="B45:B61"/>
    <mergeCell ref="B1:E1"/>
    <mergeCell ref="B3:F3"/>
    <mergeCell ref="B14:F14"/>
  </mergeCells>
  <phoneticPr fontId="2" type="noConversion"/>
  <pageMargins left="0.7" right="0.7" top="0.75" bottom="0.75" header="0.3" footer="0.3"/>
  <pageSetup paperSize="9" scale="97" orientation="portrait" horizontalDpi="300" verticalDpi="300" r:id="rId1"/>
  <rowBreaks count="1" manualBreakCount="1">
    <brk id="62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31"/>
  <sheetViews>
    <sheetView view="pageBreakPreview" topLeftCell="A72" zoomScale="70" zoomScaleNormal="115" zoomScaleSheetLayoutView="70" workbookViewId="0">
      <selection activeCell="AD92" sqref="AD92"/>
    </sheetView>
  </sheetViews>
  <sheetFormatPr defaultRowHeight="17" x14ac:dyDescent="0.45"/>
  <cols>
    <col min="2" max="2" width="9" customWidth="1"/>
    <col min="3" max="3" width="9.33203125" bestFit="1" customWidth="1"/>
    <col min="4" max="4" width="12.5" customWidth="1"/>
    <col min="5" max="5" width="12.33203125" customWidth="1"/>
    <col min="6" max="6" width="10.5" bestFit="1" customWidth="1"/>
    <col min="10" max="10" width="12.75" customWidth="1"/>
    <col min="11" max="11" width="15.25" customWidth="1"/>
  </cols>
  <sheetData>
    <row r="1" spans="1:12" x14ac:dyDescent="0.45">
      <c r="A1" s="270" t="s">
        <v>10</v>
      </c>
      <c r="B1" s="270"/>
      <c r="C1" s="270"/>
      <c r="D1" s="270"/>
      <c r="E1" s="5">
        <v>8</v>
      </c>
    </row>
    <row r="2" spans="1:12" x14ac:dyDescent="0.45">
      <c r="A2" s="6"/>
      <c r="B2" s="6"/>
      <c r="C2" s="6"/>
      <c r="D2" s="6"/>
      <c r="E2" s="5"/>
    </row>
    <row r="3" spans="1:12" x14ac:dyDescent="0.45">
      <c r="A3" s="270" t="s">
        <v>30</v>
      </c>
      <c r="B3" s="270"/>
      <c r="C3" s="270"/>
      <c r="D3" s="270"/>
      <c r="E3" s="270"/>
    </row>
    <row r="4" spans="1:12" x14ac:dyDescent="0.45">
      <c r="B4" s="9"/>
      <c r="C4" s="9" t="s">
        <v>24</v>
      </c>
      <c r="D4" s="10" t="s">
        <v>3</v>
      </c>
      <c r="E4" s="11" t="s">
        <v>28</v>
      </c>
      <c r="F4" s="33"/>
      <c r="H4" s="9"/>
      <c r="I4" s="20" t="s">
        <v>26</v>
      </c>
      <c r="J4" s="21"/>
      <c r="K4" s="10" t="s">
        <v>27</v>
      </c>
      <c r="L4" s="24" t="s">
        <v>6</v>
      </c>
    </row>
    <row r="5" spans="1:12" x14ac:dyDescent="0.45">
      <c r="B5" s="12" t="s">
        <v>9</v>
      </c>
      <c r="C5" s="7" t="s">
        <v>33</v>
      </c>
      <c r="D5" s="7" t="s">
        <v>2</v>
      </c>
      <c r="E5" s="13">
        <f>HEX2DEC(D5)</f>
        <v>975202823</v>
      </c>
      <c r="F5" s="67">
        <f t="shared" ref="F5:F12" si="0">MOD(E5,$E$1)</f>
        <v>7</v>
      </c>
      <c r="H5" s="12" t="s">
        <v>9</v>
      </c>
      <c r="I5" s="17" t="s">
        <v>107</v>
      </c>
      <c r="J5" s="7"/>
      <c r="K5" s="7">
        <v>1694767713</v>
      </c>
      <c r="L5" s="22">
        <f t="shared" ref="L5:L12" si="1">MOD(K5,$E$1)</f>
        <v>1</v>
      </c>
    </row>
    <row r="6" spans="1:12" x14ac:dyDescent="0.45">
      <c r="B6" s="12" t="s">
        <v>8</v>
      </c>
      <c r="C6" s="8" t="s">
        <v>34</v>
      </c>
      <c r="D6" s="8" t="s">
        <v>1</v>
      </c>
      <c r="E6" s="13">
        <f t="shared" ref="E6:E12" si="2">HEX2DEC(D6)</f>
        <v>2369628931</v>
      </c>
      <c r="F6" s="67">
        <f t="shared" si="0"/>
        <v>3</v>
      </c>
      <c r="H6" s="12" t="s">
        <v>8</v>
      </c>
      <c r="I6" s="17" t="s">
        <v>113</v>
      </c>
      <c r="J6" s="7"/>
      <c r="K6" s="7">
        <v>1695027404</v>
      </c>
      <c r="L6" s="22">
        <f t="shared" si="1"/>
        <v>4</v>
      </c>
    </row>
    <row r="7" spans="1:12" x14ac:dyDescent="0.45">
      <c r="B7" s="12" t="s">
        <v>7</v>
      </c>
      <c r="C7" s="8" t="s">
        <v>35</v>
      </c>
      <c r="D7" s="8" t="s">
        <v>0</v>
      </c>
      <c r="E7" s="13">
        <f t="shared" si="2"/>
        <v>1411115022</v>
      </c>
      <c r="F7" s="67">
        <f t="shared" si="0"/>
        <v>6</v>
      </c>
      <c r="H7" s="12" t="s">
        <v>7</v>
      </c>
      <c r="I7" s="17" t="s">
        <v>114</v>
      </c>
      <c r="J7" s="7"/>
      <c r="K7" s="7">
        <v>1695027407</v>
      </c>
      <c r="L7" s="22">
        <f t="shared" si="1"/>
        <v>7</v>
      </c>
    </row>
    <row r="8" spans="1:12" x14ac:dyDescent="0.45">
      <c r="B8" s="12" t="s">
        <v>19</v>
      </c>
      <c r="C8" s="8" t="s">
        <v>36</v>
      </c>
      <c r="D8" s="8" t="s">
        <v>12</v>
      </c>
      <c r="E8" s="13">
        <f t="shared" si="2"/>
        <v>3808831754</v>
      </c>
      <c r="F8" s="67">
        <f t="shared" si="0"/>
        <v>2</v>
      </c>
      <c r="H8" s="12" t="s">
        <v>19</v>
      </c>
      <c r="I8" s="17" t="s">
        <v>115</v>
      </c>
      <c r="J8" s="7"/>
      <c r="K8" s="7">
        <v>1695027046</v>
      </c>
      <c r="L8" s="22">
        <f t="shared" si="1"/>
        <v>6</v>
      </c>
    </row>
    <row r="9" spans="1:12" x14ac:dyDescent="0.45">
      <c r="B9" s="12" t="s">
        <v>20</v>
      </c>
      <c r="C9" s="8" t="s">
        <v>37</v>
      </c>
      <c r="D9" s="8" t="s">
        <v>14</v>
      </c>
      <c r="E9" s="13">
        <f t="shared" si="2"/>
        <v>3864423956</v>
      </c>
      <c r="F9" s="67">
        <f t="shared" si="0"/>
        <v>4</v>
      </c>
      <c r="H9" s="12" t="s">
        <v>20</v>
      </c>
      <c r="I9" s="17" t="s">
        <v>112</v>
      </c>
      <c r="J9" s="7"/>
      <c r="K9" s="7">
        <v>1694956842</v>
      </c>
      <c r="L9" s="22">
        <f t="shared" si="1"/>
        <v>2</v>
      </c>
    </row>
    <row r="10" spans="1:12" x14ac:dyDescent="0.45">
      <c r="B10" s="12" t="s">
        <v>21</v>
      </c>
      <c r="C10" s="8" t="s">
        <v>38</v>
      </c>
      <c r="D10" s="8" t="s">
        <v>15</v>
      </c>
      <c r="E10" s="13">
        <f t="shared" si="2"/>
        <v>1363914512</v>
      </c>
      <c r="F10" s="67">
        <f t="shared" si="0"/>
        <v>0</v>
      </c>
      <c r="H10" s="12" t="s">
        <v>21</v>
      </c>
      <c r="I10" s="17" t="s">
        <v>111</v>
      </c>
      <c r="J10" s="7"/>
      <c r="K10" s="7">
        <v>1694870435</v>
      </c>
      <c r="L10" s="22">
        <f t="shared" si="1"/>
        <v>3</v>
      </c>
    </row>
    <row r="11" spans="1:12" x14ac:dyDescent="0.45">
      <c r="B11" s="12" t="s">
        <v>22</v>
      </c>
      <c r="C11" s="8" t="s">
        <v>39</v>
      </c>
      <c r="D11" s="8" t="s">
        <v>16</v>
      </c>
      <c r="E11" s="13">
        <f t="shared" si="2"/>
        <v>2288905245</v>
      </c>
      <c r="F11" s="67">
        <f t="shared" si="0"/>
        <v>5</v>
      </c>
      <c r="H11" s="12" t="s">
        <v>22</v>
      </c>
      <c r="I11" s="17" t="s">
        <v>110</v>
      </c>
      <c r="J11" s="7"/>
      <c r="K11" s="7">
        <v>1694866776</v>
      </c>
      <c r="L11" s="22">
        <f t="shared" si="1"/>
        <v>0</v>
      </c>
    </row>
    <row r="12" spans="1:12" x14ac:dyDescent="0.45">
      <c r="B12" s="14" t="s">
        <v>23</v>
      </c>
      <c r="C12" s="15" t="s">
        <v>40</v>
      </c>
      <c r="D12" s="15" t="s">
        <v>17</v>
      </c>
      <c r="E12" s="16">
        <f t="shared" si="2"/>
        <v>1064316185</v>
      </c>
      <c r="F12" s="68">
        <f t="shared" si="0"/>
        <v>1</v>
      </c>
      <c r="H12" s="14" t="s">
        <v>23</v>
      </c>
      <c r="I12" s="18" t="s">
        <v>109</v>
      </c>
      <c r="J12" s="19"/>
      <c r="K12" s="19">
        <v>1694780381</v>
      </c>
      <c r="L12" s="23">
        <f t="shared" si="1"/>
        <v>5</v>
      </c>
    </row>
    <row r="13" spans="1:12" x14ac:dyDescent="0.45">
      <c r="B13" s="6"/>
      <c r="C13" s="6"/>
      <c r="D13" s="6"/>
      <c r="E13" s="6"/>
      <c r="F13" s="36"/>
    </row>
    <row r="14" spans="1:12" hidden="1" x14ac:dyDescent="0.45">
      <c r="B14" s="9"/>
      <c r="C14" s="9" t="s">
        <v>29</v>
      </c>
      <c r="D14" s="10" t="s">
        <v>3</v>
      </c>
      <c r="E14" s="11" t="s">
        <v>28</v>
      </c>
      <c r="F14" s="33"/>
      <c r="H14" s="12" t="s">
        <v>99</v>
      </c>
      <c r="I14" s="17" t="s">
        <v>108</v>
      </c>
      <c r="J14" s="7"/>
      <c r="K14" s="7">
        <v>1694767713</v>
      </c>
      <c r="L14" s="22">
        <f t="shared" ref="L14" si="3">MOD(K14,$E$1)</f>
        <v>1</v>
      </c>
    </row>
    <row r="15" spans="1:12" hidden="1" x14ac:dyDescent="0.45">
      <c r="B15" s="12" t="s">
        <v>9</v>
      </c>
      <c r="C15" s="7" t="s">
        <v>63</v>
      </c>
      <c r="D15" s="7" t="s">
        <v>41</v>
      </c>
      <c r="E15" s="13">
        <f t="shared" ref="E15:E22" si="4">HEX2DEC(D15)</f>
        <v>4007243385</v>
      </c>
      <c r="F15" s="34">
        <f t="shared" ref="F15:F22" si="5">MOD(E15,$E$1)</f>
        <v>1</v>
      </c>
      <c r="H15" s="12" t="s">
        <v>100</v>
      </c>
      <c r="I15" s="17" t="s">
        <v>109</v>
      </c>
      <c r="J15" s="7"/>
      <c r="K15" s="7">
        <v>1694780381</v>
      </c>
      <c r="L15" s="22">
        <f>MOD(K15,$E$1)</f>
        <v>5</v>
      </c>
    </row>
    <row r="16" spans="1:12" hidden="1" x14ac:dyDescent="0.45">
      <c r="B16" s="12" t="s">
        <v>8</v>
      </c>
      <c r="C16" s="8" t="s">
        <v>64</v>
      </c>
      <c r="D16" s="8" t="s">
        <v>42</v>
      </c>
      <c r="E16" s="13">
        <f t="shared" si="4"/>
        <v>741961799</v>
      </c>
      <c r="F16" s="34">
        <f t="shared" si="5"/>
        <v>7</v>
      </c>
      <c r="H16" s="12" t="s">
        <v>101</v>
      </c>
      <c r="I16" s="17" t="s">
        <v>110</v>
      </c>
      <c r="J16" s="7"/>
      <c r="K16" s="7">
        <v>1694866776</v>
      </c>
      <c r="L16" s="22">
        <f>MOD(K16,$E$1)</f>
        <v>0</v>
      </c>
    </row>
    <row r="17" spans="1:12" hidden="1" x14ac:dyDescent="0.45">
      <c r="B17" s="12" t="s">
        <v>7</v>
      </c>
      <c r="C17" s="8" t="s">
        <v>43</v>
      </c>
      <c r="D17" s="8" t="s">
        <v>44</v>
      </c>
      <c r="E17" s="13">
        <f t="shared" si="4"/>
        <v>2090387501</v>
      </c>
      <c r="F17" s="34">
        <f t="shared" si="5"/>
        <v>5</v>
      </c>
      <c r="H17" s="12" t="s">
        <v>102</v>
      </c>
      <c r="I17" s="17" t="s">
        <v>111</v>
      </c>
      <c r="J17" s="7"/>
      <c r="K17" s="7">
        <v>1694870435</v>
      </c>
      <c r="L17" s="22">
        <f>MOD(K17,$E$1)</f>
        <v>3</v>
      </c>
    </row>
    <row r="18" spans="1:12" hidden="1" x14ac:dyDescent="0.45">
      <c r="B18" s="12" t="s">
        <v>19</v>
      </c>
      <c r="C18" s="8" t="s">
        <v>45</v>
      </c>
      <c r="D18" s="8" t="s">
        <v>46</v>
      </c>
      <c r="E18" s="13">
        <f t="shared" si="4"/>
        <v>3008211374</v>
      </c>
      <c r="F18" s="34">
        <f t="shared" si="5"/>
        <v>6</v>
      </c>
      <c r="H18" s="12" t="s">
        <v>103</v>
      </c>
      <c r="I18" s="17" t="s">
        <v>112</v>
      </c>
      <c r="J18" s="7"/>
      <c r="K18" s="7">
        <v>1694956842</v>
      </c>
      <c r="L18" s="22">
        <f t="shared" ref="L18" si="6">MOD(K18,$E$1)</f>
        <v>2</v>
      </c>
    </row>
    <row r="19" spans="1:12" hidden="1" x14ac:dyDescent="0.45">
      <c r="B19" s="12" t="s">
        <v>20</v>
      </c>
      <c r="C19" s="8" t="s">
        <v>47</v>
      </c>
      <c r="D19" s="8" t="s">
        <v>31</v>
      </c>
      <c r="E19" s="13">
        <f t="shared" si="4"/>
        <v>1663953499</v>
      </c>
      <c r="F19" s="34">
        <f t="shared" si="5"/>
        <v>3</v>
      </c>
      <c r="H19" s="12" t="s">
        <v>104</v>
      </c>
      <c r="I19" s="17" t="s">
        <v>113</v>
      </c>
      <c r="J19" s="7"/>
      <c r="K19" s="7">
        <v>1695027404</v>
      </c>
      <c r="L19" s="22">
        <f>MOD(K19,$E$1)</f>
        <v>4</v>
      </c>
    </row>
    <row r="20" spans="1:12" hidden="1" x14ac:dyDescent="0.45">
      <c r="B20" s="12" t="s">
        <v>21</v>
      </c>
      <c r="C20" s="8" t="s">
        <v>48</v>
      </c>
      <c r="D20" s="8" t="s">
        <v>49</v>
      </c>
      <c r="E20" s="13">
        <f t="shared" si="4"/>
        <v>2393897642</v>
      </c>
      <c r="F20" s="34">
        <f t="shared" si="5"/>
        <v>2</v>
      </c>
      <c r="H20" s="12" t="s">
        <v>105</v>
      </c>
      <c r="I20" s="17" t="s">
        <v>114</v>
      </c>
      <c r="J20" s="7"/>
      <c r="K20" s="7">
        <v>1695027407</v>
      </c>
      <c r="L20" s="22">
        <f>MOD(K20,$E$1)</f>
        <v>7</v>
      </c>
    </row>
    <row r="21" spans="1:12" hidden="1" x14ac:dyDescent="0.45">
      <c r="B21" s="12" t="s">
        <v>22</v>
      </c>
      <c r="C21" s="8" t="s">
        <v>50</v>
      </c>
      <c r="D21" s="8" t="s">
        <v>51</v>
      </c>
      <c r="E21" s="13">
        <f t="shared" si="4"/>
        <v>3269788900</v>
      </c>
      <c r="F21" s="34">
        <f t="shared" si="5"/>
        <v>4</v>
      </c>
      <c r="H21" s="14" t="s">
        <v>106</v>
      </c>
      <c r="I21" s="18" t="s">
        <v>119</v>
      </c>
      <c r="J21" s="19"/>
      <c r="K21" s="19">
        <v>1695027046</v>
      </c>
      <c r="L21" s="23">
        <f>MOD(K21,$E$1)</f>
        <v>6</v>
      </c>
    </row>
    <row r="22" spans="1:12" hidden="1" x14ac:dyDescent="0.45">
      <c r="B22" s="14" t="s">
        <v>23</v>
      </c>
      <c r="C22" s="15" t="s">
        <v>32</v>
      </c>
      <c r="D22" s="15" t="s">
        <v>52</v>
      </c>
      <c r="E22" s="16">
        <f t="shared" si="4"/>
        <v>4126241984</v>
      </c>
      <c r="F22" s="35">
        <f t="shared" si="5"/>
        <v>0</v>
      </c>
    </row>
    <row r="23" spans="1:12" hidden="1" x14ac:dyDescent="0.45"/>
    <row r="24" spans="1:12" hidden="1" x14ac:dyDescent="0.45">
      <c r="B24" s="6" t="s">
        <v>98</v>
      </c>
      <c r="C24" s="6"/>
      <c r="D24" s="6"/>
      <c r="E24" s="6"/>
      <c r="F24" s="6"/>
    </row>
    <row r="25" spans="1:12" hidden="1" x14ac:dyDescent="0.45">
      <c r="B25" s="9"/>
      <c r="C25" s="20" t="s">
        <v>26</v>
      </c>
      <c r="D25" s="21"/>
      <c r="E25" s="10" t="s">
        <v>27</v>
      </c>
      <c r="F25" s="24" t="s">
        <v>6</v>
      </c>
      <c r="H25" t="s">
        <v>120</v>
      </c>
    </row>
    <row r="26" spans="1:12" hidden="1" x14ac:dyDescent="0.45">
      <c r="A26" s="276"/>
      <c r="B26" s="12" t="s">
        <v>99</v>
      </c>
      <c r="C26" s="17" t="s">
        <v>108</v>
      </c>
      <c r="D26" s="7"/>
      <c r="E26" s="7">
        <v>1694767713</v>
      </c>
      <c r="F26" s="22">
        <f t="shared" ref="F26:F30" si="7">MOD(E26,$E$1)</f>
        <v>1</v>
      </c>
    </row>
    <row r="27" spans="1:12" hidden="1" x14ac:dyDescent="0.45">
      <c r="A27" s="276"/>
      <c r="B27" s="12" t="s">
        <v>100</v>
      </c>
      <c r="C27" s="17" t="s">
        <v>109</v>
      </c>
      <c r="D27" s="7"/>
      <c r="E27" s="7">
        <v>1694780381</v>
      </c>
      <c r="F27" s="22">
        <f>MOD(E27,$E$1)</f>
        <v>5</v>
      </c>
    </row>
    <row r="28" spans="1:12" hidden="1" x14ac:dyDescent="0.45">
      <c r="A28" s="276"/>
      <c r="B28" s="12" t="s">
        <v>101</v>
      </c>
      <c r="C28" s="17" t="s">
        <v>110</v>
      </c>
      <c r="D28" s="7"/>
      <c r="E28" s="7">
        <v>1694866776</v>
      </c>
      <c r="F28" s="22">
        <f>MOD(E28,$E$1)</f>
        <v>0</v>
      </c>
    </row>
    <row r="29" spans="1:12" hidden="1" x14ac:dyDescent="0.45">
      <c r="A29" s="276"/>
      <c r="B29" s="12" t="s">
        <v>102</v>
      </c>
      <c r="C29" s="17" t="s">
        <v>111</v>
      </c>
      <c r="D29" s="7"/>
      <c r="E29" s="7">
        <v>1694870435</v>
      </c>
      <c r="F29" s="22">
        <f>MOD(E29,$E$1)</f>
        <v>3</v>
      </c>
      <c r="I29">
        <f ca="1">RANDBETWEEN(0,7)</f>
        <v>0</v>
      </c>
    </row>
    <row r="30" spans="1:12" hidden="1" x14ac:dyDescent="0.45">
      <c r="A30" s="276"/>
      <c r="B30" s="12" t="s">
        <v>103</v>
      </c>
      <c r="C30" s="17" t="s">
        <v>112</v>
      </c>
      <c r="D30" s="7"/>
      <c r="E30" s="7">
        <v>1694956842</v>
      </c>
      <c r="F30" s="22">
        <f t="shared" si="7"/>
        <v>2</v>
      </c>
    </row>
    <row r="31" spans="1:12" hidden="1" x14ac:dyDescent="0.45">
      <c r="A31" s="276"/>
      <c r="B31" s="12" t="s">
        <v>104</v>
      </c>
      <c r="C31" s="17" t="s">
        <v>113</v>
      </c>
      <c r="D31" s="7"/>
      <c r="E31" s="7">
        <v>1695027404</v>
      </c>
      <c r="F31" s="22">
        <f>MOD(E31,$E$1)</f>
        <v>4</v>
      </c>
    </row>
    <row r="32" spans="1:12" hidden="1" x14ac:dyDescent="0.45">
      <c r="A32" s="276"/>
      <c r="B32" s="12" t="s">
        <v>105</v>
      </c>
      <c r="C32" s="17" t="s">
        <v>114</v>
      </c>
      <c r="D32" s="7"/>
      <c r="E32" s="7">
        <v>1695027407</v>
      </c>
      <c r="F32" s="22">
        <f>MOD(E32,$E$1)</f>
        <v>7</v>
      </c>
    </row>
    <row r="33" spans="1:18" hidden="1" x14ac:dyDescent="0.45">
      <c r="A33" s="276"/>
      <c r="B33" s="14" t="s">
        <v>106</v>
      </c>
      <c r="C33" s="18" t="s">
        <v>119</v>
      </c>
      <c r="D33" s="19"/>
      <c r="E33" s="19">
        <v>1695027046</v>
      </c>
      <c r="F33" s="23">
        <f>MOD(E33,$E$1)</f>
        <v>6</v>
      </c>
    </row>
    <row r="34" spans="1:18" hidden="1" x14ac:dyDescent="0.45">
      <c r="B34" s="9"/>
      <c r="C34" s="24" t="s">
        <v>122</v>
      </c>
      <c r="D34" s="24" t="s">
        <v>124</v>
      </c>
      <c r="E34" s="24" t="s">
        <v>125</v>
      </c>
      <c r="F34" s="24" t="s">
        <v>126</v>
      </c>
      <c r="G34" s="24" t="s">
        <v>127</v>
      </c>
      <c r="H34" s="24" t="s">
        <v>128</v>
      </c>
      <c r="I34" s="24" t="s">
        <v>129</v>
      </c>
      <c r="J34" s="24" t="s">
        <v>130</v>
      </c>
    </row>
    <row r="35" spans="1:18" hidden="1" x14ac:dyDescent="0.45">
      <c r="A35" s="276">
        <v>1</v>
      </c>
      <c r="B35" s="12" t="s">
        <v>9</v>
      </c>
      <c r="C35" s="22">
        <f ca="1">RANDBETWEEN(0,7)</f>
        <v>7</v>
      </c>
      <c r="D35" s="22">
        <f t="shared" ref="D35:J42" ca="1" si="8">RANDBETWEEN(0,7)</f>
        <v>5</v>
      </c>
      <c r="E35" s="22">
        <f t="shared" ca="1" si="8"/>
        <v>1</v>
      </c>
      <c r="F35" s="22">
        <f t="shared" ca="1" si="8"/>
        <v>3</v>
      </c>
      <c r="G35" s="22">
        <f t="shared" ca="1" si="8"/>
        <v>3</v>
      </c>
      <c r="H35" s="22">
        <f t="shared" ca="1" si="8"/>
        <v>5</v>
      </c>
      <c r="I35" s="22">
        <f t="shared" ca="1" si="8"/>
        <v>4</v>
      </c>
      <c r="J35" s="22">
        <f t="shared" ca="1" si="8"/>
        <v>7</v>
      </c>
    </row>
    <row r="36" spans="1:18" hidden="1" x14ac:dyDescent="0.45">
      <c r="A36" s="276"/>
      <c r="B36" s="12" t="s">
        <v>8</v>
      </c>
      <c r="C36" s="22">
        <f t="shared" ref="C36:C42" ca="1" si="9">RANDBETWEEN(0,7)</f>
        <v>0</v>
      </c>
      <c r="D36" s="22">
        <f t="shared" ca="1" si="8"/>
        <v>1</v>
      </c>
      <c r="E36" s="22">
        <f t="shared" ca="1" si="8"/>
        <v>0</v>
      </c>
      <c r="F36" s="22">
        <f t="shared" ca="1" si="8"/>
        <v>7</v>
      </c>
      <c r="G36" s="22">
        <f t="shared" ca="1" si="8"/>
        <v>4</v>
      </c>
      <c r="H36" s="22">
        <f t="shared" ca="1" si="8"/>
        <v>7</v>
      </c>
      <c r="I36" s="22">
        <f t="shared" ca="1" si="8"/>
        <v>0</v>
      </c>
      <c r="J36" s="22">
        <f t="shared" ca="1" si="8"/>
        <v>5</v>
      </c>
    </row>
    <row r="37" spans="1:18" hidden="1" x14ac:dyDescent="0.45">
      <c r="A37" s="276"/>
      <c r="B37" s="12" t="s">
        <v>7</v>
      </c>
      <c r="C37" s="22">
        <f t="shared" ca="1" si="9"/>
        <v>7</v>
      </c>
      <c r="D37" s="22">
        <f t="shared" ca="1" si="8"/>
        <v>2</v>
      </c>
      <c r="E37" s="22">
        <f t="shared" ca="1" si="8"/>
        <v>5</v>
      </c>
      <c r="F37" s="22">
        <f t="shared" ca="1" si="8"/>
        <v>5</v>
      </c>
      <c r="G37" s="22">
        <f t="shared" ca="1" si="8"/>
        <v>5</v>
      </c>
      <c r="H37" s="22">
        <f t="shared" ca="1" si="8"/>
        <v>4</v>
      </c>
      <c r="I37" s="22">
        <f t="shared" ca="1" si="8"/>
        <v>2</v>
      </c>
      <c r="J37" s="22">
        <f t="shared" ca="1" si="8"/>
        <v>7</v>
      </c>
    </row>
    <row r="38" spans="1:18" hidden="1" x14ac:dyDescent="0.45">
      <c r="A38" s="276"/>
      <c r="B38" s="12" t="s">
        <v>19</v>
      </c>
      <c r="C38" s="22">
        <f t="shared" ca="1" si="9"/>
        <v>6</v>
      </c>
      <c r="D38" s="22">
        <f t="shared" ca="1" si="8"/>
        <v>2</v>
      </c>
      <c r="E38" s="22">
        <f t="shared" ca="1" si="8"/>
        <v>1</v>
      </c>
      <c r="F38" s="22">
        <f t="shared" ca="1" si="8"/>
        <v>2</v>
      </c>
      <c r="G38" s="22">
        <f t="shared" ca="1" si="8"/>
        <v>7</v>
      </c>
      <c r="H38" s="22">
        <f t="shared" ca="1" si="8"/>
        <v>0</v>
      </c>
      <c r="I38" s="22">
        <f t="shared" ca="1" si="8"/>
        <v>2</v>
      </c>
      <c r="J38" s="22">
        <f t="shared" ca="1" si="8"/>
        <v>3</v>
      </c>
    </row>
    <row r="39" spans="1:18" hidden="1" x14ac:dyDescent="0.45">
      <c r="A39" s="276"/>
      <c r="B39" s="12" t="s">
        <v>20</v>
      </c>
      <c r="C39" s="22">
        <f t="shared" ca="1" si="9"/>
        <v>1</v>
      </c>
      <c r="D39" s="22">
        <f t="shared" ca="1" si="8"/>
        <v>4</v>
      </c>
      <c r="E39" s="22">
        <f t="shared" ca="1" si="8"/>
        <v>3</v>
      </c>
      <c r="F39" s="22">
        <f t="shared" ca="1" si="8"/>
        <v>6</v>
      </c>
      <c r="G39" s="22">
        <f t="shared" ca="1" si="8"/>
        <v>7</v>
      </c>
      <c r="H39" s="22">
        <f t="shared" ca="1" si="8"/>
        <v>5</v>
      </c>
      <c r="I39" s="22">
        <f t="shared" ca="1" si="8"/>
        <v>4</v>
      </c>
      <c r="J39" s="22">
        <f t="shared" ca="1" si="8"/>
        <v>5</v>
      </c>
    </row>
    <row r="40" spans="1:18" hidden="1" x14ac:dyDescent="0.45">
      <c r="A40" s="276"/>
      <c r="B40" s="12" t="s">
        <v>21</v>
      </c>
      <c r="C40" s="22">
        <f t="shared" ca="1" si="9"/>
        <v>1</v>
      </c>
      <c r="D40" s="22">
        <f t="shared" ca="1" si="8"/>
        <v>3</v>
      </c>
      <c r="E40" s="22">
        <f t="shared" ca="1" si="8"/>
        <v>0</v>
      </c>
      <c r="F40" s="22">
        <f t="shared" ca="1" si="8"/>
        <v>5</v>
      </c>
      <c r="G40" s="22">
        <f t="shared" ca="1" si="8"/>
        <v>2</v>
      </c>
      <c r="H40" s="22">
        <f t="shared" ca="1" si="8"/>
        <v>5</v>
      </c>
      <c r="I40" s="22">
        <f t="shared" ca="1" si="8"/>
        <v>1</v>
      </c>
      <c r="J40" s="22">
        <f t="shared" ca="1" si="8"/>
        <v>4</v>
      </c>
    </row>
    <row r="41" spans="1:18" hidden="1" x14ac:dyDescent="0.45">
      <c r="A41" s="276"/>
      <c r="B41" s="12" t="s">
        <v>22</v>
      </c>
      <c r="C41" s="22">
        <f t="shared" ca="1" si="9"/>
        <v>3</v>
      </c>
      <c r="D41" s="22">
        <f t="shared" ca="1" si="8"/>
        <v>1</v>
      </c>
      <c r="E41" s="22">
        <f t="shared" ca="1" si="8"/>
        <v>2</v>
      </c>
      <c r="F41" s="22">
        <f t="shared" ca="1" si="8"/>
        <v>4</v>
      </c>
      <c r="G41" s="22">
        <f t="shared" ca="1" si="8"/>
        <v>2</v>
      </c>
      <c r="H41" s="22">
        <f t="shared" ca="1" si="8"/>
        <v>1</v>
      </c>
      <c r="I41" s="22">
        <f t="shared" ca="1" si="8"/>
        <v>3</v>
      </c>
      <c r="J41" s="22">
        <f t="shared" ca="1" si="8"/>
        <v>6</v>
      </c>
    </row>
    <row r="42" spans="1:18" hidden="1" x14ac:dyDescent="0.45">
      <c r="A42" s="276"/>
      <c r="B42" s="14" t="s">
        <v>23</v>
      </c>
      <c r="C42" s="22">
        <f t="shared" ca="1" si="9"/>
        <v>4</v>
      </c>
      <c r="D42" s="22">
        <f t="shared" ca="1" si="8"/>
        <v>1</v>
      </c>
      <c r="E42" s="22">
        <f t="shared" ca="1" si="8"/>
        <v>6</v>
      </c>
      <c r="F42" s="22">
        <f t="shared" ca="1" si="8"/>
        <v>5</v>
      </c>
      <c r="G42" s="22">
        <f t="shared" ca="1" si="8"/>
        <v>4</v>
      </c>
      <c r="H42" s="22">
        <f t="shared" ca="1" si="8"/>
        <v>0</v>
      </c>
      <c r="I42" s="22">
        <f t="shared" ca="1" si="8"/>
        <v>5</v>
      </c>
      <c r="J42" s="22">
        <f t="shared" ca="1" si="8"/>
        <v>0</v>
      </c>
    </row>
    <row r="43" spans="1:18" x14ac:dyDescent="0.45">
      <c r="A43" s="270" t="s">
        <v>141</v>
      </c>
      <c r="B43" s="270"/>
      <c r="C43" s="270"/>
      <c r="D43" s="270"/>
      <c r="E43" s="270"/>
    </row>
    <row r="44" spans="1:18" x14ac:dyDescent="0.45">
      <c r="C44" t="s">
        <v>121</v>
      </c>
      <c r="D44" t="s">
        <v>123</v>
      </c>
      <c r="E44" t="s">
        <v>125</v>
      </c>
      <c r="F44" t="s">
        <v>126</v>
      </c>
      <c r="G44" t="s">
        <v>127</v>
      </c>
      <c r="H44" t="s">
        <v>128</v>
      </c>
      <c r="I44" t="s">
        <v>129</v>
      </c>
      <c r="J44" t="s">
        <v>130</v>
      </c>
    </row>
    <row r="45" spans="1:18" x14ac:dyDescent="0.45">
      <c r="B45" s="5" t="s">
        <v>131</v>
      </c>
      <c r="C45" s="5">
        <v>5</v>
      </c>
      <c r="D45" s="5">
        <v>5</v>
      </c>
      <c r="E45" s="5">
        <v>1</v>
      </c>
      <c r="F45" s="5">
        <v>7</v>
      </c>
      <c r="G45" s="5">
        <v>5</v>
      </c>
      <c r="H45" s="5">
        <v>7</v>
      </c>
      <c r="I45" s="5">
        <v>6</v>
      </c>
      <c r="J45" s="5">
        <v>6</v>
      </c>
      <c r="M45">
        <f t="shared" ref="M45:R45" si="10">ABS(D52-D45)</f>
        <v>1</v>
      </c>
      <c r="N45">
        <f t="shared" si="10"/>
        <v>1</v>
      </c>
      <c r="O45">
        <f t="shared" si="10"/>
        <v>3</v>
      </c>
      <c r="P45">
        <f t="shared" si="10"/>
        <v>5</v>
      </c>
      <c r="Q45">
        <f t="shared" si="10"/>
        <v>1</v>
      </c>
      <c r="R45">
        <f t="shared" si="10"/>
        <v>2</v>
      </c>
    </row>
    <row r="46" spans="1:18" x14ac:dyDescent="0.45">
      <c r="B46" s="5" t="s">
        <v>132</v>
      </c>
      <c r="C46" s="5">
        <v>2</v>
      </c>
      <c r="D46" s="5">
        <v>7</v>
      </c>
      <c r="E46" s="5">
        <v>7</v>
      </c>
      <c r="F46" s="5">
        <v>1</v>
      </c>
      <c r="G46" s="5">
        <v>3</v>
      </c>
      <c r="H46" s="5">
        <v>1</v>
      </c>
      <c r="I46" s="5">
        <v>7</v>
      </c>
      <c r="J46" s="5">
        <v>7</v>
      </c>
      <c r="M46">
        <f t="shared" ref="M46:R52" si="11">ABS(D45-D46)</f>
        <v>2</v>
      </c>
      <c r="N46">
        <f t="shared" si="11"/>
        <v>6</v>
      </c>
      <c r="O46">
        <f t="shared" si="11"/>
        <v>6</v>
      </c>
      <c r="P46">
        <f t="shared" si="11"/>
        <v>2</v>
      </c>
      <c r="Q46">
        <f t="shared" si="11"/>
        <v>6</v>
      </c>
      <c r="R46">
        <f t="shared" si="11"/>
        <v>1</v>
      </c>
    </row>
    <row r="47" spans="1:18" x14ac:dyDescent="0.45">
      <c r="B47" s="5" t="s">
        <v>133</v>
      </c>
      <c r="C47" s="5">
        <v>6</v>
      </c>
      <c r="D47" s="5">
        <v>0</v>
      </c>
      <c r="E47" s="5">
        <v>3</v>
      </c>
      <c r="F47" s="5">
        <v>3</v>
      </c>
      <c r="G47" s="5">
        <v>4</v>
      </c>
      <c r="H47" s="5">
        <v>2</v>
      </c>
      <c r="I47" s="5">
        <v>1</v>
      </c>
      <c r="J47" s="5">
        <v>1</v>
      </c>
      <c r="M47">
        <f t="shared" si="11"/>
        <v>7</v>
      </c>
      <c r="N47">
        <f t="shared" si="11"/>
        <v>4</v>
      </c>
      <c r="O47">
        <f t="shared" si="11"/>
        <v>2</v>
      </c>
      <c r="P47">
        <f t="shared" si="11"/>
        <v>1</v>
      </c>
      <c r="Q47">
        <f t="shared" si="11"/>
        <v>1</v>
      </c>
      <c r="R47">
        <f t="shared" si="11"/>
        <v>6</v>
      </c>
    </row>
    <row r="48" spans="1:18" x14ac:dyDescent="0.45">
      <c r="B48" s="5" t="s">
        <v>19</v>
      </c>
      <c r="C48" s="5">
        <v>1</v>
      </c>
      <c r="D48" s="5">
        <v>1</v>
      </c>
      <c r="E48" s="5">
        <v>6</v>
      </c>
      <c r="F48" s="5">
        <v>0</v>
      </c>
      <c r="G48" s="5">
        <v>1</v>
      </c>
      <c r="H48" s="5">
        <v>3</v>
      </c>
      <c r="I48" s="5">
        <v>2</v>
      </c>
      <c r="J48" s="5">
        <v>5</v>
      </c>
      <c r="M48">
        <f t="shared" si="11"/>
        <v>1</v>
      </c>
      <c r="N48">
        <f t="shared" si="11"/>
        <v>3</v>
      </c>
      <c r="O48">
        <f t="shared" si="11"/>
        <v>3</v>
      </c>
      <c r="P48">
        <f t="shared" si="11"/>
        <v>3</v>
      </c>
      <c r="Q48">
        <f t="shared" si="11"/>
        <v>1</v>
      </c>
      <c r="R48">
        <f t="shared" si="11"/>
        <v>1</v>
      </c>
    </row>
    <row r="49" spans="1:26" x14ac:dyDescent="0.45">
      <c r="B49" s="5" t="s">
        <v>20</v>
      </c>
      <c r="C49" s="5">
        <v>0</v>
      </c>
      <c r="D49" s="5">
        <v>2</v>
      </c>
      <c r="E49" s="5">
        <v>7</v>
      </c>
      <c r="F49" s="5">
        <v>6</v>
      </c>
      <c r="G49" s="5">
        <v>6</v>
      </c>
      <c r="H49" s="5">
        <v>4</v>
      </c>
      <c r="I49" s="5">
        <v>5</v>
      </c>
      <c r="J49" s="5">
        <v>3</v>
      </c>
      <c r="M49">
        <f t="shared" si="11"/>
        <v>1</v>
      </c>
      <c r="N49">
        <f t="shared" si="11"/>
        <v>1</v>
      </c>
      <c r="O49">
        <f t="shared" si="11"/>
        <v>6</v>
      </c>
      <c r="P49">
        <f t="shared" si="11"/>
        <v>5</v>
      </c>
      <c r="Q49">
        <f t="shared" si="11"/>
        <v>1</v>
      </c>
      <c r="R49">
        <f t="shared" si="11"/>
        <v>3</v>
      </c>
    </row>
    <row r="50" spans="1:26" x14ac:dyDescent="0.45">
      <c r="B50" t="s">
        <v>21</v>
      </c>
      <c r="C50">
        <v>3</v>
      </c>
      <c r="D50">
        <v>6</v>
      </c>
      <c r="E50">
        <v>4</v>
      </c>
      <c r="F50">
        <v>2</v>
      </c>
      <c r="G50">
        <v>5</v>
      </c>
      <c r="H50">
        <v>5</v>
      </c>
      <c r="I50">
        <v>0</v>
      </c>
      <c r="J50">
        <v>4</v>
      </c>
      <c r="M50">
        <f t="shared" si="11"/>
        <v>4</v>
      </c>
      <c r="N50">
        <f t="shared" si="11"/>
        <v>3</v>
      </c>
      <c r="O50">
        <f t="shared" si="11"/>
        <v>4</v>
      </c>
      <c r="P50">
        <f t="shared" si="11"/>
        <v>1</v>
      </c>
      <c r="Q50">
        <f t="shared" si="11"/>
        <v>1</v>
      </c>
      <c r="R50">
        <f t="shared" si="11"/>
        <v>5</v>
      </c>
    </row>
    <row r="51" spans="1:26" x14ac:dyDescent="0.45">
      <c r="B51" t="s">
        <v>22</v>
      </c>
      <c r="C51">
        <v>4</v>
      </c>
      <c r="D51">
        <v>3</v>
      </c>
      <c r="E51">
        <v>0</v>
      </c>
      <c r="F51">
        <v>5</v>
      </c>
      <c r="G51">
        <v>7</v>
      </c>
      <c r="H51">
        <v>0</v>
      </c>
      <c r="I51">
        <v>3</v>
      </c>
      <c r="J51">
        <v>2</v>
      </c>
      <c r="M51">
        <f t="shared" si="11"/>
        <v>3</v>
      </c>
      <c r="N51">
        <f t="shared" si="11"/>
        <v>4</v>
      </c>
      <c r="O51">
        <f t="shared" si="11"/>
        <v>3</v>
      </c>
      <c r="P51">
        <f t="shared" si="11"/>
        <v>2</v>
      </c>
      <c r="Q51">
        <f t="shared" si="11"/>
        <v>5</v>
      </c>
      <c r="R51">
        <f t="shared" si="11"/>
        <v>3</v>
      </c>
    </row>
    <row r="52" spans="1:26" x14ac:dyDescent="0.45">
      <c r="B52" t="s">
        <v>23</v>
      </c>
      <c r="C52">
        <v>7</v>
      </c>
      <c r="D52">
        <v>4</v>
      </c>
      <c r="E52">
        <v>2</v>
      </c>
      <c r="F52">
        <v>4</v>
      </c>
      <c r="G52">
        <v>0</v>
      </c>
      <c r="H52">
        <v>6</v>
      </c>
      <c r="I52">
        <v>4</v>
      </c>
      <c r="J52">
        <v>0</v>
      </c>
      <c r="M52">
        <f t="shared" si="11"/>
        <v>1</v>
      </c>
      <c r="N52">
        <f t="shared" si="11"/>
        <v>2</v>
      </c>
      <c r="O52">
        <f t="shared" si="11"/>
        <v>1</v>
      </c>
      <c r="P52">
        <f t="shared" si="11"/>
        <v>7</v>
      </c>
      <c r="Q52">
        <f t="shared" si="11"/>
        <v>6</v>
      </c>
      <c r="R52">
        <f t="shared" si="11"/>
        <v>1</v>
      </c>
    </row>
    <row r="55" spans="1:26" x14ac:dyDescent="0.45">
      <c r="A55" s="2"/>
      <c r="C55" s="3" t="s">
        <v>134</v>
      </c>
      <c r="D55" t="s">
        <v>144</v>
      </c>
      <c r="E55" s="3" t="s">
        <v>143</v>
      </c>
      <c r="G55" s="3" t="s">
        <v>135</v>
      </c>
      <c r="I55" s="3" t="s">
        <v>136</v>
      </c>
      <c r="K55" s="3" t="s">
        <v>137</v>
      </c>
      <c r="M55" s="3" t="s">
        <v>138</v>
      </c>
      <c r="O55" s="3" t="s">
        <v>139</v>
      </c>
      <c r="Q55" s="3" t="s">
        <v>140</v>
      </c>
    </row>
    <row r="56" spans="1:26" ht="27.75" customHeight="1" x14ac:dyDescent="0.45">
      <c r="A56" s="277" t="s">
        <v>4</v>
      </c>
      <c r="B56" s="70" t="s">
        <v>142</v>
      </c>
      <c r="C56" s="48">
        <f>C45</f>
        <v>5</v>
      </c>
      <c r="E56" s="48">
        <f>D45</f>
        <v>5</v>
      </c>
      <c r="G56" s="48">
        <f>E45</f>
        <v>1</v>
      </c>
      <c r="I56" s="48">
        <f>F45</f>
        <v>7</v>
      </c>
      <c r="K56" s="48">
        <f>G45</f>
        <v>5</v>
      </c>
      <c r="M56" s="48">
        <f>H45</f>
        <v>7</v>
      </c>
      <c r="O56" s="48">
        <f>I45</f>
        <v>6</v>
      </c>
      <c r="Q56" s="56">
        <f>J45</f>
        <v>6</v>
      </c>
    </row>
    <row r="57" spans="1:26" x14ac:dyDescent="0.45">
      <c r="A57" s="271"/>
      <c r="B57" s="62">
        <v>1</v>
      </c>
      <c r="C57" s="63">
        <f>MOD($E5+C$56,$E$1)</f>
        <v>4</v>
      </c>
      <c r="D57" s="2">
        <v>1</v>
      </c>
      <c r="E57" s="63">
        <f>MOD($E5+E$56,$E$1)</f>
        <v>4</v>
      </c>
      <c r="G57" s="63">
        <f>MOD($E5+G$56,$E$1)</f>
        <v>0</v>
      </c>
      <c r="H57">
        <v>1</v>
      </c>
      <c r="I57" s="63">
        <f>MOD($E5+I$56,$E$1)</f>
        <v>6</v>
      </c>
      <c r="K57" s="63">
        <f>MOD($E5+K$56,$E$1)</f>
        <v>4</v>
      </c>
      <c r="M57" s="63">
        <f>MOD($E5+M$56,$E$1)</f>
        <v>6</v>
      </c>
      <c r="O57" s="63">
        <f>MOD($E5+O$56,$E$1)</f>
        <v>5</v>
      </c>
      <c r="Q57" s="64">
        <f>MOD($E5+Q$56,$E$1)</f>
        <v>5</v>
      </c>
      <c r="S57" s="69">
        <f t="shared" ref="S57:S63" si="12">MOD(ABS(C58+8-C57),$E$1)</f>
        <v>4</v>
      </c>
      <c r="T57" s="69">
        <f t="shared" ref="T57:T63" si="13">MOD(ABS(E58+8-E57),$E$1)</f>
        <v>4</v>
      </c>
      <c r="U57" s="69">
        <f t="shared" ref="U57:U63" si="14">MOD(ABS(G58+8-G57),$E$1)</f>
        <v>4</v>
      </c>
      <c r="V57" s="69">
        <f t="shared" ref="V57:V63" si="15">MOD(ABS(I58+8-I57),$E$1)</f>
        <v>4</v>
      </c>
      <c r="W57" s="69">
        <f t="shared" ref="W57:W63" si="16">MOD(ABS(K58+8-K57),$E$1)</f>
        <v>4</v>
      </c>
      <c r="X57" s="69">
        <f t="shared" ref="X57:X63" si="17">MOD(ABS(M58+8-M57),$E$1)</f>
        <v>4</v>
      </c>
      <c r="Y57" s="69">
        <f t="shared" ref="Y57:Y63" si="18">MOD(ABS(O58+8-O57),$E$1)</f>
        <v>4</v>
      </c>
      <c r="Z57" s="69">
        <f>MOD(ABS(Q58+8-Q57),$E$1)</f>
        <v>4</v>
      </c>
    </row>
    <row r="58" spans="1:26" x14ac:dyDescent="0.45">
      <c r="A58" s="271"/>
      <c r="B58" s="1">
        <v>2</v>
      </c>
      <c r="C58" s="30">
        <f>MOD($E6+C$56,$E$1)</f>
        <v>0</v>
      </c>
      <c r="E58" s="30">
        <f>MOD($E6+E$56,$E$1)</f>
        <v>0</v>
      </c>
      <c r="G58" s="30">
        <f>MOD($E6+G$56,$E$1)</f>
        <v>4</v>
      </c>
      <c r="I58" s="30">
        <f>MOD($E6+I$56,$E$1)</f>
        <v>2</v>
      </c>
      <c r="K58" s="30">
        <f>MOD($E6+K$56,$E$1)</f>
        <v>0</v>
      </c>
      <c r="M58" s="30">
        <f>MOD($E6+M$56,$E$1)</f>
        <v>2</v>
      </c>
      <c r="O58" s="30">
        <f>MOD($E6+O$56,$E$1)</f>
        <v>1</v>
      </c>
      <c r="Q58" s="65">
        <f>MOD($E6+Q$56,$E$1)</f>
        <v>1</v>
      </c>
      <c r="S58" s="69">
        <f t="shared" si="12"/>
        <v>3</v>
      </c>
      <c r="T58" s="69">
        <f t="shared" si="13"/>
        <v>3</v>
      </c>
      <c r="U58" s="69">
        <f t="shared" si="14"/>
        <v>3</v>
      </c>
      <c r="V58" s="69">
        <f t="shared" si="15"/>
        <v>3</v>
      </c>
      <c r="W58" s="69">
        <f t="shared" si="16"/>
        <v>3</v>
      </c>
      <c r="X58" s="69">
        <f t="shared" si="17"/>
        <v>3</v>
      </c>
      <c r="Y58" s="69">
        <f t="shared" si="18"/>
        <v>3</v>
      </c>
      <c r="Z58" s="69">
        <f t="shared" ref="Z58:Z63" si="19">MOD(ABS(Q59+8-Q58),$E$1)</f>
        <v>3</v>
      </c>
    </row>
    <row r="59" spans="1:26" x14ac:dyDescent="0.45">
      <c r="A59" s="271"/>
      <c r="B59" s="1">
        <v>3</v>
      </c>
      <c r="C59" s="30">
        <f>MOD($E7+C$56,$E$1)</f>
        <v>3</v>
      </c>
      <c r="E59" s="30">
        <f>MOD($E7+E$56,$E$1)</f>
        <v>3</v>
      </c>
      <c r="G59" s="30">
        <f>MOD($E7+G$56,$E$1)</f>
        <v>7</v>
      </c>
      <c r="I59" s="30">
        <f>MOD($E7+I$56,$E$1)</f>
        <v>5</v>
      </c>
      <c r="K59" s="30">
        <f>MOD($E7+K$56,$E$1)</f>
        <v>3</v>
      </c>
      <c r="M59" s="30">
        <f>MOD($E7+M$56,$E$1)</f>
        <v>5</v>
      </c>
      <c r="O59" s="30">
        <f>MOD($E7+O$56,$E$1)</f>
        <v>4</v>
      </c>
      <c r="Q59" s="65">
        <f>MOD($E7+Q$56,$E$1)</f>
        <v>4</v>
      </c>
      <c r="S59" s="69">
        <f t="shared" si="12"/>
        <v>4</v>
      </c>
      <c r="T59" s="69">
        <f t="shared" si="13"/>
        <v>4</v>
      </c>
      <c r="U59" s="69">
        <f t="shared" si="14"/>
        <v>4</v>
      </c>
      <c r="V59" s="69">
        <f t="shared" si="15"/>
        <v>4</v>
      </c>
      <c r="W59" s="69">
        <f t="shared" si="16"/>
        <v>4</v>
      </c>
      <c r="X59" s="69">
        <f t="shared" si="17"/>
        <v>4</v>
      </c>
      <c r="Y59" s="69">
        <f t="shared" si="18"/>
        <v>4</v>
      </c>
      <c r="Z59" s="69">
        <f t="shared" si="19"/>
        <v>4</v>
      </c>
    </row>
    <row r="60" spans="1:26" x14ac:dyDescent="0.45">
      <c r="A60" s="271"/>
      <c r="B60" s="1">
        <v>4</v>
      </c>
      <c r="C60" s="30">
        <f>MOD($E8+C$56,$E$1)</f>
        <v>7</v>
      </c>
      <c r="E60" s="30">
        <f>MOD($E8+E$56,$E$1)</f>
        <v>7</v>
      </c>
      <c r="G60" s="30">
        <f>MOD($E8+G$56,$E$1)</f>
        <v>3</v>
      </c>
      <c r="I60" s="30">
        <f>MOD($E8+I$56,$E$1)</f>
        <v>1</v>
      </c>
      <c r="K60" s="30">
        <f>MOD($E8+K$56,$E$1)</f>
        <v>7</v>
      </c>
      <c r="M60" s="30">
        <f>MOD($E8+M$56,$E$1)</f>
        <v>1</v>
      </c>
      <c r="O60" s="30">
        <f>MOD($E8+O$56,$E$1)</f>
        <v>0</v>
      </c>
      <c r="Q60" s="65">
        <f>MOD($E8+Q$56,$E$1)</f>
        <v>0</v>
      </c>
      <c r="S60" s="69">
        <f t="shared" si="12"/>
        <v>2</v>
      </c>
      <c r="T60" s="69">
        <f t="shared" si="13"/>
        <v>2</v>
      </c>
      <c r="U60" s="69">
        <f t="shared" si="14"/>
        <v>2</v>
      </c>
      <c r="V60" s="69">
        <f t="shared" si="15"/>
        <v>2</v>
      </c>
      <c r="W60" s="69">
        <f t="shared" si="16"/>
        <v>2</v>
      </c>
      <c r="X60" s="69">
        <f t="shared" si="17"/>
        <v>2</v>
      </c>
      <c r="Y60" s="69">
        <f t="shared" si="18"/>
        <v>2</v>
      </c>
      <c r="Z60" s="69">
        <f t="shared" si="19"/>
        <v>2</v>
      </c>
    </row>
    <row r="61" spans="1:26" x14ac:dyDescent="0.45">
      <c r="A61" s="271"/>
      <c r="B61" s="1">
        <v>5</v>
      </c>
      <c r="C61" s="30">
        <f t="shared" ref="C61:C64" si="20">MOD($E9+C$56,$E$1)</f>
        <v>1</v>
      </c>
      <c r="E61" s="30">
        <f>MOD($E9+E$56,$E$1)</f>
        <v>1</v>
      </c>
      <c r="G61" s="30">
        <f>MOD($E9+G$56,$E$1)</f>
        <v>5</v>
      </c>
      <c r="I61" s="30">
        <f>MOD($E9+I$56,$E$1)</f>
        <v>3</v>
      </c>
      <c r="K61" s="30">
        <f>MOD($E9+K$56,$E$1)</f>
        <v>1</v>
      </c>
      <c r="M61" s="30">
        <f>MOD($E9+M$56,$E$1)</f>
        <v>3</v>
      </c>
      <c r="O61" s="30">
        <f>MOD($E9+O$56,$E$1)</f>
        <v>2</v>
      </c>
      <c r="Q61" s="65">
        <f>MOD($E9+Q$56,$E$1)</f>
        <v>2</v>
      </c>
      <c r="S61" s="69">
        <f t="shared" si="12"/>
        <v>4</v>
      </c>
      <c r="T61" s="69">
        <f t="shared" si="13"/>
        <v>4</v>
      </c>
      <c r="U61" s="69">
        <f t="shared" si="14"/>
        <v>4</v>
      </c>
      <c r="V61" s="69">
        <f t="shared" si="15"/>
        <v>4</v>
      </c>
      <c r="W61" s="69">
        <f t="shared" si="16"/>
        <v>4</v>
      </c>
      <c r="X61" s="69">
        <f t="shared" si="17"/>
        <v>4</v>
      </c>
      <c r="Y61" s="69">
        <f t="shared" si="18"/>
        <v>4</v>
      </c>
      <c r="Z61" s="69">
        <f t="shared" si="19"/>
        <v>4</v>
      </c>
    </row>
    <row r="62" spans="1:26" x14ac:dyDescent="0.45">
      <c r="A62" s="271"/>
      <c r="B62" s="1">
        <v>6</v>
      </c>
      <c r="C62" s="30">
        <f t="shared" si="20"/>
        <v>5</v>
      </c>
      <c r="D62">
        <v>2</v>
      </c>
      <c r="E62" s="30">
        <f t="shared" ref="E62:E64" si="21">MOD($E10+E$56,$E$1)</f>
        <v>5</v>
      </c>
      <c r="G62" s="30">
        <f t="shared" ref="G62:G64" si="22">MOD($E10+G$56,$E$1)</f>
        <v>1</v>
      </c>
      <c r="H62">
        <v>2</v>
      </c>
      <c r="I62" s="30">
        <f t="shared" ref="I62:I64" si="23">MOD($E10+I$56,$E$1)</f>
        <v>7</v>
      </c>
      <c r="K62" s="30">
        <f t="shared" ref="K62:K64" si="24">MOD($E10+K$56,$E$1)</f>
        <v>5</v>
      </c>
      <c r="M62" s="30">
        <f t="shared" ref="M62:M64" si="25">MOD($E10+M$56,$E$1)</f>
        <v>7</v>
      </c>
      <c r="O62" s="30">
        <f t="shared" ref="O62:O64" si="26">MOD($E10+O$56,$E$1)</f>
        <v>6</v>
      </c>
      <c r="Q62" s="65">
        <f t="shared" ref="Q62:Q64" si="27">MOD($E10+Q$56,$E$1)</f>
        <v>6</v>
      </c>
      <c r="S62" s="69">
        <f t="shared" si="12"/>
        <v>5</v>
      </c>
      <c r="T62" s="69">
        <f t="shared" si="13"/>
        <v>5</v>
      </c>
      <c r="U62" s="69">
        <f t="shared" si="14"/>
        <v>5</v>
      </c>
      <c r="V62" s="69">
        <f t="shared" si="15"/>
        <v>5</v>
      </c>
      <c r="W62" s="69">
        <f t="shared" si="16"/>
        <v>5</v>
      </c>
      <c r="X62" s="69">
        <f t="shared" si="17"/>
        <v>5</v>
      </c>
      <c r="Y62" s="69">
        <f t="shared" si="18"/>
        <v>5</v>
      </c>
      <c r="Z62" s="69">
        <f t="shared" si="19"/>
        <v>5</v>
      </c>
    </row>
    <row r="63" spans="1:26" x14ac:dyDescent="0.45">
      <c r="A63" s="271"/>
      <c r="B63" s="1">
        <v>7</v>
      </c>
      <c r="C63" s="30">
        <f t="shared" si="20"/>
        <v>2</v>
      </c>
      <c r="E63" s="30">
        <f t="shared" si="21"/>
        <v>2</v>
      </c>
      <c r="G63" s="30">
        <f t="shared" si="22"/>
        <v>6</v>
      </c>
      <c r="I63" s="30">
        <f t="shared" si="23"/>
        <v>4</v>
      </c>
      <c r="K63" s="30">
        <f t="shared" si="24"/>
        <v>2</v>
      </c>
      <c r="M63" s="30">
        <f t="shared" si="25"/>
        <v>4</v>
      </c>
      <c r="O63" s="30">
        <f t="shared" si="26"/>
        <v>3</v>
      </c>
      <c r="Q63" s="65">
        <f t="shared" si="27"/>
        <v>3</v>
      </c>
      <c r="S63" s="69">
        <f t="shared" si="12"/>
        <v>4</v>
      </c>
      <c r="T63" s="69">
        <f t="shared" si="13"/>
        <v>4</v>
      </c>
      <c r="U63" s="69">
        <f t="shared" si="14"/>
        <v>4</v>
      </c>
      <c r="V63" s="69">
        <f t="shared" si="15"/>
        <v>4</v>
      </c>
      <c r="W63" s="69">
        <f t="shared" si="16"/>
        <v>4</v>
      </c>
      <c r="X63" s="69">
        <f t="shared" si="17"/>
        <v>4</v>
      </c>
      <c r="Y63" s="69">
        <f t="shared" si="18"/>
        <v>4</v>
      </c>
      <c r="Z63" s="69">
        <f t="shared" si="19"/>
        <v>4</v>
      </c>
    </row>
    <row r="64" spans="1:26" x14ac:dyDescent="0.45">
      <c r="A64" s="278"/>
      <c r="B64" s="1">
        <v>8</v>
      </c>
      <c r="C64" s="30">
        <f t="shared" si="20"/>
        <v>6</v>
      </c>
      <c r="E64" s="30">
        <f t="shared" si="21"/>
        <v>6</v>
      </c>
      <c r="G64" s="30">
        <f t="shared" si="22"/>
        <v>2</v>
      </c>
      <c r="I64" s="30">
        <f t="shared" si="23"/>
        <v>0</v>
      </c>
      <c r="K64" s="30">
        <f t="shared" si="24"/>
        <v>6</v>
      </c>
      <c r="M64" s="30">
        <f t="shared" si="25"/>
        <v>0</v>
      </c>
      <c r="O64" s="30">
        <f t="shared" si="26"/>
        <v>7</v>
      </c>
      <c r="Q64" s="65">
        <f t="shared" si="27"/>
        <v>7</v>
      </c>
      <c r="S64" s="69">
        <f>MOD(ABS(C57+8-C64), $E$1)</f>
        <v>6</v>
      </c>
      <c r="T64" s="69">
        <f>MOD(ABS(E57+8-E64), $E$1)</f>
        <v>6</v>
      </c>
      <c r="U64" s="69">
        <f>MOD(ABS(G57+8-G64), $E$1)</f>
        <v>6</v>
      </c>
      <c r="V64" s="69">
        <f>MOD(ABS(I57+8-I64), $E$1)</f>
        <v>6</v>
      </c>
      <c r="W64" s="69">
        <f>MOD(ABS(K57+8-K64), $E$1)</f>
        <v>6</v>
      </c>
      <c r="X64" s="69">
        <f>MOD(ABS(M57+8-M64), $E$1)</f>
        <v>6</v>
      </c>
      <c r="Y64" s="69">
        <f>MOD(ABS(O57+8-O64), $E$1)</f>
        <v>6</v>
      </c>
      <c r="Z64" s="69">
        <f>MOD(ABS(Q57+8-Q64), $E$1)</f>
        <v>6</v>
      </c>
    </row>
    <row r="65" spans="1:26" ht="51" x14ac:dyDescent="0.45">
      <c r="A65" s="273" t="s">
        <v>18</v>
      </c>
      <c r="B65" s="70" t="s">
        <v>142</v>
      </c>
      <c r="C65" s="48">
        <f t="shared" ref="C65" si="28">C46</f>
        <v>2</v>
      </c>
      <c r="E65" s="48">
        <f>D46</f>
        <v>7</v>
      </c>
      <c r="G65" s="48">
        <f>E46</f>
        <v>7</v>
      </c>
      <c r="I65" s="48">
        <f>F46</f>
        <v>1</v>
      </c>
      <c r="K65" s="48">
        <f>G46</f>
        <v>3</v>
      </c>
      <c r="M65" s="48">
        <f>H46</f>
        <v>1</v>
      </c>
      <c r="O65" s="48">
        <f>I46</f>
        <v>7</v>
      </c>
      <c r="Q65" s="48">
        <f>J46</f>
        <v>7</v>
      </c>
    </row>
    <row r="66" spans="1:26" x14ac:dyDescent="0.45">
      <c r="A66" s="274"/>
      <c r="B66" s="1">
        <v>1</v>
      </c>
      <c r="C66" s="30">
        <f t="shared" ref="C66:C69" si="29">MOD($E5+C$65,$E$1)</f>
        <v>1</v>
      </c>
      <c r="E66" s="30">
        <f>MOD($E5+E$65,$E$1)</f>
        <v>6</v>
      </c>
      <c r="G66" s="30">
        <f>MOD($E5+G$65,$E$1)</f>
        <v>6</v>
      </c>
      <c r="I66" s="30">
        <f>MOD($E5+I$65,$E$1)</f>
        <v>0</v>
      </c>
      <c r="K66" s="30">
        <f>MOD($E5+K$65,$E$1)</f>
        <v>2</v>
      </c>
      <c r="M66" s="30">
        <f>MOD($E5+M$65,$E$1)</f>
        <v>0</v>
      </c>
      <c r="O66" s="30">
        <f>MOD($E5+O$65,$E$1)</f>
        <v>6</v>
      </c>
      <c r="Q66" s="65">
        <f>MOD($E5+Q$65,$E$1)</f>
        <v>6</v>
      </c>
      <c r="S66" s="69">
        <f t="shared" ref="S66:S72" si="30">MOD(ABS(C67+8-C66),$E$1)</f>
        <v>4</v>
      </c>
      <c r="T66" s="69">
        <f t="shared" ref="T66:T72" si="31">MOD(ABS(E67+8-E66),$E$1)</f>
        <v>4</v>
      </c>
      <c r="U66" s="69">
        <f t="shared" ref="U66:U72" si="32">MOD(ABS(G67+8-G66),$E$1)</f>
        <v>4</v>
      </c>
      <c r="V66" s="69">
        <f t="shared" ref="V66:V72" si="33">MOD(ABS(I67+8-I66),$E$1)</f>
        <v>4</v>
      </c>
      <c r="W66" s="69">
        <f t="shared" ref="W66:W72" si="34">MOD(ABS(K67+8-K66),$E$1)</f>
        <v>4</v>
      </c>
      <c r="X66" s="69">
        <f t="shared" ref="X66:X72" si="35">MOD(ABS(M67+8-M66),$E$1)</f>
        <v>4</v>
      </c>
      <c r="Y66" s="69">
        <f t="shared" ref="Y66:Y72" si="36">MOD(ABS(O67+8-O66),$E$1)</f>
        <v>4</v>
      </c>
      <c r="Z66" s="69">
        <f t="shared" ref="Z66:Z72" si="37">MOD(ABS(Q67+8-Q66),$E$1)</f>
        <v>4</v>
      </c>
    </row>
    <row r="67" spans="1:26" x14ac:dyDescent="0.45">
      <c r="A67" s="274"/>
      <c r="B67" s="1">
        <v>2</v>
      </c>
      <c r="C67" s="30">
        <f t="shared" si="29"/>
        <v>5</v>
      </c>
      <c r="D67">
        <v>5</v>
      </c>
      <c r="E67" s="30">
        <f>MOD($E6+E$65,$E$1)</f>
        <v>2</v>
      </c>
      <c r="G67" s="30">
        <f>MOD($E6+G$65,$E$1)</f>
        <v>2</v>
      </c>
      <c r="I67" s="30">
        <f>MOD($E6+I$65,$E$1)</f>
        <v>4</v>
      </c>
      <c r="K67" s="30">
        <f>MOD($E6+K$65,$E$1)</f>
        <v>6</v>
      </c>
      <c r="M67" s="30">
        <f>MOD($E6+M$65,$E$1)</f>
        <v>4</v>
      </c>
      <c r="O67" s="30">
        <f>MOD($E6+O$65,$E$1)</f>
        <v>2</v>
      </c>
      <c r="Q67" s="65">
        <f>MOD($E6+Q$65,$E$1)</f>
        <v>2</v>
      </c>
      <c r="S67" s="69">
        <f t="shared" si="30"/>
        <v>3</v>
      </c>
      <c r="T67" s="69">
        <f t="shared" si="31"/>
        <v>3</v>
      </c>
      <c r="U67" s="69">
        <f t="shared" si="32"/>
        <v>3</v>
      </c>
      <c r="V67" s="69">
        <f t="shared" si="33"/>
        <v>3</v>
      </c>
      <c r="W67" s="69">
        <f t="shared" si="34"/>
        <v>3</v>
      </c>
      <c r="X67" s="69">
        <f t="shared" si="35"/>
        <v>3</v>
      </c>
      <c r="Y67" s="69">
        <f t="shared" si="36"/>
        <v>3</v>
      </c>
      <c r="Z67" s="69">
        <f t="shared" si="37"/>
        <v>3</v>
      </c>
    </row>
    <row r="68" spans="1:26" x14ac:dyDescent="0.45">
      <c r="A68" s="274"/>
      <c r="B68" s="1">
        <v>3</v>
      </c>
      <c r="C68" s="30">
        <f t="shared" si="29"/>
        <v>0</v>
      </c>
      <c r="E68" s="30">
        <f>MOD($E7+E$65,$E$1)</f>
        <v>5</v>
      </c>
      <c r="G68" s="30">
        <f>MOD($E7+G$65,$E$1)</f>
        <v>5</v>
      </c>
      <c r="I68" s="30">
        <f>MOD($E7+I$65,$E$1)</f>
        <v>7</v>
      </c>
      <c r="K68" s="30">
        <f>MOD($E7+K$65,$E$1)</f>
        <v>1</v>
      </c>
      <c r="M68" s="30">
        <f>MOD($E7+M$65,$E$1)</f>
        <v>7</v>
      </c>
      <c r="O68" s="30">
        <f>MOD($E7+O$65,$E$1)</f>
        <v>5</v>
      </c>
      <c r="Q68" s="65">
        <f>MOD($E7+Q$65,$E$1)</f>
        <v>5</v>
      </c>
      <c r="S68" s="69">
        <f t="shared" si="30"/>
        <v>4</v>
      </c>
      <c r="T68" s="69">
        <f t="shared" si="31"/>
        <v>4</v>
      </c>
      <c r="U68" s="69">
        <f t="shared" si="32"/>
        <v>4</v>
      </c>
      <c r="V68" s="69">
        <f t="shared" si="33"/>
        <v>4</v>
      </c>
      <c r="W68" s="69">
        <f t="shared" si="34"/>
        <v>4</v>
      </c>
      <c r="X68" s="69">
        <f t="shared" si="35"/>
        <v>4</v>
      </c>
      <c r="Y68" s="69">
        <f t="shared" si="36"/>
        <v>4</v>
      </c>
      <c r="Z68" s="69">
        <f t="shared" si="37"/>
        <v>4</v>
      </c>
    </row>
    <row r="69" spans="1:26" x14ac:dyDescent="0.45">
      <c r="A69" s="274"/>
      <c r="B69" s="1">
        <v>4</v>
      </c>
      <c r="C69" s="30">
        <f t="shared" si="29"/>
        <v>4</v>
      </c>
      <c r="E69" s="30">
        <f>MOD($E8+E$65,$E$1)</f>
        <v>1</v>
      </c>
      <c r="G69" s="30">
        <f>MOD($E8+G$65,$E$1)</f>
        <v>1</v>
      </c>
      <c r="I69" s="30">
        <f>MOD($E8+I$65,$E$1)</f>
        <v>3</v>
      </c>
      <c r="K69" s="30">
        <f>MOD($E8+K$65,$E$1)</f>
        <v>5</v>
      </c>
      <c r="M69" s="30">
        <f>MOD($E8+M$65,$E$1)</f>
        <v>3</v>
      </c>
      <c r="O69" s="30">
        <f>MOD($E8+O$65,$E$1)</f>
        <v>1</v>
      </c>
      <c r="Q69" s="65">
        <f>MOD($E8+Q$65,$E$1)</f>
        <v>1</v>
      </c>
      <c r="S69" s="69">
        <f t="shared" si="30"/>
        <v>2</v>
      </c>
      <c r="T69" s="69">
        <f t="shared" si="31"/>
        <v>2</v>
      </c>
      <c r="U69" s="69">
        <f t="shared" si="32"/>
        <v>2</v>
      </c>
      <c r="V69" s="69">
        <f t="shared" si="33"/>
        <v>2</v>
      </c>
      <c r="W69" s="69">
        <f t="shared" si="34"/>
        <v>2</v>
      </c>
      <c r="X69" s="69">
        <f t="shared" si="35"/>
        <v>2</v>
      </c>
      <c r="Y69" s="69">
        <f t="shared" si="36"/>
        <v>2</v>
      </c>
      <c r="Z69" s="69">
        <f t="shared" si="37"/>
        <v>2</v>
      </c>
    </row>
    <row r="70" spans="1:26" x14ac:dyDescent="0.45">
      <c r="A70" s="274"/>
      <c r="B70" s="1">
        <v>5</v>
      </c>
      <c r="C70" s="30">
        <f t="shared" ref="C70:C73" si="38">MOD($E9+C$65,$E$1)</f>
        <v>6</v>
      </c>
      <c r="D70">
        <v>6</v>
      </c>
      <c r="E70" s="30">
        <f>MOD($E9+E$65,$E$1)</f>
        <v>3</v>
      </c>
      <c r="G70" s="30">
        <f>MOD($E9+G$65,$E$1)</f>
        <v>3</v>
      </c>
      <c r="I70" s="30">
        <f>MOD($E9+I$65,$E$1)</f>
        <v>5</v>
      </c>
      <c r="K70" s="30">
        <f>MOD($E9+K$65,$E$1)</f>
        <v>7</v>
      </c>
      <c r="M70" s="30">
        <f>MOD($E9+M$65,$E$1)</f>
        <v>5</v>
      </c>
      <c r="O70" s="30">
        <f>MOD($E9+O$65,$E$1)</f>
        <v>3</v>
      </c>
      <c r="Q70" s="65">
        <f>MOD($E9+Q$65,$E$1)</f>
        <v>3</v>
      </c>
      <c r="S70" s="69">
        <f t="shared" si="30"/>
        <v>4</v>
      </c>
      <c r="T70" s="69">
        <f t="shared" si="31"/>
        <v>4</v>
      </c>
      <c r="U70" s="69">
        <f t="shared" si="32"/>
        <v>4</v>
      </c>
      <c r="V70" s="69">
        <f t="shared" si="33"/>
        <v>4</v>
      </c>
      <c r="W70" s="69">
        <f t="shared" si="34"/>
        <v>4</v>
      </c>
      <c r="X70" s="69">
        <f t="shared" si="35"/>
        <v>4</v>
      </c>
      <c r="Y70" s="69">
        <f t="shared" si="36"/>
        <v>4</v>
      </c>
      <c r="Z70" s="69">
        <f t="shared" si="37"/>
        <v>4</v>
      </c>
    </row>
    <row r="71" spans="1:26" x14ac:dyDescent="0.45">
      <c r="A71" s="274"/>
      <c r="B71" s="1">
        <v>6</v>
      </c>
      <c r="C71" s="30">
        <f t="shared" si="38"/>
        <v>2</v>
      </c>
      <c r="E71" s="30">
        <f t="shared" ref="E71:E73" si="39">MOD($E10+E$65,$E$1)</f>
        <v>7</v>
      </c>
      <c r="G71" s="30">
        <f t="shared" ref="G71:G73" si="40">MOD($E10+G$65,$E$1)</f>
        <v>7</v>
      </c>
      <c r="I71" s="30">
        <f t="shared" ref="I71:I73" si="41">MOD($E10+I$65,$E$1)</f>
        <v>1</v>
      </c>
      <c r="K71" s="30">
        <f t="shared" ref="K71:K73" si="42">MOD($E10+K$65,$E$1)</f>
        <v>3</v>
      </c>
      <c r="M71" s="30">
        <f t="shared" ref="M71:M73" si="43">MOD($E10+M$65,$E$1)</f>
        <v>1</v>
      </c>
      <c r="O71" s="30">
        <f t="shared" ref="O71:O73" si="44">MOD($E10+O$65,$E$1)</f>
        <v>7</v>
      </c>
      <c r="Q71" s="65">
        <f t="shared" ref="Q71:Q73" si="45">MOD($E10+Q$65,$E$1)</f>
        <v>7</v>
      </c>
      <c r="S71" s="69">
        <f t="shared" si="30"/>
        <v>5</v>
      </c>
      <c r="T71" s="69">
        <f t="shared" si="31"/>
        <v>5</v>
      </c>
      <c r="U71" s="69">
        <f t="shared" si="32"/>
        <v>5</v>
      </c>
      <c r="V71" s="69">
        <f t="shared" si="33"/>
        <v>5</v>
      </c>
      <c r="W71" s="69">
        <f t="shared" si="34"/>
        <v>5</v>
      </c>
      <c r="X71" s="69">
        <f t="shared" si="35"/>
        <v>5</v>
      </c>
      <c r="Y71" s="69">
        <f t="shared" si="36"/>
        <v>5</v>
      </c>
      <c r="Z71" s="69">
        <f t="shared" si="37"/>
        <v>5</v>
      </c>
    </row>
    <row r="72" spans="1:26" x14ac:dyDescent="0.45">
      <c r="A72" s="274"/>
      <c r="B72" s="1">
        <v>7</v>
      </c>
      <c r="C72" s="30">
        <f t="shared" si="38"/>
        <v>7</v>
      </c>
      <c r="E72" s="30">
        <f t="shared" si="39"/>
        <v>4</v>
      </c>
      <c r="G72" s="30">
        <f t="shared" si="40"/>
        <v>4</v>
      </c>
      <c r="I72" s="30">
        <f t="shared" si="41"/>
        <v>6</v>
      </c>
      <c r="K72" s="30">
        <f t="shared" si="42"/>
        <v>0</v>
      </c>
      <c r="M72" s="30">
        <f t="shared" si="43"/>
        <v>6</v>
      </c>
      <c r="O72" s="30">
        <f t="shared" si="44"/>
        <v>4</v>
      </c>
      <c r="Q72" s="65">
        <f t="shared" si="45"/>
        <v>4</v>
      </c>
      <c r="S72" s="69">
        <f t="shared" si="30"/>
        <v>4</v>
      </c>
      <c r="T72" s="69">
        <f t="shared" si="31"/>
        <v>4</v>
      </c>
      <c r="U72" s="69">
        <f t="shared" si="32"/>
        <v>4</v>
      </c>
      <c r="V72" s="69">
        <f t="shared" si="33"/>
        <v>4</v>
      </c>
      <c r="W72" s="69">
        <f t="shared" si="34"/>
        <v>4</v>
      </c>
      <c r="X72" s="69">
        <f t="shared" si="35"/>
        <v>4</v>
      </c>
      <c r="Y72" s="69">
        <f t="shared" si="36"/>
        <v>4</v>
      </c>
      <c r="Z72" s="69">
        <f t="shared" si="37"/>
        <v>4</v>
      </c>
    </row>
    <row r="73" spans="1:26" x14ac:dyDescent="0.45">
      <c r="A73" s="275"/>
      <c r="B73" s="1">
        <v>8</v>
      </c>
      <c r="C73" s="30">
        <f t="shared" si="38"/>
        <v>3</v>
      </c>
      <c r="E73" s="30">
        <f t="shared" si="39"/>
        <v>0</v>
      </c>
      <c r="G73" s="30">
        <f t="shared" si="40"/>
        <v>0</v>
      </c>
      <c r="I73" s="30">
        <f t="shared" si="41"/>
        <v>2</v>
      </c>
      <c r="K73" s="30">
        <f t="shared" si="42"/>
        <v>4</v>
      </c>
      <c r="M73" s="30">
        <f t="shared" si="43"/>
        <v>2</v>
      </c>
      <c r="O73" s="30">
        <f t="shared" si="44"/>
        <v>0</v>
      </c>
      <c r="Q73" s="65">
        <f t="shared" si="45"/>
        <v>0</v>
      </c>
      <c r="S73" s="69">
        <f>MOD(ABS(C66+8-C73), $E$1)</f>
        <v>6</v>
      </c>
      <c r="T73" s="69">
        <f>MOD(ABS(E66+8-E73), $E$1)</f>
        <v>6</v>
      </c>
      <c r="U73" s="69">
        <f>MOD(ABS(G66+8-G73), $E$1)</f>
        <v>6</v>
      </c>
      <c r="V73" s="69">
        <f>MOD(ABS(I66+8-I73), $E$1)</f>
        <v>6</v>
      </c>
      <c r="W73" s="69">
        <f>MOD(ABS(K66+8-K73), $E$1)</f>
        <v>6</v>
      </c>
      <c r="X73" s="69">
        <f>MOD(ABS(M66+8-M73), $E$1)</f>
        <v>6</v>
      </c>
      <c r="Y73" s="69">
        <f>MOD(ABS(O66+8-O73), $E$1)</f>
        <v>6</v>
      </c>
      <c r="Z73" s="69">
        <f t="shared" ref="Z73" si="46">MOD(ABS(Q66+8-Q73), $E$1)</f>
        <v>6</v>
      </c>
    </row>
    <row r="74" spans="1:26" ht="51" x14ac:dyDescent="0.45">
      <c r="A74" s="273" t="s">
        <v>55</v>
      </c>
      <c r="B74" s="70" t="s">
        <v>142</v>
      </c>
      <c r="C74" s="66">
        <f t="shared" ref="C74" si="47">C47</f>
        <v>6</v>
      </c>
      <c r="E74" s="66">
        <f>D47</f>
        <v>0</v>
      </c>
      <c r="G74" s="66">
        <f>E47</f>
        <v>3</v>
      </c>
      <c r="I74" s="66">
        <f>F47</f>
        <v>3</v>
      </c>
      <c r="K74" s="66">
        <f>G47</f>
        <v>4</v>
      </c>
      <c r="M74" s="66">
        <f>H47</f>
        <v>2</v>
      </c>
      <c r="O74" s="66">
        <f>I47</f>
        <v>1</v>
      </c>
      <c r="Q74" s="66">
        <f>J47</f>
        <v>1</v>
      </c>
    </row>
    <row r="75" spans="1:26" x14ac:dyDescent="0.45">
      <c r="A75" s="274"/>
      <c r="B75" s="1">
        <v>1</v>
      </c>
      <c r="C75" s="30">
        <f t="shared" ref="C75:C78" si="48">MOD($E5+C$74,$E$1)</f>
        <v>5</v>
      </c>
      <c r="E75" s="30">
        <f>MOD($E5+E$74,$E$1)</f>
        <v>7</v>
      </c>
      <c r="G75" s="30">
        <f>MOD($E5+G$74,$E$1)</f>
        <v>2</v>
      </c>
      <c r="I75" s="30">
        <f>MOD($E5+I$74,$E$1)</f>
        <v>2</v>
      </c>
      <c r="K75" s="30">
        <f>MOD($E5+K$74,$E$1)</f>
        <v>3</v>
      </c>
      <c r="M75" s="30">
        <f>MOD($E5+M$74,$E$1)</f>
        <v>1</v>
      </c>
      <c r="O75" s="30">
        <f>MOD($E5+O$65,$E$1)</f>
        <v>6</v>
      </c>
      <c r="Q75" s="65">
        <f>MOD($E5+Q$74,$E$1)</f>
        <v>0</v>
      </c>
      <c r="S75" s="69">
        <f t="shared" ref="S75:S81" si="49">MOD(ABS(C76+8-C75),$E$1)</f>
        <v>4</v>
      </c>
      <c r="T75" s="69">
        <f t="shared" ref="T75:T81" si="50">MOD(ABS(E76+8-E75),$E$1)</f>
        <v>4</v>
      </c>
      <c r="U75" s="69">
        <f t="shared" ref="U75:U81" si="51">MOD(ABS(G76+8-G75),$E$1)</f>
        <v>4</v>
      </c>
      <c r="V75" s="69">
        <f t="shared" ref="V75:V81" si="52">MOD(ABS(I76+8-I75),$E$1)</f>
        <v>4</v>
      </c>
      <c r="W75" s="69">
        <f t="shared" ref="W75:W81" si="53">MOD(ABS(K76+8-K75),$E$1)</f>
        <v>4</v>
      </c>
      <c r="X75" s="69">
        <f t="shared" ref="X75:X81" si="54">MOD(ABS(M76+8-M75),$E$1)</f>
        <v>4</v>
      </c>
      <c r="Y75" s="69">
        <f t="shared" ref="Y75:Y81" si="55">MOD(ABS(O76+8-O75),$E$1)</f>
        <v>4</v>
      </c>
      <c r="Z75" s="69">
        <f t="shared" ref="Z75:Z81" si="56">MOD(ABS(Q76+8-Q75),$E$1)</f>
        <v>4</v>
      </c>
    </row>
    <row r="76" spans="1:26" x14ac:dyDescent="0.45">
      <c r="A76" s="274"/>
      <c r="B76" s="1">
        <v>2</v>
      </c>
      <c r="C76" s="30">
        <f t="shared" si="48"/>
        <v>1</v>
      </c>
      <c r="E76" s="30">
        <f>MOD($E6+E$74,$E$1)</f>
        <v>3</v>
      </c>
      <c r="G76" s="30">
        <f>MOD($E6+G$74,$E$1)</f>
        <v>6</v>
      </c>
      <c r="I76" s="30">
        <f>MOD($E6+I$74,$E$1)</f>
        <v>6</v>
      </c>
      <c r="K76" s="30">
        <f>MOD($E6+K$74,$E$1)</f>
        <v>7</v>
      </c>
      <c r="M76" s="30">
        <f>MOD($E6+M$74,$E$1)</f>
        <v>5</v>
      </c>
      <c r="O76" s="30">
        <f>MOD($E6+O$65,$E$1)</f>
        <v>2</v>
      </c>
      <c r="Q76" s="65">
        <f>MOD($E6+Q$74,$E$1)</f>
        <v>4</v>
      </c>
      <c r="S76" s="69">
        <f t="shared" si="49"/>
        <v>3</v>
      </c>
      <c r="T76" s="69">
        <f t="shared" si="50"/>
        <v>3</v>
      </c>
      <c r="U76" s="69">
        <f t="shared" si="51"/>
        <v>3</v>
      </c>
      <c r="V76" s="69">
        <f t="shared" si="52"/>
        <v>3</v>
      </c>
      <c r="W76" s="69">
        <f t="shared" si="53"/>
        <v>3</v>
      </c>
      <c r="X76" s="69">
        <f t="shared" si="54"/>
        <v>3</v>
      </c>
      <c r="Y76" s="69">
        <f t="shared" si="55"/>
        <v>3</v>
      </c>
      <c r="Z76" s="69">
        <f t="shared" si="56"/>
        <v>3</v>
      </c>
    </row>
    <row r="77" spans="1:26" x14ac:dyDescent="0.45">
      <c r="A77" s="274"/>
      <c r="B77" s="1">
        <v>3</v>
      </c>
      <c r="C77" s="30">
        <f>MOD($E7+C$74,$E$1)</f>
        <v>4</v>
      </c>
      <c r="E77" s="30">
        <f>MOD($E7+E$74,$E$1)</f>
        <v>6</v>
      </c>
      <c r="G77" s="30">
        <f>MOD($E7+G$74,$E$1)</f>
        <v>1</v>
      </c>
      <c r="I77" s="30">
        <f>MOD($E7+I$74,$E$1)</f>
        <v>1</v>
      </c>
      <c r="K77" s="30">
        <f>MOD($E7+K$74,$E$1)</f>
        <v>2</v>
      </c>
      <c r="M77" s="30">
        <f>MOD($E7+M$74,$E$1)</f>
        <v>0</v>
      </c>
      <c r="O77" s="30">
        <f>MOD($E7+O$65,$E$1)</f>
        <v>5</v>
      </c>
      <c r="Q77" s="65">
        <f>MOD($E7+Q$74,$E$1)</f>
        <v>7</v>
      </c>
      <c r="S77" s="69">
        <f t="shared" si="49"/>
        <v>4</v>
      </c>
      <c r="T77" s="69">
        <f t="shared" si="50"/>
        <v>4</v>
      </c>
      <c r="U77" s="69">
        <f t="shared" si="51"/>
        <v>4</v>
      </c>
      <c r="V77" s="69">
        <f t="shared" si="52"/>
        <v>4</v>
      </c>
      <c r="W77" s="69">
        <f t="shared" si="53"/>
        <v>4</v>
      </c>
      <c r="X77" s="69">
        <f t="shared" si="54"/>
        <v>4</v>
      </c>
      <c r="Y77" s="69">
        <f t="shared" si="55"/>
        <v>4</v>
      </c>
      <c r="Z77" s="69">
        <f t="shared" si="56"/>
        <v>4</v>
      </c>
    </row>
    <row r="78" spans="1:26" x14ac:dyDescent="0.45">
      <c r="A78" s="274"/>
      <c r="B78" s="1">
        <v>4</v>
      </c>
      <c r="C78" s="30">
        <f t="shared" si="48"/>
        <v>0</v>
      </c>
      <c r="E78" s="30">
        <f>MOD($E8+E$74,$E$1)</f>
        <v>2</v>
      </c>
      <c r="G78" s="30">
        <f>MOD($E8+G$74,$E$1)</f>
        <v>5</v>
      </c>
      <c r="I78" s="30">
        <f>MOD($E8+I$74,$E$1)</f>
        <v>5</v>
      </c>
      <c r="K78" s="30">
        <f>MOD($E8+K$74,$E$1)</f>
        <v>6</v>
      </c>
      <c r="M78" s="30">
        <f>MOD($E8+M$74,$E$1)</f>
        <v>4</v>
      </c>
      <c r="O78" s="30">
        <f>MOD($E8+O$65,$E$1)</f>
        <v>1</v>
      </c>
      <c r="Q78" s="65">
        <f>MOD($E8+Q$74,$E$1)</f>
        <v>3</v>
      </c>
      <c r="S78" s="69">
        <f t="shared" si="49"/>
        <v>2</v>
      </c>
      <c r="T78" s="69">
        <f t="shared" si="50"/>
        <v>2</v>
      </c>
      <c r="U78" s="69">
        <f t="shared" si="51"/>
        <v>2</v>
      </c>
      <c r="V78" s="69">
        <f t="shared" si="52"/>
        <v>2</v>
      </c>
      <c r="W78" s="69">
        <f t="shared" si="53"/>
        <v>2</v>
      </c>
      <c r="X78" s="69">
        <f t="shared" si="54"/>
        <v>2</v>
      </c>
      <c r="Y78" s="69">
        <f t="shared" si="55"/>
        <v>2</v>
      </c>
      <c r="Z78" s="69">
        <f t="shared" si="56"/>
        <v>2</v>
      </c>
    </row>
    <row r="79" spans="1:26" x14ac:dyDescent="0.45">
      <c r="A79" s="274"/>
      <c r="B79" s="1">
        <v>5</v>
      </c>
      <c r="C79" s="30">
        <f t="shared" ref="C79:C82" si="57">MOD($E9+C$74,$E$1)</f>
        <v>2</v>
      </c>
      <c r="E79" s="30">
        <f>MOD($E9+E$74,$E$1)</f>
        <v>4</v>
      </c>
      <c r="G79" s="30">
        <f>MOD($E9+G$74,$E$1)</f>
        <v>7</v>
      </c>
      <c r="I79" s="30">
        <f>MOD($E9+I$74,$E$1)</f>
        <v>7</v>
      </c>
      <c r="K79" s="30">
        <f>MOD($E9+K$74,$E$1)</f>
        <v>0</v>
      </c>
      <c r="M79" s="30">
        <f>MOD($E9+M$74,$E$1)</f>
        <v>6</v>
      </c>
      <c r="O79" s="30">
        <f>MOD($E9+O$65,$E$1)</f>
        <v>3</v>
      </c>
      <c r="Q79" s="65">
        <f>MOD($E9+Q$74,$E$1)</f>
        <v>5</v>
      </c>
      <c r="S79" s="69">
        <f t="shared" si="49"/>
        <v>4</v>
      </c>
      <c r="T79" s="69">
        <f t="shared" si="50"/>
        <v>4</v>
      </c>
      <c r="U79" s="69">
        <f t="shared" si="51"/>
        <v>4</v>
      </c>
      <c r="V79" s="69">
        <f t="shared" si="52"/>
        <v>4</v>
      </c>
      <c r="W79" s="69">
        <f t="shared" si="53"/>
        <v>4</v>
      </c>
      <c r="X79" s="69">
        <f t="shared" si="54"/>
        <v>4</v>
      </c>
      <c r="Y79" s="69">
        <f t="shared" si="55"/>
        <v>4</v>
      </c>
      <c r="Z79" s="69">
        <f t="shared" si="56"/>
        <v>4</v>
      </c>
    </row>
    <row r="80" spans="1:26" x14ac:dyDescent="0.45">
      <c r="A80" s="274"/>
      <c r="B80" s="1">
        <v>6</v>
      </c>
      <c r="C80" s="30">
        <f t="shared" si="57"/>
        <v>6</v>
      </c>
      <c r="E80" s="30">
        <f t="shared" ref="E80:E82" si="58">MOD($E10+E$74,$E$1)</f>
        <v>0</v>
      </c>
      <c r="G80" s="30">
        <f t="shared" ref="G80:G82" si="59">MOD($E10+G$74,$E$1)</f>
        <v>3</v>
      </c>
      <c r="I80" s="30">
        <f t="shared" ref="I80:I82" si="60">MOD($E10+I$74,$E$1)</f>
        <v>3</v>
      </c>
      <c r="K80" s="30">
        <f t="shared" ref="K80:K82" si="61">MOD($E10+K$74,$E$1)</f>
        <v>4</v>
      </c>
      <c r="M80" s="30">
        <f t="shared" ref="M80:M82" si="62">MOD($E10+M$74,$E$1)</f>
        <v>2</v>
      </c>
      <c r="O80" s="30">
        <f t="shared" ref="O80:O82" si="63">MOD($E10+O$65,$E$1)</f>
        <v>7</v>
      </c>
      <c r="Q80" s="65">
        <f t="shared" ref="Q80:Q82" si="64">MOD($E10+Q$74,$E$1)</f>
        <v>1</v>
      </c>
      <c r="S80" s="69">
        <f t="shared" si="49"/>
        <v>5</v>
      </c>
      <c r="T80" s="69">
        <f t="shared" si="50"/>
        <v>5</v>
      </c>
      <c r="U80" s="69">
        <f t="shared" si="51"/>
        <v>5</v>
      </c>
      <c r="V80" s="69">
        <f t="shared" si="52"/>
        <v>5</v>
      </c>
      <c r="W80" s="69">
        <f t="shared" si="53"/>
        <v>5</v>
      </c>
      <c r="X80" s="69">
        <f t="shared" si="54"/>
        <v>5</v>
      </c>
      <c r="Y80" s="69">
        <f t="shared" si="55"/>
        <v>5</v>
      </c>
      <c r="Z80" s="69">
        <f t="shared" si="56"/>
        <v>5</v>
      </c>
    </row>
    <row r="81" spans="1:26" x14ac:dyDescent="0.45">
      <c r="A81" s="274"/>
      <c r="B81" s="1">
        <v>7</v>
      </c>
      <c r="C81" s="30">
        <f t="shared" si="57"/>
        <v>3</v>
      </c>
      <c r="E81" s="30">
        <f t="shared" si="58"/>
        <v>5</v>
      </c>
      <c r="G81" s="30">
        <f t="shared" si="59"/>
        <v>0</v>
      </c>
      <c r="I81" s="30">
        <f t="shared" si="60"/>
        <v>0</v>
      </c>
      <c r="K81" s="30">
        <f t="shared" si="61"/>
        <v>1</v>
      </c>
      <c r="M81" s="30">
        <f t="shared" si="62"/>
        <v>7</v>
      </c>
      <c r="O81" s="30">
        <f t="shared" si="63"/>
        <v>4</v>
      </c>
      <c r="Q81" s="65">
        <f t="shared" si="64"/>
        <v>6</v>
      </c>
      <c r="S81" s="69">
        <f t="shared" si="49"/>
        <v>4</v>
      </c>
      <c r="T81" s="69">
        <f t="shared" si="50"/>
        <v>4</v>
      </c>
      <c r="U81" s="69">
        <f t="shared" si="51"/>
        <v>4</v>
      </c>
      <c r="V81" s="69">
        <f t="shared" si="52"/>
        <v>4</v>
      </c>
      <c r="W81" s="69">
        <f t="shared" si="53"/>
        <v>4</v>
      </c>
      <c r="X81" s="69">
        <f t="shared" si="54"/>
        <v>4</v>
      </c>
      <c r="Y81" s="69">
        <f t="shared" si="55"/>
        <v>4</v>
      </c>
      <c r="Z81" s="69">
        <f t="shared" si="56"/>
        <v>4</v>
      </c>
    </row>
    <row r="82" spans="1:26" x14ac:dyDescent="0.45">
      <c r="A82" s="275"/>
      <c r="B82" s="1">
        <v>8</v>
      </c>
      <c r="C82" s="30">
        <f t="shared" si="57"/>
        <v>7</v>
      </c>
      <c r="D82">
        <v>8</v>
      </c>
      <c r="E82" s="30">
        <f t="shared" si="58"/>
        <v>1</v>
      </c>
      <c r="G82" s="30">
        <f t="shared" si="59"/>
        <v>4</v>
      </c>
      <c r="I82" s="30">
        <f t="shared" si="60"/>
        <v>4</v>
      </c>
      <c r="K82" s="30">
        <f t="shared" si="61"/>
        <v>5</v>
      </c>
      <c r="M82" s="30">
        <f t="shared" si="62"/>
        <v>3</v>
      </c>
      <c r="O82" s="30">
        <f t="shared" si="63"/>
        <v>0</v>
      </c>
      <c r="Q82" s="65">
        <f t="shared" si="64"/>
        <v>2</v>
      </c>
      <c r="S82" s="69">
        <f>MOD(ABS(C75+8-C82), $E$1)</f>
        <v>6</v>
      </c>
      <c r="T82" s="69">
        <f>MOD(ABS(E75+8-E82), $E$1)</f>
        <v>6</v>
      </c>
      <c r="U82" s="69">
        <f>MOD(ABS(G75+8-G82), $E$1)</f>
        <v>6</v>
      </c>
      <c r="V82" s="69">
        <f>MOD(ABS(I75+8-I82), $E$1)</f>
        <v>6</v>
      </c>
      <c r="W82" s="69">
        <f>MOD(ABS(K75+8-K82), $E$1)</f>
        <v>6</v>
      </c>
      <c r="X82" s="69">
        <f>MOD(ABS(M75+8-M82), $E$1)</f>
        <v>6</v>
      </c>
      <c r="Y82" s="69">
        <f>MOD(ABS(O75+8-O82), $E$1)</f>
        <v>6</v>
      </c>
      <c r="Z82" s="69">
        <f t="shared" ref="Z82" si="65">MOD(ABS(Q75+8-Q82), $E$1)</f>
        <v>6</v>
      </c>
    </row>
    <row r="83" spans="1:26" ht="51" x14ac:dyDescent="0.45">
      <c r="A83" s="273" t="s">
        <v>56</v>
      </c>
      <c r="B83" s="70" t="s">
        <v>142</v>
      </c>
      <c r="C83" s="48">
        <f t="shared" ref="C83" si="66">C48</f>
        <v>1</v>
      </c>
      <c r="E83" s="48">
        <f>D48</f>
        <v>1</v>
      </c>
      <c r="G83" s="48">
        <f>E48</f>
        <v>6</v>
      </c>
      <c r="I83" s="48">
        <f>F48</f>
        <v>0</v>
      </c>
      <c r="K83" s="48">
        <f>G48</f>
        <v>1</v>
      </c>
      <c r="M83" s="48">
        <f>H48</f>
        <v>3</v>
      </c>
      <c r="O83" s="48">
        <f>I48</f>
        <v>2</v>
      </c>
      <c r="Q83" s="48">
        <f>J48</f>
        <v>5</v>
      </c>
    </row>
    <row r="84" spans="1:26" x14ac:dyDescent="0.45">
      <c r="A84" s="274"/>
      <c r="B84" s="1">
        <v>1</v>
      </c>
      <c r="C84" s="30">
        <f>MOD($E5+C$83,$E$1)</f>
        <v>0</v>
      </c>
      <c r="E84" s="30">
        <f>MOD($E5+E$83,$E$1)</f>
        <v>0</v>
      </c>
      <c r="G84" s="30">
        <f>MOD($E5+G$83,$E$1)</f>
        <v>5</v>
      </c>
      <c r="I84" s="30">
        <f>MOD($E5+I$83,$E$1)</f>
        <v>7</v>
      </c>
      <c r="K84" s="30">
        <f>MOD($E5+K$83,$E$1)</f>
        <v>0</v>
      </c>
      <c r="M84" s="30">
        <f>MOD($E5+M$83,$E$1)</f>
        <v>2</v>
      </c>
      <c r="O84" s="30">
        <f>MOD($E5+O$83,$E$1)</f>
        <v>1</v>
      </c>
      <c r="Q84" s="65">
        <f>MOD($E5+Q$83,$E$1)</f>
        <v>4</v>
      </c>
      <c r="S84" s="69">
        <f t="shared" ref="S84:S90" si="67">MOD(ABS(C85+8-C84),$E$1)</f>
        <v>4</v>
      </c>
      <c r="T84" s="69">
        <f t="shared" ref="T84:T90" si="68">MOD(ABS(E85+8-E84),$E$1)</f>
        <v>4</v>
      </c>
      <c r="U84" s="69">
        <f t="shared" ref="U84:U90" si="69">MOD(ABS(G85+8-G84),$E$1)</f>
        <v>4</v>
      </c>
      <c r="V84" s="69">
        <f t="shared" ref="V84:V90" si="70">MOD(ABS(I85+8-I84),$E$1)</f>
        <v>4</v>
      </c>
      <c r="W84" s="69">
        <f t="shared" ref="W84:W90" si="71">MOD(ABS(K85+8-K84),$E$1)</f>
        <v>4</v>
      </c>
      <c r="X84" s="69">
        <f t="shared" ref="X84:X90" si="72">MOD(ABS(M85+8-M84),$E$1)</f>
        <v>4</v>
      </c>
      <c r="Y84" s="69">
        <f t="shared" ref="Y84:Y90" si="73">MOD(ABS(O85+8-O84),$E$1)</f>
        <v>4</v>
      </c>
      <c r="Z84" s="69">
        <f t="shared" ref="Z84:Z90" si="74">MOD(ABS(Q85+8-Q84),$E$1)</f>
        <v>4</v>
      </c>
    </row>
    <row r="85" spans="1:26" x14ac:dyDescent="0.45">
      <c r="A85" s="274"/>
      <c r="B85" s="1">
        <v>2</v>
      </c>
      <c r="C85" s="30">
        <f>MOD($E6+C$83,$E$1)</f>
        <v>4</v>
      </c>
      <c r="D85">
        <v>5</v>
      </c>
      <c r="E85" s="30">
        <f>MOD($E6+E$83,$E$1)</f>
        <v>4</v>
      </c>
      <c r="G85" s="30">
        <f>MOD($E6+G$83,$E$1)</f>
        <v>1</v>
      </c>
      <c r="I85" s="30">
        <f>MOD($E6+I$83,$E$1)</f>
        <v>3</v>
      </c>
      <c r="K85" s="30">
        <f>MOD($E6+K$83,$E$1)</f>
        <v>4</v>
      </c>
      <c r="M85" s="30">
        <f>MOD($E6+M$83,$E$1)</f>
        <v>6</v>
      </c>
      <c r="O85" s="30">
        <f>MOD($E6+O$83,$E$1)</f>
        <v>5</v>
      </c>
      <c r="Q85" s="65">
        <f>MOD($E6+Q$83,$E$1)</f>
        <v>0</v>
      </c>
      <c r="S85" s="69">
        <f t="shared" si="67"/>
        <v>3</v>
      </c>
      <c r="T85" s="69">
        <f t="shared" si="68"/>
        <v>3</v>
      </c>
      <c r="U85" s="69">
        <f t="shared" si="69"/>
        <v>3</v>
      </c>
      <c r="V85" s="69">
        <f t="shared" si="70"/>
        <v>3</v>
      </c>
      <c r="W85" s="69">
        <f t="shared" si="71"/>
        <v>3</v>
      </c>
      <c r="X85" s="69">
        <f t="shared" si="72"/>
        <v>3</v>
      </c>
      <c r="Y85" s="69">
        <f t="shared" si="73"/>
        <v>3</v>
      </c>
      <c r="Z85" s="69">
        <f t="shared" si="74"/>
        <v>3</v>
      </c>
    </row>
    <row r="86" spans="1:26" x14ac:dyDescent="0.45">
      <c r="A86" s="274"/>
      <c r="B86" s="1">
        <v>3</v>
      </c>
      <c r="C86" s="30">
        <f>MOD($E7+C$83,$E$1)</f>
        <v>7</v>
      </c>
      <c r="E86" s="30">
        <f>MOD($E7+E$83,$E$1)</f>
        <v>7</v>
      </c>
      <c r="G86" s="30">
        <f>MOD($E7+G$83,$E$1)</f>
        <v>4</v>
      </c>
      <c r="I86" s="30">
        <f>MOD($E7+I$83,$E$1)</f>
        <v>6</v>
      </c>
      <c r="K86" s="30">
        <f>MOD($E7+K$83,$E$1)</f>
        <v>7</v>
      </c>
      <c r="M86" s="30">
        <f>MOD($E7+M$83,$E$1)</f>
        <v>1</v>
      </c>
      <c r="O86" s="30">
        <f>MOD($E7+O$83,$E$1)</f>
        <v>0</v>
      </c>
      <c r="Q86" s="65">
        <f>MOD($E7+Q$83,$E$1)</f>
        <v>3</v>
      </c>
      <c r="S86" s="69">
        <f t="shared" si="67"/>
        <v>4</v>
      </c>
      <c r="T86" s="69">
        <f t="shared" si="68"/>
        <v>4</v>
      </c>
      <c r="U86" s="69">
        <f t="shared" si="69"/>
        <v>4</v>
      </c>
      <c r="V86" s="69">
        <f t="shared" si="70"/>
        <v>4</v>
      </c>
      <c r="W86" s="69">
        <f t="shared" si="71"/>
        <v>4</v>
      </c>
      <c r="X86" s="69">
        <f t="shared" si="72"/>
        <v>4</v>
      </c>
      <c r="Y86" s="69">
        <f t="shared" si="73"/>
        <v>4</v>
      </c>
      <c r="Z86" s="69">
        <f t="shared" si="74"/>
        <v>4</v>
      </c>
    </row>
    <row r="87" spans="1:26" x14ac:dyDescent="0.45">
      <c r="A87" s="274"/>
      <c r="B87" s="1">
        <v>4</v>
      </c>
      <c r="C87" s="30">
        <f t="shared" ref="C87" si="75">MOD($E8+C$83,$E$1)</f>
        <v>3</v>
      </c>
      <c r="D87">
        <v>4</v>
      </c>
      <c r="E87" s="30">
        <f>MOD($E8+E$83,$E$1)</f>
        <v>3</v>
      </c>
      <c r="G87" s="30">
        <f>MOD($E8+G$83,$E$1)</f>
        <v>0</v>
      </c>
      <c r="I87" s="30">
        <f>MOD($E8+I$83,$E$1)</f>
        <v>2</v>
      </c>
      <c r="K87" s="30">
        <f>MOD($E8+K$83,$E$1)</f>
        <v>3</v>
      </c>
      <c r="M87" s="30">
        <f>MOD($E8+M$83,$E$1)</f>
        <v>5</v>
      </c>
      <c r="O87" s="30">
        <f>MOD($E8+O$83,$E$1)</f>
        <v>4</v>
      </c>
      <c r="Q87" s="65">
        <f>MOD($E8+Q$83,$E$1)</f>
        <v>7</v>
      </c>
      <c r="S87" s="69">
        <f t="shared" si="67"/>
        <v>2</v>
      </c>
      <c r="T87" s="69">
        <f t="shared" si="68"/>
        <v>2</v>
      </c>
      <c r="U87" s="69">
        <f t="shared" si="69"/>
        <v>2</v>
      </c>
      <c r="V87" s="69">
        <f t="shared" si="70"/>
        <v>2</v>
      </c>
      <c r="W87" s="69">
        <f t="shared" si="71"/>
        <v>2</v>
      </c>
      <c r="X87" s="69">
        <f t="shared" si="72"/>
        <v>2</v>
      </c>
      <c r="Y87" s="69">
        <f t="shared" si="73"/>
        <v>2</v>
      </c>
      <c r="Z87" s="69">
        <f t="shared" si="74"/>
        <v>2</v>
      </c>
    </row>
    <row r="88" spans="1:26" x14ac:dyDescent="0.45">
      <c r="A88" s="274"/>
      <c r="B88" s="1">
        <v>5</v>
      </c>
      <c r="C88" s="30">
        <f t="shared" ref="C88:C91" si="76">MOD($E9+C$83,$E$1)</f>
        <v>5</v>
      </c>
      <c r="E88" s="30">
        <f>MOD($E9+E$83,$E$1)</f>
        <v>5</v>
      </c>
      <c r="G88" s="30">
        <f>MOD($E9+G$83,$E$1)</f>
        <v>2</v>
      </c>
      <c r="I88" s="30">
        <f>MOD($E9+I$83,$E$1)</f>
        <v>4</v>
      </c>
      <c r="K88" s="30">
        <f>MOD($E9+K$83,$E$1)</f>
        <v>5</v>
      </c>
      <c r="M88" s="30">
        <f>MOD($E9+M$83,$E$1)</f>
        <v>7</v>
      </c>
      <c r="O88" s="30">
        <f>MOD($E9+O$83,$E$1)</f>
        <v>6</v>
      </c>
      <c r="Q88" s="65">
        <f>MOD($E9+Q$83,$E$1)</f>
        <v>1</v>
      </c>
      <c r="S88" s="69">
        <f t="shared" si="67"/>
        <v>4</v>
      </c>
      <c r="T88" s="69">
        <f t="shared" si="68"/>
        <v>4</v>
      </c>
      <c r="U88" s="69">
        <f t="shared" si="69"/>
        <v>4</v>
      </c>
      <c r="V88" s="69">
        <f t="shared" si="70"/>
        <v>4</v>
      </c>
      <c r="W88" s="69">
        <f t="shared" si="71"/>
        <v>4</v>
      </c>
      <c r="X88" s="69">
        <f t="shared" si="72"/>
        <v>4</v>
      </c>
      <c r="Y88" s="69">
        <f t="shared" si="73"/>
        <v>4</v>
      </c>
      <c r="Z88" s="69">
        <f t="shared" si="74"/>
        <v>4</v>
      </c>
    </row>
    <row r="89" spans="1:26" x14ac:dyDescent="0.45">
      <c r="A89" s="274"/>
      <c r="B89" s="1">
        <v>6</v>
      </c>
      <c r="C89" s="30">
        <f t="shared" si="76"/>
        <v>1</v>
      </c>
      <c r="E89" s="30">
        <f t="shared" ref="E89:E91" si="77">MOD($E10+E$83,$E$1)</f>
        <v>1</v>
      </c>
      <c r="G89" s="30">
        <f t="shared" ref="G89:G91" si="78">MOD($E10+G$83,$E$1)</f>
        <v>6</v>
      </c>
      <c r="I89" s="30">
        <f t="shared" ref="I89:I91" si="79">MOD($E10+I$83,$E$1)</f>
        <v>0</v>
      </c>
      <c r="K89" s="30">
        <f t="shared" ref="K89:K91" si="80">MOD($E10+K$83,$E$1)</f>
        <v>1</v>
      </c>
      <c r="M89" s="30">
        <f t="shared" ref="M89:M91" si="81">MOD($E10+M$83,$E$1)</f>
        <v>3</v>
      </c>
      <c r="O89" s="30">
        <f t="shared" ref="O89:O91" si="82">MOD($E10+O$83,$E$1)</f>
        <v>2</v>
      </c>
      <c r="Q89" s="65">
        <f t="shared" ref="Q89:Q91" si="83">MOD($E10+Q$83,$E$1)</f>
        <v>5</v>
      </c>
      <c r="S89" s="69">
        <f t="shared" si="67"/>
        <v>5</v>
      </c>
      <c r="T89" s="69">
        <f t="shared" si="68"/>
        <v>5</v>
      </c>
      <c r="U89" s="69">
        <f t="shared" si="69"/>
        <v>5</v>
      </c>
      <c r="V89" s="69">
        <f t="shared" si="70"/>
        <v>5</v>
      </c>
      <c r="W89" s="69">
        <f t="shared" si="71"/>
        <v>5</v>
      </c>
      <c r="X89" s="69">
        <f t="shared" si="72"/>
        <v>5</v>
      </c>
      <c r="Y89" s="69">
        <f t="shared" si="73"/>
        <v>5</v>
      </c>
      <c r="Z89" s="69">
        <f t="shared" si="74"/>
        <v>5</v>
      </c>
    </row>
    <row r="90" spans="1:26" x14ac:dyDescent="0.45">
      <c r="A90" s="274"/>
      <c r="B90" s="1">
        <v>7</v>
      </c>
      <c r="C90" s="30">
        <f t="shared" si="76"/>
        <v>6</v>
      </c>
      <c r="E90" s="30">
        <f t="shared" si="77"/>
        <v>6</v>
      </c>
      <c r="G90" s="30">
        <f t="shared" si="78"/>
        <v>3</v>
      </c>
      <c r="I90" s="30">
        <f t="shared" si="79"/>
        <v>5</v>
      </c>
      <c r="K90" s="30">
        <f t="shared" si="80"/>
        <v>6</v>
      </c>
      <c r="M90" s="30">
        <f t="shared" si="81"/>
        <v>0</v>
      </c>
      <c r="O90" s="30">
        <f t="shared" si="82"/>
        <v>7</v>
      </c>
      <c r="Q90" s="65">
        <f t="shared" si="83"/>
        <v>2</v>
      </c>
      <c r="S90" s="69">
        <f t="shared" si="67"/>
        <v>4</v>
      </c>
      <c r="T90" s="69">
        <f t="shared" si="68"/>
        <v>4</v>
      </c>
      <c r="U90" s="69">
        <f t="shared" si="69"/>
        <v>4</v>
      </c>
      <c r="V90" s="69">
        <f t="shared" si="70"/>
        <v>4</v>
      </c>
      <c r="W90" s="69">
        <f t="shared" si="71"/>
        <v>4</v>
      </c>
      <c r="X90" s="69">
        <f t="shared" si="72"/>
        <v>4</v>
      </c>
      <c r="Y90" s="69">
        <f t="shared" si="73"/>
        <v>4</v>
      </c>
      <c r="Z90" s="69">
        <f t="shared" si="74"/>
        <v>4</v>
      </c>
    </row>
    <row r="91" spans="1:26" x14ac:dyDescent="0.45">
      <c r="A91" s="275"/>
      <c r="B91" s="1">
        <v>8</v>
      </c>
      <c r="C91" s="30">
        <f t="shared" si="76"/>
        <v>2</v>
      </c>
      <c r="E91" s="30">
        <f t="shared" si="77"/>
        <v>2</v>
      </c>
      <c r="G91" s="30">
        <f t="shared" si="78"/>
        <v>7</v>
      </c>
      <c r="I91" s="30">
        <f t="shared" si="79"/>
        <v>1</v>
      </c>
      <c r="K91" s="30">
        <f t="shared" si="80"/>
        <v>2</v>
      </c>
      <c r="M91" s="30">
        <f t="shared" si="81"/>
        <v>4</v>
      </c>
      <c r="O91" s="30">
        <f t="shared" si="82"/>
        <v>3</v>
      </c>
      <c r="Q91" s="65">
        <f t="shared" si="83"/>
        <v>6</v>
      </c>
      <c r="S91" s="69">
        <f>MOD(ABS(C84+8-C91), $E$1)</f>
        <v>6</v>
      </c>
      <c r="T91" s="69">
        <f>MOD(ABS(E84+8-E91), $E$1)</f>
        <v>6</v>
      </c>
      <c r="U91" s="69">
        <f>MOD(ABS(G84+8-G91), $E$1)</f>
        <v>6</v>
      </c>
      <c r="V91" s="69">
        <f>MOD(ABS(I84+8-I91), $E$1)</f>
        <v>6</v>
      </c>
      <c r="W91" s="69">
        <f>MOD(ABS(K84+8-K91), $E$1)</f>
        <v>6</v>
      </c>
      <c r="X91" s="69">
        <f>MOD(ABS(M84+8-M91), $E$1)</f>
        <v>6</v>
      </c>
      <c r="Y91" s="69">
        <f>MOD(ABS(O84+8-O91), $E$1)</f>
        <v>6</v>
      </c>
      <c r="Z91" s="69">
        <f t="shared" ref="Z91" si="84">MOD(ABS(Q84+8-Q91), $E$1)</f>
        <v>6</v>
      </c>
    </row>
    <row r="92" spans="1:26" ht="51" x14ac:dyDescent="0.45">
      <c r="A92" s="273" t="s">
        <v>57</v>
      </c>
      <c r="B92" s="70" t="s">
        <v>142</v>
      </c>
      <c r="C92" s="48">
        <f t="shared" ref="C92" si="85">C49</f>
        <v>0</v>
      </c>
      <c r="E92" s="48">
        <f>D49</f>
        <v>2</v>
      </c>
      <c r="G92" s="48">
        <f>E49</f>
        <v>7</v>
      </c>
      <c r="I92" s="48">
        <f>F49</f>
        <v>6</v>
      </c>
      <c r="K92" s="48">
        <f>G49</f>
        <v>6</v>
      </c>
      <c r="M92" s="48">
        <f>H49</f>
        <v>4</v>
      </c>
      <c r="O92" s="48">
        <f>I49</f>
        <v>5</v>
      </c>
      <c r="Q92" s="56">
        <f>J49</f>
        <v>3</v>
      </c>
    </row>
    <row r="93" spans="1:26" x14ac:dyDescent="0.45">
      <c r="A93" s="274"/>
      <c r="B93" s="1">
        <v>1</v>
      </c>
      <c r="C93" s="30">
        <f>MOD($E5+C$92,$E$1)</f>
        <v>7</v>
      </c>
      <c r="E93" s="30">
        <f>MOD($E5+E$92,$E$1)</f>
        <v>1</v>
      </c>
      <c r="G93" s="30">
        <f>MOD($E5+G$92,$E$1)</f>
        <v>6</v>
      </c>
      <c r="I93" s="30">
        <f>MOD($E5+I$92,$E$1)</f>
        <v>5</v>
      </c>
      <c r="K93" s="30">
        <f>MOD($E5+K$92,$E$1)</f>
        <v>5</v>
      </c>
      <c r="M93" s="30">
        <f>MOD($E5+M$65,$E$1)</f>
        <v>0</v>
      </c>
      <c r="O93" s="30">
        <f>MOD($E5+O$92,$E$1)</f>
        <v>4</v>
      </c>
      <c r="Q93" s="65">
        <f>MOD($E5+Q$92,$E$1)</f>
        <v>2</v>
      </c>
      <c r="S93" s="69">
        <f t="shared" ref="S93:S99" si="86">MOD(ABS(C94+8-C93),$E$1)</f>
        <v>4</v>
      </c>
      <c r="T93" s="69">
        <f t="shared" ref="T93:T99" si="87">MOD(ABS(E94+8-E93),$E$1)</f>
        <v>4</v>
      </c>
      <c r="U93" s="69">
        <f t="shared" ref="U93:U99" si="88">MOD(ABS(G94+8-G93),$E$1)</f>
        <v>4</v>
      </c>
      <c r="V93" s="69">
        <f t="shared" ref="V93:V99" si="89">MOD(ABS(I94+8-I93),$E$1)</f>
        <v>4</v>
      </c>
      <c r="W93" s="69">
        <f t="shared" ref="W93:W99" si="90">MOD(ABS(K94+8-K93),$E$1)</f>
        <v>4</v>
      </c>
      <c r="X93" s="69">
        <f t="shared" ref="X93:X99" si="91">MOD(ABS(M94+8-M93),$E$1)</f>
        <v>4</v>
      </c>
      <c r="Y93" s="69">
        <f t="shared" ref="Y93:Y99" si="92">MOD(ABS(O94+8-O93),$E$1)</f>
        <v>4</v>
      </c>
      <c r="Z93" s="69">
        <f t="shared" ref="Z93:Z99" si="93">MOD(ABS(Q94+8-Q93),$E$1)</f>
        <v>4</v>
      </c>
    </row>
    <row r="94" spans="1:26" x14ac:dyDescent="0.45">
      <c r="A94" s="274"/>
      <c r="B94" s="1">
        <v>2</v>
      </c>
      <c r="C94" s="30">
        <f t="shared" ref="C94:C95" si="94">MOD($E6+C$92,$E$1)</f>
        <v>3</v>
      </c>
      <c r="E94" s="30">
        <f>MOD($E6+E$92,$E$1)</f>
        <v>5</v>
      </c>
      <c r="G94" s="30">
        <f>MOD($E6+G$92,$E$1)</f>
        <v>2</v>
      </c>
      <c r="I94" s="30">
        <f>MOD($E6+I$92,$E$1)</f>
        <v>1</v>
      </c>
      <c r="K94" s="30">
        <f>MOD($E6+K$92,$E$1)</f>
        <v>1</v>
      </c>
      <c r="M94" s="30">
        <f>MOD($E6+M$65,$E$1)</f>
        <v>4</v>
      </c>
      <c r="O94" s="30">
        <f>MOD($E6+O$92,$E$1)</f>
        <v>0</v>
      </c>
      <c r="Q94" s="65">
        <f>MOD($E6+Q$92,$E$1)</f>
        <v>6</v>
      </c>
      <c r="S94" s="69">
        <f t="shared" si="86"/>
        <v>3</v>
      </c>
      <c r="T94" s="69">
        <f t="shared" si="87"/>
        <v>3</v>
      </c>
      <c r="U94" s="69">
        <f t="shared" si="88"/>
        <v>3</v>
      </c>
      <c r="V94" s="69">
        <f t="shared" si="89"/>
        <v>3</v>
      </c>
      <c r="W94" s="69">
        <f t="shared" si="90"/>
        <v>3</v>
      </c>
      <c r="X94" s="69">
        <f t="shared" si="91"/>
        <v>3</v>
      </c>
      <c r="Y94" s="69">
        <f t="shared" si="92"/>
        <v>3</v>
      </c>
      <c r="Z94" s="69">
        <f t="shared" si="93"/>
        <v>3</v>
      </c>
    </row>
    <row r="95" spans="1:26" x14ac:dyDescent="0.45">
      <c r="A95" s="274"/>
      <c r="B95" s="1">
        <v>3</v>
      </c>
      <c r="C95" s="30">
        <f t="shared" si="94"/>
        <v>6</v>
      </c>
      <c r="E95" s="30">
        <f>MOD($E7+E$92,$E$1)</f>
        <v>0</v>
      </c>
      <c r="G95" s="30">
        <f>MOD($E7+G$92,$E$1)</f>
        <v>5</v>
      </c>
      <c r="I95" s="30">
        <f>MOD($E7+I$92,$E$1)</f>
        <v>4</v>
      </c>
      <c r="K95" s="30">
        <f>MOD($E7+K$92,$E$1)</f>
        <v>4</v>
      </c>
      <c r="M95" s="30">
        <f>MOD($E7+M$65,$E$1)</f>
        <v>7</v>
      </c>
      <c r="O95" s="30">
        <f>MOD($E7+O$92,$E$1)</f>
        <v>3</v>
      </c>
      <c r="Q95" s="65">
        <f>MOD($E7+Q$92,$E$1)</f>
        <v>1</v>
      </c>
      <c r="S95" s="69">
        <f t="shared" si="86"/>
        <v>4</v>
      </c>
      <c r="T95" s="69">
        <f t="shared" si="87"/>
        <v>4</v>
      </c>
      <c r="U95" s="69">
        <f t="shared" si="88"/>
        <v>4</v>
      </c>
      <c r="V95" s="69">
        <f t="shared" si="89"/>
        <v>4</v>
      </c>
      <c r="W95" s="69">
        <f t="shared" si="90"/>
        <v>4</v>
      </c>
      <c r="X95" s="69">
        <f t="shared" si="91"/>
        <v>4</v>
      </c>
      <c r="Y95" s="69">
        <f t="shared" si="92"/>
        <v>4</v>
      </c>
      <c r="Z95" s="69">
        <f t="shared" si="93"/>
        <v>4</v>
      </c>
    </row>
    <row r="96" spans="1:26" x14ac:dyDescent="0.45">
      <c r="A96" s="274"/>
      <c r="B96" s="1">
        <v>4</v>
      </c>
      <c r="C96" s="30">
        <f>MOD($E8+C$92,$E$1)</f>
        <v>2</v>
      </c>
      <c r="E96" s="30">
        <f>MOD($E8+E$92,$E$1)</f>
        <v>4</v>
      </c>
      <c r="G96" s="30">
        <f>MOD($E8+G$92,$E$1)</f>
        <v>1</v>
      </c>
      <c r="I96" s="30">
        <f>MOD($E8+I$92,$E$1)</f>
        <v>0</v>
      </c>
      <c r="K96" s="30">
        <f>MOD($E8+K$92,$E$1)</f>
        <v>0</v>
      </c>
      <c r="M96" s="30">
        <f>MOD($E8+M$65,$E$1)</f>
        <v>3</v>
      </c>
      <c r="O96" s="30">
        <f>MOD($E8+O$92,$E$1)</f>
        <v>7</v>
      </c>
      <c r="Q96" s="65">
        <f>MOD($E8+Q$92,$E$1)</f>
        <v>5</v>
      </c>
      <c r="S96" s="69">
        <f t="shared" si="86"/>
        <v>2</v>
      </c>
      <c r="T96" s="69">
        <f t="shared" si="87"/>
        <v>2</v>
      </c>
      <c r="U96" s="69">
        <f t="shared" si="88"/>
        <v>2</v>
      </c>
      <c r="V96" s="69">
        <f t="shared" si="89"/>
        <v>2</v>
      </c>
      <c r="W96" s="69">
        <f t="shared" si="90"/>
        <v>2</v>
      </c>
      <c r="X96" s="69">
        <f t="shared" si="91"/>
        <v>2</v>
      </c>
      <c r="Y96" s="69">
        <f t="shared" si="92"/>
        <v>2</v>
      </c>
      <c r="Z96" s="69">
        <f t="shared" si="93"/>
        <v>2</v>
      </c>
    </row>
    <row r="97" spans="1:26" x14ac:dyDescent="0.45">
      <c r="A97" s="274"/>
      <c r="B97" s="1">
        <v>5</v>
      </c>
      <c r="C97" s="30">
        <f t="shared" ref="C97:C100" si="95">MOD($E9+C$92,$E$1)</f>
        <v>4</v>
      </c>
      <c r="D97">
        <v>6</v>
      </c>
      <c r="E97" s="30">
        <f>MOD($E9+E$92,$E$1)</f>
        <v>6</v>
      </c>
      <c r="G97" s="30">
        <f>MOD($E9+G$92,$E$1)</f>
        <v>3</v>
      </c>
      <c r="I97" s="30">
        <f>MOD($E9+I$92,$E$1)</f>
        <v>2</v>
      </c>
      <c r="K97" s="30">
        <f>MOD($E9+K$92,$E$1)</f>
        <v>2</v>
      </c>
      <c r="M97" s="30">
        <f>MOD($E9+M$65,$E$1)</f>
        <v>5</v>
      </c>
      <c r="O97" s="30">
        <f>MOD($E9+O$92,$E$1)</f>
        <v>1</v>
      </c>
      <c r="Q97" s="65">
        <f>MOD($E9+Q$92,$E$1)</f>
        <v>7</v>
      </c>
      <c r="S97" s="69">
        <f t="shared" si="86"/>
        <v>4</v>
      </c>
      <c r="T97" s="69">
        <f t="shared" si="87"/>
        <v>4</v>
      </c>
      <c r="U97" s="69">
        <f t="shared" si="88"/>
        <v>4</v>
      </c>
      <c r="V97" s="69">
        <f t="shared" si="89"/>
        <v>4</v>
      </c>
      <c r="W97" s="69">
        <f t="shared" si="90"/>
        <v>4</v>
      </c>
      <c r="X97" s="69">
        <f t="shared" si="91"/>
        <v>4</v>
      </c>
      <c r="Y97" s="69">
        <f t="shared" si="92"/>
        <v>4</v>
      </c>
      <c r="Z97" s="69">
        <f t="shared" si="93"/>
        <v>4</v>
      </c>
    </row>
    <row r="98" spans="1:26" x14ac:dyDescent="0.45">
      <c r="A98" s="274"/>
      <c r="B98" s="1">
        <v>6</v>
      </c>
      <c r="C98" s="30">
        <f t="shared" si="95"/>
        <v>0</v>
      </c>
      <c r="E98" s="30">
        <f t="shared" ref="E98:E100" si="96">MOD($E10+E$92,$E$1)</f>
        <v>2</v>
      </c>
      <c r="G98" s="30">
        <f t="shared" ref="G98:G100" si="97">MOD($E10+G$92,$E$1)</f>
        <v>7</v>
      </c>
      <c r="I98" s="30">
        <f t="shared" ref="I98:I100" si="98">MOD($E10+I$92,$E$1)</f>
        <v>6</v>
      </c>
      <c r="K98" s="30">
        <f t="shared" ref="K98:K100" si="99">MOD($E10+K$92,$E$1)</f>
        <v>6</v>
      </c>
      <c r="M98" s="30">
        <f t="shared" ref="M98:M100" si="100">MOD($E10+M$65,$E$1)</f>
        <v>1</v>
      </c>
      <c r="O98" s="30">
        <f t="shared" ref="O98:O100" si="101">MOD($E10+O$92,$E$1)</f>
        <v>5</v>
      </c>
      <c r="Q98" s="65">
        <f t="shared" ref="Q98:Q100" si="102">MOD($E10+Q$92,$E$1)</f>
        <v>3</v>
      </c>
      <c r="S98" s="69">
        <f t="shared" si="86"/>
        <v>5</v>
      </c>
      <c r="T98" s="69">
        <f t="shared" si="87"/>
        <v>5</v>
      </c>
      <c r="U98" s="69">
        <f t="shared" si="88"/>
        <v>5</v>
      </c>
      <c r="V98" s="69">
        <f t="shared" si="89"/>
        <v>5</v>
      </c>
      <c r="W98" s="69">
        <f t="shared" si="90"/>
        <v>5</v>
      </c>
      <c r="X98" s="69">
        <f t="shared" si="91"/>
        <v>5</v>
      </c>
      <c r="Y98" s="69">
        <f t="shared" si="92"/>
        <v>5</v>
      </c>
      <c r="Z98" s="69">
        <f t="shared" si="93"/>
        <v>5</v>
      </c>
    </row>
    <row r="99" spans="1:26" x14ac:dyDescent="0.45">
      <c r="A99" s="274"/>
      <c r="B99" s="1">
        <v>7</v>
      </c>
      <c r="C99" s="30">
        <f t="shared" si="95"/>
        <v>5</v>
      </c>
      <c r="D99">
        <v>7</v>
      </c>
      <c r="E99" s="30">
        <f t="shared" si="96"/>
        <v>7</v>
      </c>
      <c r="G99" s="30">
        <f t="shared" si="97"/>
        <v>4</v>
      </c>
      <c r="I99" s="30">
        <f t="shared" si="98"/>
        <v>3</v>
      </c>
      <c r="K99" s="30">
        <f t="shared" si="99"/>
        <v>3</v>
      </c>
      <c r="M99" s="30">
        <f t="shared" si="100"/>
        <v>6</v>
      </c>
      <c r="O99" s="30">
        <f t="shared" si="101"/>
        <v>2</v>
      </c>
      <c r="Q99" s="65">
        <f t="shared" si="102"/>
        <v>0</v>
      </c>
      <c r="S99" s="69">
        <f t="shared" si="86"/>
        <v>4</v>
      </c>
      <c r="T99" s="69">
        <f t="shared" si="87"/>
        <v>4</v>
      </c>
      <c r="U99" s="69">
        <f t="shared" si="88"/>
        <v>4</v>
      </c>
      <c r="V99" s="69">
        <f t="shared" si="89"/>
        <v>4</v>
      </c>
      <c r="W99" s="69">
        <f t="shared" si="90"/>
        <v>4</v>
      </c>
      <c r="X99" s="69">
        <f t="shared" si="91"/>
        <v>4</v>
      </c>
      <c r="Y99" s="69">
        <f t="shared" si="92"/>
        <v>4</v>
      </c>
      <c r="Z99" s="69">
        <f t="shared" si="93"/>
        <v>4</v>
      </c>
    </row>
    <row r="100" spans="1:26" x14ac:dyDescent="0.45">
      <c r="A100" s="275"/>
      <c r="B100" s="1">
        <v>8</v>
      </c>
      <c r="C100" s="30">
        <f t="shared" si="95"/>
        <v>1</v>
      </c>
      <c r="E100" s="30">
        <f t="shared" si="96"/>
        <v>3</v>
      </c>
      <c r="G100" s="30">
        <f t="shared" si="97"/>
        <v>0</v>
      </c>
      <c r="I100" s="30">
        <f t="shared" si="98"/>
        <v>7</v>
      </c>
      <c r="K100" s="30">
        <f t="shared" si="99"/>
        <v>7</v>
      </c>
      <c r="M100" s="30">
        <f t="shared" si="100"/>
        <v>2</v>
      </c>
      <c r="O100" s="30">
        <f t="shared" si="101"/>
        <v>6</v>
      </c>
      <c r="Q100" s="65">
        <f t="shared" si="102"/>
        <v>4</v>
      </c>
      <c r="S100" s="69">
        <f>MOD(ABS(C93+8-C100), $E$1)</f>
        <v>6</v>
      </c>
      <c r="T100" s="69">
        <f>MOD(ABS(E93+8-E100), $E$1)</f>
        <v>6</v>
      </c>
      <c r="U100" s="69">
        <f>MOD(ABS(G93+8-G100), $E$1)</f>
        <v>6</v>
      </c>
      <c r="V100" s="69">
        <f>MOD(ABS(I93+8-I100), $E$1)</f>
        <v>6</v>
      </c>
      <c r="W100" s="69">
        <f>MOD(ABS(K93+8-K100), $E$1)</f>
        <v>6</v>
      </c>
      <c r="X100" s="69">
        <f>MOD(ABS(M93+8-M100), $E$1)</f>
        <v>6</v>
      </c>
      <c r="Y100" s="69">
        <f>MOD(ABS(O93+8-O100), $E$1)</f>
        <v>6</v>
      </c>
      <c r="Z100" s="69">
        <f t="shared" ref="Z100" si="103">MOD(ABS(Q93+8-Q100), $E$1)</f>
        <v>6</v>
      </c>
    </row>
    <row r="102" spans="1:26" ht="51" x14ac:dyDescent="0.45">
      <c r="A102" s="273" t="s">
        <v>58</v>
      </c>
      <c r="B102" s="70" t="s">
        <v>142</v>
      </c>
      <c r="C102" s="48">
        <f>C50</f>
        <v>3</v>
      </c>
      <c r="E102" s="48">
        <f>D50</f>
        <v>6</v>
      </c>
      <c r="G102" s="48">
        <f>E50</f>
        <v>4</v>
      </c>
      <c r="I102" s="48">
        <f>F50</f>
        <v>2</v>
      </c>
      <c r="K102" s="48">
        <f>G50</f>
        <v>5</v>
      </c>
      <c r="M102" s="48">
        <f>H50</f>
        <v>5</v>
      </c>
      <c r="O102" s="48">
        <f>I50</f>
        <v>0</v>
      </c>
      <c r="Q102" s="56">
        <f>J50</f>
        <v>4</v>
      </c>
    </row>
    <row r="103" spans="1:26" x14ac:dyDescent="0.45">
      <c r="A103" s="274"/>
      <c r="B103" s="1">
        <v>1</v>
      </c>
      <c r="C103" s="30">
        <f>MOD($E5+C$102,$E$1)</f>
        <v>2</v>
      </c>
      <c r="E103" s="30">
        <f>MOD($E5+E$102,$E$1)</f>
        <v>5</v>
      </c>
      <c r="G103" s="30">
        <f>MOD($E5+G$102,$E$1)</f>
        <v>3</v>
      </c>
      <c r="I103" s="30">
        <f>MOD($E5+I$102,$E$1)</f>
        <v>1</v>
      </c>
      <c r="K103" s="30">
        <f>MOD($E5+K$102,$E$1)</f>
        <v>4</v>
      </c>
      <c r="M103" s="30">
        <f>MOD($E5+M$102,$E$1)</f>
        <v>4</v>
      </c>
      <c r="O103" s="30">
        <f>MOD($E5+O$102,$E$1)</f>
        <v>7</v>
      </c>
      <c r="Q103" s="30">
        <f>MOD($E5+Q$102,$E$1)</f>
        <v>3</v>
      </c>
    </row>
    <row r="104" spans="1:26" x14ac:dyDescent="0.45">
      <c r="A104" s="274"/>
      <c r="B104" s="1">
        <v>2</v>
      </c>
      <c r="C104" s="30">
        <f>MOD($E6+C$102,$E$1)</f>
        <v>6</v>
      </c>
      <c r="E104" s="30">
        <f t="shared" ref="E104:E110" si="104">MOD($E6+E$102,$E$1)</f>
        <v>1</v>
      </c>
      <c r="G104" s="30">
        <f t="shared" ref="G104:G110" si="105">MOD($E6+G$102,$E$1)</f>
        <v>7</v>
      </c>
      <c r="I104" s="30">
        <f t="shared" ref="I104:I110" si="106">MOD($E6+I$102,$E$1)</f>
        <v>5</v>
      </c>
      <c r="K104" s="30">
        <f t="shared" ref="K104:K110" si="107">MOD($E6+K$102,$E$1)</f>
        <v>0</v>
      </c>
      <c r="M104" s="30">
        <f t="shared" ref="M104:M110" si="108">MOD($E6+M$102,$E$1)</f>
        <v>0</v>
      </c>
      <c r="O104" s="30">
        <f t="shared" ref="O104:O110" si="109">MOD($E6+O$102,$E$1)</f>
        <v>3</v>
      </c>
      <c r="Q104" s="30">
        <f t="shared" ref="Q104:Q110" si="110">MOD($E6+Q$102,$E$1)</f>
        <v>7</v>
      </c>
    </row>
    <row r="105" spans="1:26" x14ac:dyDescent="0.45">
      <c r="A105" s="274"/>
      <c r="B105" s="1">
        <v>3</v>
      </c>
      <c r="C105" s="30">
        <f t="shared" ref="C105:C110" si="111">MOD($E7+C$102,$E$1)</f>
        <v>1</v>
      </c>
      <c r="E105" s="30">
        <f t="shared" si="104"/>
        <v>4</v>
      </c>
      <c r="G105" s="30">
        <f t="shared" si="105"/>
        <v>2</v>
      </c>
      <c r="I105" s="30">
        <f t="shared" si="106"/>
        <v>0</v>
      </c>
      <c r="K105" s="30">
        <f t="shared" si="107"/>
        <v>3</v>
      </c>
      <c r="M105" s="30">
        <f t="shared" si="108"/>
        <v>3</v>
      </c>
      <c r="O105" s="30">
        <f t="shared" si="109"/>
        <v>6</v>
      </c>
      <c r="Q105" s="30">
        <f t="shared" si="110"/>
        <v>2</v>
      </c>
    </row>
    <row r="106" spans="1:26" x14ac:dyDescent="0.45">
      <c r="A106" s="274"/>
      <c r="B106" s="1">
        <v>4</v>
      </c>
      <c r="C106" s="30">
        <f>MOD($E8+C$102,$E$1)</f>
        <v>5</v>
      </c>
      <c r="E106" s="30">
        <f t="shared" si="104"/>
        <v>0</v>
      </c>
      <c r="G106" s="30">
        <f t="shared" si="105"/>
        <v>6</v>
      </c>
      <c r="I106" s="30">
        <f t="shared" si="106"/>
        <v>4</v>
      </c>
      <c r="K106" s="30">
        <f t="shared" si="107"/>
        <v>7</v>
      </c>
      <c r="M106" s="30">
        <f t="shared" si="108"/>
        <v>7</v>
      </c>
      <c r="O106" s="30">
        <f t="shared" si="109"/>
        <v>2</v>
      </c>
      <c r="Q106" s="30">
        <f t="shared" si="110"/>
        <v>6</v>
      </c>
    </row>
    <row r="107" spans="1:26" x14ac:dyDescent="0.45">
      <c r="A107" s="274"/>
      <c r="B107" s="1">
        <v>5</v>
      </c>
      <c r="C107" s="30">
        <f t="shared" si="111"/>
        <v>7</v>
      </c>
      <c r="E107" s="30">
        <f t="shared" si="104"/>
        <v>2</v>
      </c>
      <c r="G107" s="30">
        <f t="shared" si="105"/>
        <v>0</v>
      </c>
      <c r="I107" s="30">
        <f t="shared" si="106"/>
        <v>6</v>
      </c>
      <c r="K107" s="30">
        <f t="shared" si="107"/>
        <v>1</v>
      </c>
      <c r="M107" s="30">
        <f t="shared" si="108"/>
        <v>1</v>
      </c>
      <c r="O107" s="30">
        <f t="shared" si="109"/>
        <v>4</v>
      </c>
      <c r="Q107" s="30">
        <f t="shared" si="110"/>
        <v>0</v>
      </c>
    </row>
    <row r="108" spans="1:26" x14ac:dyDescent="0.45">
      <c r="A108" s="274"/>
      <c r="B108" s="1">
        <v>6</v>
      </c>
      <c r="C108" s="30">
        <f t="shared" si="111"/>
        <v>3</v>
      </c>
      <c r="D108">
        <v>2</v>
      </c>
      <c r="E108" s="30">
        <f t="shared" si="104"/>
        <v>6</v>
      </c>
      <c r="G108" s="30">
        <f t="shared" si="105"/>
        <v>4</v>
      </c>
      <c r="H108">
        <v>2</v>
      </c>
      <c r="I108" s="30">
        <f t="shared" si="106"/>
        <v>2</v>
      </c>
      <c r="K108" s="30">
        <f t="shared" si="107"/>
        <v>5</v>
      </c>
      <c r="M108" s="30">
        <f t="shared" si="108"/>
        <v>5</v>
      </c>
      <c r="O108" s="30">
        <f t="shared" si="109"/>
        <v>0</v>
      </c>
      <c r="Q108" s="30">
        <f t="shared" si="110"/>
        <v>4</v>
      </c>
    </row>
    <row r="109" spans="1:26" x14ac:dyDescent="0.45">
      <c r="A109" s="274"/>
      <c r="B109" s="1">
        <v>7</v>
      </c>
      <c r="C109" s="30">
        <f t="shared" si="111"/>
        <v>0</v>
      </c>
      <c r="E109" s="30">
        <f t="shared" si="104"/>
        <v>3</v>
      </c>
      <c r="G109" s="30">
        <f t="shared" si="105"/>
        <v>1</v>
      </c>
      <c r="I109" s="30">
        <f t="shared" si="106"/>
        <v>7</v>
      </c>
      <c r="K109" s="30">
        <f t="shared" si="107"/>
        <v>2</v>
      </c>
      <c r="M109" s="30">
        <f t="shared" si="108"/>
        <v>2</v>
      </c>
      <c r="O109" s="30">
        <f t="shared" si="109"/>
        <v>5</v>
      </c>
      <c r="Q109" s="30">
        <f t="shared" si="110"/>
        <v>1</v>
      </c>
    </row>
    <row r="110" spans="1:26" x14ac:dyDescent="0.45">
      <c r="A110" s="275"/>
      <c r="B110" s="1">
        <v>8</v>
      </c>
      <c r="C110" s="30">
        <f t="shared" si="111"/>
        <v>4</v>
      </c>
      <c r="D110">
        <v>3</v>
      </c>
      <c r="E110" s="30">
        <f t="shared" si="104"/>
        <v>7</v>
      </c>
      <c r="G110" s="30">
        <f t="shared" si="105"/>
        <v>5</v>
      </c>
      <c r="H110">
        <v>3</v>
      </c>
      <c r="I110" s="30">
        <f t="shared" si="106"/>
        <v>3</v>
      </c>
      <c r="K110" s="30">
        <f t="shared" si="107"/>
        <v>6</v>
      </c>
      <c r="M110" s="30">
        <f t="shared" si="108"/>
        <v>6</v>
      </c>
      <c r="O110" s="30">
        <f t="shared" si="109"/>
        <v>1</v>
      </c>
      <c r="Q110" s="30">
        <f t="shared" si="110"/>
        <v>5</v>
      </c>
    </row>
    <row r="112" spans="1:26" ht="51" x14ac:dyDescent="0.45">
      <c r="A112" s="273" t="s">
        <v>59</v>
      </c>
      <c r="B112" s="70" t="s">
        <v>142</v>
      </c>
      <c r="C112" s="66">
        <f>C51</f>
        <v>4</v>
      </c>
      <c r="E112" s="48">
        <f>D51</f>
        <v>3</v>
      </c>
      <c r="G112" s="48">
        <f>E51</f>
        <v>0</v>
      </c>
      <c r="I112" s="48">
        <f>F51</f>
        <v>5</v>
      </c>
      <c r="K112" s="48">
        <f>G51</f>
        <v>7</v>
      </c>
      <c r="M112" s="48">
        <f>H51</f>
        <v>0</v>
      </c>
      <c r="O112" s="48">
        <f>I51</f>
        <v>3</v>
      </c>
      <c r="Q112" s="56">
        <f>J51</f>
        <v>2</v>
      </c>
    </row>
    <row r="113" spans="1:17" x14ac:dyDescent="0.45">
      <c r="A113" s="274"/>
      <c r="B113" s="1">
        <v>1</v>
      </c>
      <c r="C113" s="30">
        <f>MOD($E5+C$112,$E$1)</f>
        <v>3</v>
      </c>
      <c r="E113" s="30">
        <f>MOD($E5+E$112,$E$1)</f>
        <v>2</v>
      </c>
      <c r="G113" s="30">
        <f>MOD($E5+G$112,$E$1)</f>
        <v>7</v>
      </c>
      <c r="I113" s="30">
        <f>MOD($E5+I$112,$E$1)</f>
        <v>4</v>
      </c>
      <c r="K113" s="30">
        <f>MOD($E5+K$112,$E$1)</f>
        <v>6</v>
      </c>
      <c r="M113" s="30">
        <f>MOD($E5+M$112,$E$1)</f>
        <v>7</v>
      </c>
      <c r="O113" s="30">
        <f>MOD($E5+O$112,$E$1)</f>
        <v>2</v>
      </c>
      <c r="Q113" s="30">
        <f>MOD($E5+Q$112,$E$1)</f>
        <v>1</v>
      </c>
    </row>
    <row r="114" spans="1:17" x14ac:dyDescent="0.45">
      <c r="A114" s="274"/>
      <c r="B114" s="1">
        <v>2</v>
      </c>
      <c r="C114" s="30">
        <f t="shared" ref="C114:C120" si="112">MOD($E6+C$112,$E$1)</f>
        <v>7</v>
      </c>
      <c r="E114" s="30">
        <f>MOD($E6+E$112,$E$1)</f>
        <v>6</v>
      </c>
      <c r="G114" s="30">
        <f t="shared" ref="G114:G120" si="113">MOD($E6+G$112,$E$1)</f>
        <v>3</v>
      </c>
      <c r="I114" s="30">
        <f t="shared" ref="I114:I120" si="114">MOD($E6+I$112,$E$1)</f>
        <v>0</v>
      </c>
      <c r="K114" s="30">
        <f t="shared" ref="K114:K120" si="115">MOD($E6+K$112,$E$1)</f>
        <v>2</v>
      </c>
      <c r="M114" s="30">
        <f t="shared" ref="M114:M120" si="116">MOD($E6+M$112,$E$1)</f>
        <v>3</v>
      </c>
      <c r="O114" s="30">
        <f t="shared" ref="O114:O120" si="117">MOD($E6+O$112,$E$1)</f>
        <v>6</v>
      </c>
      <c r="Q114" s="30">
        <f t="shared" ref="Q114:Q120" si="118">MOD($E6+Q$112,$E$1)</f>
        <v>5</v>
      </c>
    </row>
    <row r="115" spans="1:17" x14ac:dyDescent="0.45">
      <c r="A115" s="274"/>
      <c r="B115" s="1">
        <v>3</v>
      </c>
      <c r="C115" s="30">
        <f t="shared" si="112"/>
        <v>2</v>
      </c>
      <c r="D115">
        <v>8</v>
      </c>
      <c r="E115" s="30">
        <f t="shared" ref="E115:E120" si="119">MOD($E7+E$112,$E$1)</f>
        <v>1</v>
      </c>
      <c r="G115" s="30">
        <f t="shared" si="113"/>
        <v>6</v>
      </c>
      <c r="I115" s="30">
        <f t="shared" si="114"/>
        <v>3</v>
      </c>
      <c r="K115" s="30">
        <f t="shared" si="115"/>
        <v>5</v>
      </c>
      <c r="M115" s="30">
        <f t="shared" si="116"/>
        <v>6</v>
      </c>
      <c r="O115" s="30">
        <f t="shared" si="117"/>
        <v>1</v>
      </c>
      <c r="Q115" s="30">
        <f t="shared" si="118"/>
        <v>0</v>
      </c>
    </row>
    <row r="116" spans="1:17" x14ac:dyDescent="0.45">
      <c r="A116" s="274"/>
      <c r="B116" s="1">
        <v>4</v>
      </c>
      <c r="C116" s="30">
        <f>MOD($E8+C$112,$E$1)</f>
        <v>6</v>
      </c>
      <c r="E116" s="30">
        <f t="shared" si="119"/>
        <v>5</v>
      </c>
      <c r="G116" s="30">
        <f t="shared" si="113"/>
        <v>2</v>
      </c>
      <c r="I116" s="30">
        <f t="shared" si="114"/>
        <v>7</v>
      </c>
      <c r="K116" s="30">
        <f t="shared" si="115"/>
        <v>1</v>
      </c>
      <c r="M116" s="30">
        <f t="shared" si="116"/>
        <v>2</v>
      </c>
      <c r="O116" s="30">
        <f t="shared" si="117"/>
        <v>5</v>
      </c>
      <c r="Q116" s="30">
        <f t="shared" si="118"/>
        <v>4</v>
      </c>
    </row>
    <row r="117" spans="1:17" x14ac:dyDescent="0.45">
      <c r="A117" s="274"/>
      <c r="B117" s="1">
        <v>5</v>
      </c>
      <c r="C117" s="30">
        <f t="shared" si="112"/>
        <v>0</v>
      </c>
      <c r="E117" s="30">
        <f t="shared" si="119"/>
        <v>7</v>
      </c>
      <c r="G117" s="30">
        <f t="shared" si="113"/>
        <v>4</v>
      </c>
      <c r="I117" s="30">
        <f t="shared" si="114"/>
        <v>1</v>
      </c>
      <c r="K117" s="30">
        <f t="shared" si="115"/>
        <v>3</v>
      </c>
      <c r="M117" s="30">
        <f t="shared" si="116"/>
        <v>4</v>
      </c>
      <c r="O117" s="30">
        <f t="shared" si="117"/>
        <v>7</v>
      </c>
      <c r="Q117" s="30">
        <f t="shared" si="118"/>
        <v>6</v>
      </c>
    </row>
    <row r="118" spans="1:17" x14ac:dyDescent="0.45">
      <c r="A118" s="274"/>
      <c r="B118" s="1">
        <v>6</v>
      </c>
      <c r="C118" s="30">
        <f t="shared" si="112"/>
        <v>4</v>
      </c>
      <c r="E118" s="30">
        <f t="shared" si="119"/>
        <v>3</v>
      </c>
      <c r="G118" s="30">
        <f t="shared" si="113"/>
        <v>0</v>
      </c>
      <c r="I118" s="30">
        <f t="shared" si="114"/>
        <v>5</v>
      </c>
      <c r="K118" s="30">
        <f t="shared" si="115"/>
        <v>7</v>
      </c>
      <c r="M118" s="30">
        <f t="shared" si="116"/>
        <v>0</v>
      </c>
      <c r="O118" s="30">
        <f t="shared" si="117"/>
        <v>3</v>
      </c>
      <c r="Q118" s="30">
        <f t="shared" si="118"/>
        <v>2</v>
      </c>
    </row>
    <row r="119" spans="1:17" x14ac:dyDescent="0.45">
      <c r="A119" s="274"/>
      <c r="B119" s="1">
        <v>7</v>
      </c>
      <c r="C119" s="30">
        <f t="shared" si="112"/>
        <v>1</v>
      </c>
      <c r="D119">
        <v>7</v>
      </c>
      <c r="E119" s="30">
        <f t="shared" si="119"/>
        <v>0</v>
      </c>
      <c r="G119" s="30">
        <f t="shared" si="113"/>
        <v>5</v>
      </c>
      <c r="I119" s="30">
        <f t="shared" si="114"/>
        <v>2</v>
      </c>
      <c r="K119" s="30">
        <f t="shared" si="115"/>
        <v>4</v>
      </c>
      <c r="M119" s="30">
        <f t="shared" si="116"/>
        <v>5</v>
      </c>
      <c r="O119" s="30">
        <f t="shared" si="117"/>
        <v>0</v>
      </c>
      <c r="Q119" s="30">
        <f t="shared" si="118"/>
        <v>7</v>
      </c>
    </row>
    <row r="120" spans="1:17" x14ac:dyDescent="0.45">
      <c r="A120" s="275"/>
      <c r="B120" s="1">
        <v>8</v>
      </c>
      <c r="C120" s="30">
        <f t="shared" si="112"/>
        <v>5</v>
      </c>
      <c r="E120" s="30">
        <f t="shared" si="119"/>
        <v>4</v>
      </c>
      <c r="G120" s="30">
        <f t="shared" si="113"/>
        <v>1</v>
      </c>
      <c r="I120" s="30">
        <f t="shared" si="114"/>
        <v>6</v>
      </c>
      <c r="K120" s="30">
        <f t="shared" si="115"/>
        <v>0</v>
      </c>
      <c r="M120" s="30">
        <f t="shared" si="116"/>
        <v>1</v>
      </c>
      <c r="O120" s="30">
        <f t="shared" si="117"/>
        <v>4</v>
      </c>
      <c r="Q120" s="30">
        <f t="shared" si="118"/>
        <v>3</v>
      </c>
    </row>
    <row r="122" spans="1:17" ht="51" x14ac:dyDescent="0.45">
      <c r="A122" s="273" t="s">
        <v>60</v>
      </c>
      <c r="B122" s="70" t="s">
        <v>142</v>
      </c>
      <c r="C122" s="66">
        <f>C52</f>
        <v>7</v>
      </c>
      <c r="E122" s="48">
        <f>D52</f>
        <v>4</v>
      </c>
      <c r="G122" s="48">
        <f>E52</f>
        <v>2</v>
      </c>
      <c r="I122" s="48">
        <f>F52</f>
        <v>4</v>
      </c>
      <c r="K122" s="48">
        <f>G52</f>
        <v>0</v>
      </c>
      <c r="M122" s="48">
        <f>H52</f>
        <v>6</v>
      </c>
      <c r="O122" s="48">
        <f>I52</f>
        <v>4</v>
      </c>
      <c r="Q122" s="56">
        <f>J52</f>
        <v>0</v>
      </c>
    </row>
    <row r="123" spans="1:17" x14ac:dyDescent="0.45">
      <c r="A123" s="274"/>
      <c r="B123" s="1">
        <v>1</v>
      </c>
      <c r="C123" s="30">
        <f>MOD($E5+C$122,$E$1)</f>
        <v>6</v>
      </c>
      <c r="E123" s="30">
        <f>MOD($E5+E$122,$E$1)</f>
        <v>3</v>
      </c>
      <c r="G123" s="30">
        <f>MOD($E5+G$122,$E$1)</f>
        <v>1</v>
      </c>
      <c r="I123" s="30">
        <f>MOD($E5+I$122,$E$1)</f>
        <v>3</v>
      </c>
      <c r="K123" s="30">
        <f>MOD($E5+K$122,$E$1)</f>
        <v>7</v>
      </c>
      <c r="M123" s="30">
        <f>MOD($E5+M$122,$E$1)</f>
        <v>5</v>
      </c>
      <c r="O123" s="30">
        <f>MOD($E5+O$122,$E$1)</f>
        <v>3</v>
      </c>
      <c r="Q123" s="30">
        <f>MOD($E5+Q$122,$E$1)</f>
        <v>7</v>
      </c>
    </row>
    <row r="124" spans="1:17" x14ac:dyDescent="0.45">
      <c r="A124" s="274"/>
      <c r="B124" s="1">
        <v>2</v>
      </c>
      <c r="C124" s="30">
        <f t="shared" ref="C124:C130" si="120">MOD($E6+C$122,$E$1)</f>
        <v>2</v>
      </c>
      <c r="E124" s="30">
        <f t="shared" ref="E124:E130" si="121">MOD($E6+E$122,$E$1)</f>
        <v>7</v>
      </c>
      <c r="G124" s="30">
        <f t="shared" ref="G124:G130" si="122">MOD($E6+G$122,$E$1)</f>
        <v>5</v>
      </c>
      <c r="I124" s="30">
        <f t="shared" ref="I124:I130" si="123">MOD($E6+I$122,$E$1)</f>
        <v>7</v>
      </c>
      <c r="K124" s="30">
        <f t="shared" ref="K124:K130" si="124">MOD($E6+K$122,$E$1)</f>
        <v>3</v>
      </c>
      <c r="M124" s="30">
        <f t="shared" ref="M124:M130" si="125">MOD($E6+M$122,$E$1)</f>
        <v>1</v>
      </c>
      <c r="O124" s="30">
        <f t="shared" ref="O124:O130" si="126">MOD($E6+O$122,$E$1)</f>
        <v>7</v>
      </c>
      <c r="Q124" s="30">
        <f t="shared" ref="Q124:Q130" si="127">MOD($E6+Q$122,$E$1)</f>
        <v>3</v>
      </c>
    </row>
    <row r="125" spans="1:17" x14ac:dyDescent="0.45">
      <c r="A125" s="274"/>
      <c r="B125" s="1">
        <v>3</v>
      </c>
      <c r="C125" s="30">
        <f t="shared" si="120"/>
        <v>5</v>
      </c>
      <c r="E125" s="30">
        <f t="shared" si="121"/>
        <v>2</v>
      </c>
      <c r="G125" s="30">
        <f t="shared" si="122"/>
        <v>0</v>
      </c>
      <c r="I125" s="30">
        <f t="shared" si="123"/>
        <v>2</v>
      </c>
      <c r="K125" s="30">
        <f t="shared" si="124"/>
        <v>6</v>
      </c>
      <c r="M125" s="30">
        <f t="shared" si="125"/>
        <v>4</v>
      </c>
      <c r="O125" s="30">
        <f t="shared" si="126"/>
        <v>2</v>
      </c>
      <c r="Q125" s="30">
        <f t="shared" si="127"/>
        <v>6</v>
      </c>
    </row>
    <row r="126" spans="1:17" x14ac:dyDescent="0.45">
      <c r="A126" s="274"/>
      <c r="B126" s="1">
        <v>4</v>
      </c>
      <c r="C126" s="30">
        <f t="shared" si="120"/>
        <v>1</v>
      </c>
      <c r="D126">
        <v>4</v>
      </c>
      <c r="E126" s="30">
        <f t="shared" si="121"/>
        <v>6</v>
      </c>
      <c r="G126" s="30">
        <f t="shared" si="122"/>
        <v>4</v>
      </c>
      <c r="I126" s="30">
        <f t="shared" si="123"/>
        <v>6</v>
      </c>
      <c r="K126" s="30">
        <f t="shared" si="124"/>
        <v>2</v>
      </c>
      <c r="M126" s="30">
        <f t="shared" si="125"/>
        <v>0</v>
      </c>
      <c r="O126" s="30">
        <f t="shared" si="126"/>
        <v>6</v>
      </c>
      <c r="Q126" s="30">
        <f t="shared" si="127"/>
        <v>2</v>
      </c>
    </row>
    <row r="127" spans="1:17" x14ac:dyDescent="0.45">
      <c r="A127" s="274"/>
      <c r="B127" s="1">
        <v>5</v>
      </c>
      <c r="C127" s="30">
        <f t="shared" si="120"/>
        <v>3</v>
      </c>
      <c r="E127" s="30">
        <f t="shared" si="121"/>
        <v>0</v>
      </c>
      <c r="G127" s="30">
        <f t="shared" si="122"/>
        <v>6</v>
      </c>
      <c r="I127" s="30">
        <f t="shared" si="123"/>
        <v>0</v>
      </c>
      <c r="K127" s="30">
        <f t="shared" si="124"/>
        <v>4</v>
      </c>
      <c r="M127" s="30">
        <f t="shared" si="125"/>
        <v>2</v>
      </c>
      <c r="O127" s="30">
        <f t="shared" si="126"/>
        <v>0</v>
      </c>
      <c r="Q127" s="30">
        <f t="shared" si="127"/>
        <v>4</v>
      </c>
    </row>
    <row r="128" spans="1:17" x14ac:dyDescent="0.45">
      <c r="A128" s="274"/>
      <c r="B128" s="1">
        <v>6</v>
      </c>
      <c r="C128" s="30">
        <f t="shared" si="120"/>
        <v>7</v>
      </c>
      <c r="E128" s="30">
        <f t="shared" si="121"/>
        <v>4</v>
      </c>
      <c r="G128" s="30">
        <f t="shared" si="122"/>
        <v>2</v>
      </c>
      <c r="I128" s="30">
        <f t="shared" si="123"/>
        <v>4</v>
      </c>
      <c r="K128" s="30">
        <f t="shared" si="124"/>
        <v>0</v>
      </c>
      <c r="M128" s="30">
        <f t="shared" si="125"/>
        <v>6</v>
      </c>
      <c r="O128" s="30">
        <f t="shared" si="126"/>
        <v>4</v>
      </c>
      <c r="Q128" s="30">
        <f t="shared" si="127"/>
        <v>0</v>
      </c>
    </row>
    <row r="129" spans="1:17" x14ac:dyDescent="0.45">
      <c r="A129" s="274"/>
      <c r="B129" s="1">
        <v>7</v>
      </c>
      <c r="C129" s="30">
        <f t="shared" si="120"/>
        <v>4</v>
      </c>
      <c r="E129" s="30">
        <f t="shared" si="121"/>
        <v>1</v>
      </c>
      <c r="G129" s="30">
        <f t="shared" si="122"/>
        <v>7</v>
      </c>
      <c r="I129" s="30">
        <f t="shared" si="123"/>
        <v>1</v>
      </c>
      <c r="K129" s="30">
        <f t="shared" si="124"/>
        <v>5</v>
      </c>
      <c r="M129" s="30">
        <f t="shared" si="125"/>
        <v>3</v>
      </c>
      <c r="O129" s="30">
        <f t="shared" si="126"/>
        <v>1</v>
      </c>
      <c r="Q129" s="30">
        <f t="shared" si="127"/>
        <v>5</v>
      </c>
    </row>
    <row r="130" spans="1:17" x14ac:dyDescent="0.45">
      <c r="A130" s="275"/>
      <c r="B130" s="1">
        <v>8</v>
      </c>
      <c r="C130" s="30">
        <f t="shared" si="120"/>
        <v>0</v>
      </c>
      <c r="D130">
        <v>3</v>
      </c>
      <c r="E130" s="30">
        <f t="shared" si="121"/>
        <v>5</v>
      </c>
      <c r="G130" s="30">
        <f t="shared" si="122"/>
        <v>3</v>
      </c>
      <c r="I130" s="30">
        <f t="shared" si="123"/>
        <v>5</v>
      </c>
      <c r="K130" s="30">
        <f t="shared" si="124"/>
        <v>1</v>
      </c>
      <c r="M130" s="30">
        <f t="shared" si="125"/>
        <v>7</v>
      </c>
      <c r="O130" s="30">
        <f t="shared" si="126"/>
        <v>5</v>
      </c>
      <c r="Q130" s="30">
        <f t="shared" si="127"/>
        <v>1</v>
      </c>
    </row>
    <row r="131" spans="1:17" x14ac:dyDescent="0.45">
      <c r="A131" s="272" t="s">
        <v>145</v>
      </c>
      <c r="B131" s="272"/>
      <c r="C131" s="272"/>
      <c r="D131" s="272"/>
    </row>
  </sheetData>
  <mergeCells count="14">
    <mergeCell ref="A131:D131"/>
    <mergeCell ref="A102:A110"/>
    <mergeCell ref="A112:A120"/>
    <mergeCell ref="A122:A130"/>
    <mergeCell ref="A92:A100"/>
    <mergeCell ref="A65:A73"/>
    <mergeCell ref="A43:E43"/>
    <mergeCell ref="A74:A82"/>
    <mergeCell ref="A83:A91"/>
    <mergeCell ref="A1:D1"/>
    <mergeCell ref="A3:E3"/>
    <mergeCell ref="A26:A33"/>
    <mergeCell ref="A35:A42"/>
    <mergeCell ref="A56:A64"/>
  </mergeCells>
  <phoneticPr fontId="2" type="noConversion"/>
  <pageMargins left="0.7" right="0.7" top="0.75" bottom="0.75" header="0.3" footer="0.3"/>
  <pageSetup paperSize="9" scale="93" orientation="portrait" horizontalDpi="300" verticalDpi="300" r:id="rId1"/>
  <rowBreaks count="1" manualBreakCount="1">
    <brk id="73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129"/>
  <sheetViews>
    <sheetView view="pageBreakPreview" topLeftCell="A10" zoomScaleNormal="115" zoomScaleSheetLayoutView="100" workbookViewId="0">
      <selection activeCell="L50" sqref="L50"/>
    </sheetView>
  </sheetViews>
  <sheetFormatPr defaultRowHeight="17" x14ac:dyDescent="0.45"/>
  <cols>
    <col min="2" max="2" width="9" customWidth="1"/>
    <col min="3" max="3" width="9.33203125" bestFit="1" customWidth="1"/>
    <col min="4" max="4" width="12.5" customWidth="1"/>
    <col min="5" max="5" width="12.33203125" customWidth="1"/>
    <col min="6" max="6" width="11.58203125" bestFit="1" customWidth="1"/>
    <col min="10" max="10" width="12.75" customWidth="1"/>
    <col min="11" max="11" width="15.25" customWidth="1"/>
  </cols>
  <sheetData>
    <row r="1" spans="1:12" x14ac:dyDescent="0.45">
      <c r="A1" s="270" t="s">
        <v>146</v>
      </c>
      <c r="B1" s="270"/>
      <c r="C1" s="270"/>
      <c r="D1" s="270"/>
      <c r="E1" s="5">
        <v>16</v>
      </c>
    </row>
    <row r="2" spans="1:12" x14ac:dyDescent="0.45">
      <c r="A2" s="6" t="s">
        <v>147</v>
      </c>
      <c r="B2" s="6"/>
      <c r="C2" s="6"/>
      <c r="D2" s="6"/>
      <c r="E2" s="5">
        <v>5</v>
      </c>
    </row>
    <row r="3" spans="1:12" x14ac:dyDescent="0.45">
      <c r="A3" s="270" t="s">
        <v>30</v>
      </c>
      <c r="B3" s="270"/>
      <c r="C3" s="270"/>
      <c r="D3" s="270"/>
      <c r="E3" s="270"/>
    </row>
    <row r="4" spans="1:12" x14ac:dyDescent="0.45">
      <c r="B4" s="9"/>
      <c r="C4" s="9" t="s">
        <v>24</v>
      </c>
      <c r="D4" s="10" t="s">
        <v>3</v>
      </c>
      <c r="E4" s="11" t="s">
        <v>28</v>
      </c>
      <c r="F4" s="33"/>
      <c r="H4" s="9"/>
      <c r="I4" s="20" t="s">
        <v>26</v>
      </c>
      <c r="J4" s="21"/>
      <c r="K4" s="10" t="s">
        <v>27</v>
      </c>
      <c r="L4" s="24" t="s">
        <v>6</v>
      </c>
    </row>
    <row r="5" spans="1:12" x14ac:dyDescent="0.45">
      <c r="B5" s="12" t="s">
        <v>9</v>
      </c>
      <c r="C5" s="7" t="s">
        <v>33</v>
      </c>
      <c r="D5" s="7" t="s">
        <v>2</v>
      </c>
      <c r="E5" s="13">
        <f>HEX2DEC(D5)</f>
        <v>975202823</v>
      </c>
      <c r="F5" s="67">
        <f t="shared" ref="F5:F12" si="0">MOD(E5,$E$1)</f>
        <v>7</v>
      </c>
      <c r="H5" s="12" t="s">
        <v>9</v>
      </c>
      <c r="I5" s="17" t="s">
        <v>107</v>
      </c>
      <c r="J5" s="7"/>
      <c r="K5" s="7">
        <v>1694767713</v>
      </c>
      <c r="L5" s="22">
        <f t="shared" ref="L5:L12" si="1">MOD(K5,$E$1)</f>
        <v>1</v>
      </c>
    </row>
    <row r="6" spans="1:12" x14ac:dyDescent="0.45">
      <c r="B6" s="12" t="s">
        <v>8</v>
      </c>
      <c r="C6" s="8" t="s">
        <v>34</v>
      </c>
      <c r="D6" s="8" t="s">
        <v>1</v>
      </c>
      <c r="E6" s="13">
        <f t="shared" ref="E6:E12" si="2">HEX2DEC(D6)</f>
        <v>2369628931</v>
      </c>
      <c r="F6" s="67">
        <f t="shared" si="0"/>
        <v>3</v>
      </c>
      <c r="H6" s="12" t="s">
        <v>8</v>
      </c>
      <c r="I6" s="17" t="s">
        <v>113</v>
      </c>
      <c r="J6" s="7"/>
      <c r="K6" s="7">
        <v>1695027404</v>
      </c>
      <c r="L6" s="22">
        <f t="shared" si="1"/>
        <v>12</v>
      </c>
    </row>
    <row r="7" spans="1:12" x14ac:dyDescent="0.45">
      <c r="B7" s="12" t="s">
        <v>7</v>
      </c>
      <c r="C7" s="8" t="s">
        <v>35</v>
      </c>
      <c r="D7" s="8" t="s">
        <v>0</v>
      </c>
      <c r="E7" s="13">
        <f t="shared" si="2"/>
        <v>1411115022</v>
      </c>
      <c r="F7" s="67">
        <f t="shared" si="0"/>
        <v>14</v>
      </c>
      <c r="H7" s="12" t="s">
        <v>7</v>
      </c>
      <c r="I7" s="17" t="s">
        <v>114</v>
      </c>
      <c r="J7" s="7"/>
      <c r="K7" s="7">
        <v>1695027407</v>
      </c>
      <c r="L7" s="22">
        <f t="shared" si="1"/>
        <v>15</v>
      </c>
    </row>
    <row r="8" spans="1:12" x14ac:dyDescent="0.45">
      <c r="B8" s="12" t="s">
        <v>19</v>
      </c>
      <c r="C8" s="8" t="s">
        <v>36</v>
      </c>
      <c r="D8" s="8" t="s">
        <v>12</v>
      </c>
      <c r="E8" s="13">
        <f t="shared" si="2"/>
        <v>3808831754</v>
      </c>
      <c r="F8" s="67">
        <f t="shared" si="0"/>
        <v>10</v>
      </c>
      <c r="H8" s="12" t="s">
        <v>19</v>
      </c>
      <c r="I8" s="17" t="s">
        <v>115</v>
      </c>
      <c r="J8" s="7"/>
      <c r="K8" s="7">
        <v>1695027046</v>
      </c>
      <c r="L8" s="22">
        <f t="shared" si="1"/>
        <v>6</v>
      </c>
    </row>
    <row r="9" spans="1:12" x14ac:dyDescent="0.45">
      <c r="B9" s="12" t="s">
        <v>20</v>
      </c>
      <c r="C9" s="8" t="s">
        <v>37</v>
      </c>
      <c r="D9" s="8" t="s">
        <v>14</v>
      </c>
      <c r="E9" s="13">
        <f t="shared" si="2"/>
        <v>3864423956</v>
      </c>
      <c r="F9" s="67">
        <f t="shared" si="0"/>
        <v>4</v>
      </c>
      <c r="H9" s="12" t="s">
        <v>20</v>
      </c>
      <c r="I9" s="17" t="s">
        <v>112</v>
      </c>
      <c r="J9" s="7"/>
      <c r="K9" s="7">
        <v>1694956842</v>
      </c>
      <c r="L9" s="22">
        <f t="shared" si="1"/>
        <v>10</v>
      </c>
    </row>
    <row r="10" spans="1:12" x14ac:dyDescent="0.45">
      <c r="B10" s="12" t="s">
        <v>21</v>
      </c>
      <c r="C10" s="8" t="s">
        <v>38</v>
      </c>
      <c r="D10" s="8" t="s">
        <v>15</v>
      </c>
      <c r="E10" s="13">
        <f t="shared" si="2"/>
        <v>1363914512</v>
      </c>
      <c r="F10" s="67">
        <f t="shared" si="0"/>
        <v>0</v>
      </c>
      <c r="H10" s="12" t="s">
        <v>21</v>
      </c>
      <c r="I10" s="17" t="s">
        <v>111</v>
      </c>
      <c r="J10" s="7"/>
      <c r="K10" s="7">
        <v>1694870435</v>
      </c>
      <c r="L10" s="22">
        <f t="shared" si="1"/>
        <v>3</v>
      </c>
    </row>
    <row r="11" spans="1:12" x14ac:dyDescent="0.45">
      <c r="B11" s="12" t="s">
        <v>22</v>
      </c>
      <c r="C11" s="8" t="s">
        <v>39</v>
      </c>
      <c r="D11" s="8" t="s">
        <v>16</v>
      </c>
      <c r="E11" s="13">
        <f t="shared" si="2"/>
        <v>2288905245</v>
      </c>
      <c r="F11" s="67">
        <f t="shared" si="0"/>
        <v>13</v>
      </c>
      <c r="H11" s="12" t="s">
        <v>22</v>
      </c>
      <c r="I11" s="17" t="s">
        <v>110</v>
      </c>
      <c r="J11" s="7"/>
      <c r="K11" s="7">
        <v>1694866776</v>
      </c>
      <c r="L11" s="22">
        <f t="shared" si="1"/>
        <v>8</v>
      </c>
    </row>
    <row r="12" spans="1:12" x14ac:dyDescent="0.45">
      <c r="B12" s="14" t="s">
        <v>23</v>
      </c>
      <c r="C12" s="15" t="s">
        <v>40</v>
      </c>
      <c r="D12" s="15" t="s">
        <v>17</v>
      </c>
      <c r="E12" s="16">
        <f t="shared" si="2"/>
        <v>1064316185</v>
      </c>
      <c r="F12" s="68">
        <f t="shared" si="0"/>
        <v>9</v>
      </c>
      <c r="H12" s="14" t="s">
        <v>23</v>
      </c>
      <c r="I12" s="18" t="s">
        <v>109</v>
      </c>
      <c r="J12" s="19"/>
      <c r="K12" s="19">
        <v>1694780381</v>
      </c>
      <c r="L12" s="23">
        <f t="shared" si="1"/>
        <v>13</v>
      </c>
    </row>
    <row r="13" spans="1:12" x14ac:dyDescent="0.45">
      <c r="B13" s="6"/>
      <c r="C13" s="6"/>
      <c r="D13" s="6"/>
      <c r="E13" s="6"/>
      <c r="F13" s="36"/>
    </row>
    <row r="14" spans="1:12" hidden="1" x14ac:dyDescent="0.45">
      <c r="B14" s="9"/>
      <c r="C14" s="9" t="s">
        <v>29</v>
      </c>
      <c r="D14" s="10" t="s">
        <v>3</v>
      </c>
      <c r="E14" s="11" t="s">
        <v>28</v>
      </c>
      <c r="F14" s="33"/>
      <c r="H14" s="12" t="s">
        <v>99</v>
      </c>
      <c r="I14" s="17" t="s">
        <v>108</v>
      </c>
      <c r="J14" s="7"/>
      <c r="K14" s="7">
        <v>1694767713</v>
      </c>
      <c r="L14" s="22">
        <f t="shared" ref="L14" si="3">MOD(K14,$E$1)</f>
        <v>1</v>
      </c>
    </row>
    <row r="15" spans="1:12" hidden="1" x14ac:dyDescent="0.45">
      <c r="B15" s="12" t="s">
        <v>9</v>
      </c>
      <c r="C15" s="7" t="s">
        <v>63</v>
      </c>
      <c r="D15" s="7" t="s">
        <v>41</v>
      </c>
      <c r="E15" s="13">
        <f t="shared" ref="E15:E22" si="4">HEX2DEC(D15)</f>
        <v>4007243385</v>
      </c>
      <c r="F15" s="34">
        <f t="shared" ref="F15:F22" si="5">MOD(E15,$E$1)</f>
        <v>9</v>
      </c>
      <c r="H15" s="12" t="s">
        <v>100</v>
      </c>
      <c r="I15" s="17" t="s">
        <v>109</v>
      </c>
      <c r="J15" s="7"/>
      <c r="K15" s="7">
        <v>1694780381</v>
      </c>
      <c r="L15" s="22">
        <f>MOD(K15,$E$1)</f>
        <v>13</v>
      </c>
    </row>
    <row r="16" spans="1:12" hidden="1" x14ac:dyDescent="0.45">
      <c r="B16" s="12" t="s">
        <v>8</v>
      </c>
      <c r="C16" s="8" t="s">
        <v>64</v>
      </c>
      <c r="D16" s="8" t="s">
        <v>42</v>
      </c>
      <c r="E16" s="13">
        <f t="shared" si="4"/>
        <v>741961799</v>
      </c>
      <c r="F16" s="34">
        <f t="shared" si="5"/>
        <v>7</v>
      </c>
      <c r="H16" s="12" t="s">
        <v>101</v>
      </c>
      <c r="I16" s="17" t="s">
        <v>110</v>
      </c>
      <c r="J16" s="7"/>
      <c r="K16" s="7">
        <v>1694866776</v>
      </c>
      <c r="L16" s="22">
        <f>MOD(K16,$E$1)</f>
        <v>8</v>
      </c>
    </row>
    <row r="17" spans="1:12" hidden="1" x14ac:dyDescent="0.45">
      <c r="B17" s="12" t="s">
        <v>7</v>
      </c>
      <c r="C17" s="8" t="s">
        <v>43</v>
      </c>
      <c r="D17" s="8" t="s">
        <v>44</v>
      </c>
      <c r="E17" s="13">
        <f t="shared" si="4"/>
        <v>2090387501</v>
      </c>
      <c r="F17" s="34">
        <f t="shared" si="5"/>
        <v>13</v>
      </c>
      <c r="H17" s="12" t="s">
        <v>102</v>
      </c>
      <c r="I17" s="17" t="s">
        <v>111</v>
      </c>
      <c r="J17" s="7"/>
      <c r="K17" s="7">
        <v>1694870435</v>
      </c>
      <c r="L17" s="22">
        <f>MOD(K17,$E$1)</f>
        <v>3</v>
      </c>
    </row>
    <row r="18" spans="1:12" hidden="1" x14ac:dyDescent="0.45">
      <c r="B18" s="12" t="s">
        <v>19</v>
      </c>
      <c r="C18" s="8" t="s">
        <v>45</v>
      </c>
      <c r="D18" s="8" t="s">
        <v>46</v>
      </c>
      <c r="E18" s="13">
        <f t="shared" si="4"/>
        <v>3008211374</v>
      </c>
      <c r="F18" s="34">
        <f t="shared" si="5"/>
        <v>14</v>
      </c>
      <c r="H18" s="12" t="s">
        <v>103</v>
      </c>
      <c r="I18" s="17" t="s">
        <v>112</v>
      </c>
      <c r="J18" s="7"/>
      <c r="K18" s="7">
        <v>1694956842</v>
      </c>
      <c r="L18" s="22">
        <f t="shared" ref="L18" si="6">MOD(K18,$E$1)</f>
        <v>10</v>
      </c>
    </row>
    <row r="19" spans="1:12" hidden="1" x14ac:dyDescent="0.45">
      <c r="B19" s="12" t="s">
        <v>20</v>
      </c>
      <c r="C19" s="8" t="s">
        <v>47</v>
      </c>
      <c r="D19" s="8" t="s">
        <v>31</v>
      </c>
      <c r="E19" s="13">
        <f t="shared" si="4"/>
        <v>1663953499</v>
      </c>
      <c r="F19" s="34">
        <f t="shared" si="5"/>
        <v>11</v>
      </c>
      <c r="H19" s="12" t="s">
        <v>104</v>
      </c>
      <c r="I19" s="17" t="s">
        <v>113</v>
      </c>
      <c r="J19" s="7"/>
      <c r="K19" s="7">
        <v>1695027404</v>
      </c>
      <c r="L19" s="22">
        <f>MOD(K19,$E$1)</f>
        <v>12</v>
      </c>
    </row>
    <row r="20" spans="1:12" hidden="1" x14ac:dyDescent="0.45">
      <c r="B20" s="12" t="s">
        <v>21</v>
      </c>
      <c r="C20" s="8" t="s">
        <v>48</v>
      </c>
      <c r="D20" s="8" t="s">
        <v>49</v>
      </c>
      <c r="E20" s="13">
        <f t="shared" si="4"/>
        <v>2393897642</v>
      </c>
      <c r="F20" s="34">
        <f t="shared" si="5"/>
        <v>10</v>
      </c>
      <c r="H20" s="12" t="s">
        <v>105</v>
      </c>
      <c r="I20" s="17" t="s">
        <v>114</v>
      </c>
      <c r="J20" s="7"/>
      <c r="K20" s="7">
        <v>1695027407</v>
      </c>
      <c r="L20" s="22">
        <f>MOD(K20,$E$1)</f>
        <v>15</v>
      </c>
    </row>
    <row r="21" spans="1:12" hidden="1" x14ac:dyDescent="0.45">
      <c r="B21" s="12" t="s">
        <v>22</v>
      </c>
      <c r="C21" s="8" t="s">
        <v>50</v>
      </c>
      <c r="D21" s="8" t="s">
        <v>51</v>
      </c>
      <c r="E21" s="13">
        <f t="shared" si="4"/>
        <v>3269788900</v>
      </c>
      <c r="F21" s="34">
        <f t="shared" si="5"/>
        <v>4</v>
      </c>
      <c r="H21" s="14" t="s">
        <v>106</v>
      </c>
      <c r="I21" s="18" t="s">
        <v>119</v>
      </c>
      <c r="J21" s="19"/>
      <c r="K21" s="19">
        <v>1695027046</v>
      </c>
      <c r="L21" s="23">
        <f>MOD(K21,$E$1)</f>
        <v>6</v>
      </c>
    </row>
    <row r="22" spans="1:12" hidden="1" x14ac:dyDescent="0.45">
      <c r="B22" s="14" t="s">
        <v>23</v>
      </c>
      <c r="C22" s="15" t="s">
        <v>32</v>
      </c>
      <c r="D22" s="15" t="s">
        <v>52</v>
      </c>
      <c r="E22" s="16">
        <f t="shared" si="4"/>
        <v>4126241984</v>
      </c>
      <c r="F22" s="35">
        <f t="shared" si="5"/>
        <v>0</v>
      </c>
    </row>
    <row r="23" spans="1:12" hidden="1" x14ac:dyDescent="0.45"/>
    <row r="24" spans="1:12" hidden="1" x14ac:dyDescent="0.45">
      <c r="B24" s="6" t="s">
        <v>98</v>
      </c>
      <c r="C24" s="6"/>
      <c r="D24" s="6"/>
      <c r="E24" s="6"/>
      <c r="F24" s="6"/>
    </row>
    <row r="25" spans="1:12" hidden="1" x14ac:dyDescent="0.45">
      <c r="B25" s="9"/>
      <c r="C25" s="20" t="s">
        <v>26</v>
      </c>
      <c r="D25" s="21"/>
      <c r="E25" s="10" t="s">
        <v>27</v>
      </c>
      <c r="F25" s="24" t="s">
        <v>6</v>
      </c>
      <c r="H25" t="s">
        <v>120</v>
      </c>
    </row>
    <row r="26" spans="1:12" hidden="1" x14ac:dyDescent="0.45">
      <c r="A26" s="276"/>
      <c r="B26" s="12" t="s">
        <v>99</v>
      </c>
      <c r="C26" s="17" t="s">
        <v>108</v>
      </c>
      <c r="D26" s="7"/>
      <c r="E26" s="7">
        <v>1694767713</v>
      </c>
      <c r="F26" s="22">
        <f t="shared" ref="F26:F30" si="7">MOD(E26,$E$1)</f>
        <v>1</v>
      </c>
    </row>
    <row r="27" spans="1:12" hidden="1" x14ac:dyDescent="0.45">
      <c r="A27" s="276"/>
      <c r="B27" s="12" t="s">
        <v>100</v>
      </c>
      <c r="C27" s="17" t="s">
        <v>109</v>
      </c>
      <c r="D27" s="7"/>
      <c r="E27" s="7">
        <v>1694780381</v>
      </c>
      <c r="F27" s="22">
        <f>MOD(E27,$E$1)</f>
        <v>13</v>
      </c>
    </row>
    <row r="28" spans="1:12" hidden="1" x14ac:dyDescent="0.45">
      <c r="A28" s="276"/>
      <c r="B28" s="12" t="s">
        <v>101</v>
      </c>
      <c r="C28" s="17" t="s">
        <v>110</v>
      </c>
      <c r="D28" s="7"/>
      <c r="E28" s="7">
        <v>1694866776</v>
      </c>
      <c r="F28" s="22">
        <f>MOD(E28,$E$1)</f>
        <v>8</v>
      </c>
    </row>
    <row r="29" spans="1:12" hidden="1" x14ac:dyDescent="0.45">
      <c r="A29" s="276"/>
      <c r="B29" s="12" t="s">
        <v>102</v>
      </c>
      <c r="C29" s="17" t="s">
        <v>111</v>
      </c>
      <c r="D29" s="7"/>
      <c r="E29" s="7">
        <v>1694870435</v>
      </c>
      <c r="F29" s="22">
        <f>MOD(E29,$E$1)</f>
        <v>3</v>
      </c>
      <c r="I29">
        <f ca="1">RANDBETWEEN(0,7)</f>
        <v>6</v>
      </c>
    </row>
    <row r="30" spans="1:12" hidden="1" x14ac:dyDescent="0.45">
      <c r="A30" s="276"/>
      <c r="B30" s="12" t="s">
        <v>103</v>
      </c>
      <c r="C30" s="17" t="s">
        <v>112</v>
      </c>
      <c r="D30" s="7"/>
      <c r="E30" s="7">
        <v>1694956842</v>
      </c>
      <c r="F30" s="22">
        <f t="shared" si="7"/>
        <v>10</v>
      </c>
    </row>
    <row r="31" spans="1:12" hidden="1" x14ac:dyDescent="0.45">
      <c r="A31" s="276"/>
      <c r="B31" s="12" t="s">
        <v>104</v>
      </c>
      <c r="C31" s="17" t="s">
        <v>113</v>
      </c>
      <c r="D31" s="7"/>
      <c r="E31" s="7">
        <v>1695027404</v>
      </c>
      <c r="F31" s="22">
        <f>MOD(E31,$E$1)</f>
        <v>12</v>
      </c>
    </row>
    <row r="32" spans="1:12" hidden="1" x14ac:dyDescent="0.45">
      <c r="A32" s="276"/>
      <c r="B32" s="12" t="s">
        <v>105</v>
      </c>
      <c r="C32" s="17" t="s">
        <v>114</v>
      </c>
      <c r="D32" s="7"/>
      <c r="E32" s="7">
        <v>1695027407</v>
      </c>
      <c r="F32" s="22">
        <f>MOD(E32,$E$1)</f>
        <v>15</v>
      </c>
    </row>
    <row r="33" spans="1:10" hidden="1" x14ac:dyDescent="0.45">
      <c r="A33" s="276"/>
      <c r="B33" s="14" t="s">
        <v>106</v>
      </c>
      <c r="C33" s="18" t="s">
        <v>119</v>
      </c>
      <c r="D33" s="19"/>
      <c r="E33" s="19">
        <v>1695027046</v>
      </c>
      <c r="F33" s="23">
        <f>MOD(E33,$E$1)</f>
        <v>6</v>
      </c>
    </row>
    <row r="34" spans="1:10" hidden="1" x14ac:dyDescent="0.45">
      <c r="B34" s="9"/>
      <c r="C34" s="24" t="s">
        <v>122</v>
      </c>
      <c r="D34" s="24" t="s">
        <v>124</v>
      </c>
      <c r="E34" s="24" t="s">
        <v>125</v>
      </c>
      <c r="F34" s="24" t="s">
        <v>126</v>
      </c>
      <c r="G34" s="24" t="s">
        <v>127</v>
      </c>
      <c r="H34" s="24" t="s">
        <v>128</v>
      </c>
      <c r="I34" s="24" t="s">
        <v>129</v>
      </c>
      <c r="J34" s="24" t="s">
        <v>130</v>
      </c>
    </row>
    <row r="35" spans="1:10" hidden="1" x14ac:dyDescent="0.45">
      <c r="A35" s="276">
        <v>1</v>
      </c>
      <c r="B35" s="12" t="s">
        <v>9</v>
      </c>
      <c r="C35" s="22">
        <f ca="1">RANDBETWEEN(0,7)</f>
        <v>4</v>
      </c>
      <c r="D35" s="22">
        <f t="shared" ref="D35:J42" ca="1" si="8">RANDBETWEEN(0,7)</f>
        <v>4</v>
      </c>
      <c r="E35" s="22">
        <f t="shared" ca="1" si="8"/>
        <v>3</v>
      </c>
      <c r="F35" s="22">
        <f t="shared" ca="1" si="8"/>
        <v>0</v>
      </c>
      <c r="G35" s="22">
        <f t="shared" ca="1" si="8"/>
        <v>6</v>
      </c>
      <c r="H35" s="22">
        <f t="shared" ca="1" si="8"/>
        <v>5</v>
      </c>
      <c r="I35" s="22">
        <f t="shared" ca="1" si="8"/>
        <v>1</v>
      </c>
      <c r="J35" s="22">
        <f t="shared" ca="1" si="8"/>
        <v>6</v>
      </c>
    </row>
    <row r="36" spans="1:10" hidden="1" x14ac:dyDescent="0.45">
      <c r="A36" s="276"/>
      <c r="B36" s="12" t="s">
        <v>8</v>
      </c>
      <c r="C36" s="22">
        <f t="shared" ref="C36:C42" ca="1" si="9">RANDBETWEEN(0,7)</f>
        <v>0</v>
      </c>
      <c r="D36" s="22">
        <f t="shared" ca="1" si="8"/>
        <v>1</v>
      </c>
      <c r="E36" s="22">
        <f t="shared" ca="1" si="8"/>
        <v>7</v>
      </c>
      <c r="F36" s="22">
        <f t="shared" ca="1" si="8"/>
        <v>5</v>
      </c>
      <c r="G36" s="22">
        <f t="shared" ca="1" si="8"/>
        <v>4</v>
      </c>
      <c r="H36" s="22">
        <f t="shared" ca="1" si="8"/>
        <v>4</v>
      </c>
      <c r="I36" s="22">
        <f t="shared" ca="1" si="8"/>
        <v>0</v>
      </c>
      <c r="J36" s="22">
        <f t="shared" ca="1" si="8"/>
        <v>4</v>
      </c>
    </row>
    <row r="37" spans="1:10" hidden="1" x14ac:dyDescent="0.45">
      <c r="A37" s="276"/>
      <c r="B37" s="12" t="s">
        <v>7</v>
      </c>
      <c r="C37" s="22">
        <f t="shared" ca="1" si="9"/>
        <v>5</v>
      </c>
      <c r="D37" s="22">
        <f t="shared" ca="1" si="8"/>
        <v>4</v>
      </c>
      <c r="E37" s="22">
        <f t="shared" ca="1" si="8"/>
        <v>3</v>
      </c>
      <c r="F37" s="22">
        <f t="shared" ca="1" si="8"/>
        <v>6</v>
      </c>
      <c r="G37" s="22">
        <f t="shared" ca="1" si="8"/>
        <v>7</v>
      </c>
      <c r="H37" s="22">
        <f t="shared" ca="1" si="8"/>
        <v>5</v>
      </c>
      <c r="I37" s="22">
        <f t="shared" ca="1" si="8"/>
        <v>6</v>
      </c>
      <c r="J37" s="22">
        <f t="shared" ca="1" si="8"/>
        <v>1</v>
      </c>
    </row>
    <row r="38" spans="1:10" hidden="1" x14ac:dyDescent="0.45">
      <c r="A38" s="276"/>
      <c r="B38" s="12" t="s">
        <v>19</v>
      </c>
      <c r="C38" s="22">
        <f t="shared" ca="1" si="9"/>
        <v>1</v>
      </c>
      <c r="D38" s="22">
        <f t="shared" ca="1" si="8"/>
        <v>4</v>
      </c>
      <c r="E38" s="22">
        <f t="shared" ca="1" si="8"/>
        <v>3</v>
      </c>
      <c r="F38" s="22">
        <f t="shared" ca="1" si="8"/>
        <v>2</v>
      </c>
      <c r="G38" s="22">
        <f t="shared" ca="1" si="8"/>
        <v>1</v>
      </c>
      <c r="H38" s="22">
        <f t="shared" ca="1" si="8"/>
        <v>1</v>
      </c>
      <c r="I38" s="22">
        <f t="shared" ca="1" si="8"/>
        <v>6</v>
      </c>
      <c r="J38" s="22">
        <f t="shared" ca="1" si="8"/>
        <v>4</v>
      </c>
    </row>
    <row r="39" spans="1:10" hidden="1" x14ac:dyDescent="0.45">
      <c r="A39" s="276"/>
      <c r="B39" s="12" t="s">
        <v>20</v>
      </c>
      <c r="C39" s="22">
        <f t="shared" ca="1" si="9"/>
        <v>2</v>
      </c>
      <c r="D39" s="22">
        <f t="shared" ca="1" si="8"/>
        <v>5</v>
      </c>
      <c r="E39" s="22">
        <f t="shared" ca="1" si="8"/>
        <v>4</v>
      </c>
      <c r="F39" s="22">
        <f t="shared" ca="1" si="8"/>
        <v>5</v>
      </c>
      <c r="G39" s="22">
        <f t="shared" ca="1" si="8"/>
        <v>5</v>
      </c>
      <c r="H39" s="22">
        <f t="shared" ca="1" si="8"/>
        <v>0</v>
      </c>
      <c r="I39" s="22">
        <f t="shared" ca="1" si="8"/>
        <v>0</v>
      </c>
      <c r="J39" s="22">
        <f t="shared" ca="1" si="8"/>
        <v>3</v>
      </c>
    </row>
    <row r="40" spans="1:10" hidden="1" x14ac:dyDescent="0.45">
      <c r="A40" s="276"/>
      <c r="B40" s="12" t="s">
        <v>21</v>
      </c>
      <c r="C40" s="22">
        <f t="shared" ca="1" si="9"/>
        <v>3</v>
      </c>
      <c r="D40" s="22">
        <f t="shared" ca="1" si="8"/>
        <v>4</v>
      </c>
      <c r="E40" s="22">
        <f t="shared" ca="1" si="8"/>
        <v>2</v>
      </c>
      <c r="F40" s="22">
        <f t="shared" ca="1" si="8"/>
        <v>5</v>
      </c>
      <c r="G40" s="22">
        <f t="shared" ca="1" si="8"/>
        <v>4</v>
      </c>
      <c r="H40" s="22">
        <f t="shared" ca="1" si="8"/>
        <v>5</v>
      </c>
      <c r="I40" s="22">
        <f t="shared" ca="1" si="8"/>
        <v>1</v>
      </c>
      <c r="J40" s="22">
        <f t="shared" ca="1" si="8"/>
        <v>5</v>
      </c>
    </row>
    <row r="41" spans="1:10" hidden="1" x14ac:dyDescent="0.45">
      <c r="A41" s="276"/>
      <c r="B41" s="12" t="s">
        <v>22</v>
      </c>
      <c r="C41" s="22">
        <f t="shared" ca="1" si="9"/>
        <v>0</v>
      </c>
      <c r="D41" s="22">
        <f t="shared" ca="1" si="8"/>
        <v>6</v>
      </c>
      <c r="E41" s="22">
        <f t="shared" ca="1" si="8"/>
        <v>1</v>
      </c>
      <c r="F41" s="22">
        <f t="shared" ca="1" si="8"/>
        <v>1</v>
      </c>
      <c r="G41" s="22">
        <f t="shared" ca="1" si="8"/>
        <v>4</v>
      </c>
      <c r="H41" s="22">
        <f t="shared" ca="1" si="8"/>
        <v>1</v>
      </c>
      <c r="I41" s="22">
        <f t="shared" ca="1" si="8"/>
        <v>7</v>
      </c>
      <c r="J41" s="22">
        <f t="shared" ca="1" si="8"/>
        <v>6</v>
      </c>
    </row>
    <row r="42" spans="1:10" hidden="1" x14ac:dyDescent="0.45">
      <c r="A42" s="276"/>
      <c r="B42" s="14" t="s">
        <v>23</v>
      </c>
      <c r="C42" s="22">
        <f t="shared" ca="1" si="9"/>
        <v>1</v>
      </c>
      <c r="D42" s="22">
        <f t="shared" ca="1" si="8"/>
        <v>2</v>
      </c>
      <c r="E42" s="22">
        <f t="shared" ca="1" si="8"/>
        <v>3</v>
      </c>
      <c r="F42" s="22">
        <f t="shared" ca="1" si="8"/>
        <v>5</v>
      </c>
      <c r="G42" s="22">
        <f t="shared" ca="1" si="8"/>
        <v>3</v>
      </c>
      <c r="H42" s="22">
        <f t="shared" ca="1" si="8"/>
        <v>3</v>
      </c>
      <c r="I42" s="22">
        <f t="shared" ca="1" si="8"/>
        <v>4</v>
      </c>
      <c r="J42" s="22">
        <f t="shared" ca="1" si="8"/>
        <v>5</v>
      </c>
    </row>
    <row r="49" spans="1:50" x14ac:dyDescent="0.45">
      <c r="A49" s="2"/>
      <c r="D49" s="3" t="s">
        <v>134</v>
      </c>
      <c r="E49" s="83" t="s">
        <v>144</v>
      </c>
      <c r="F49" s="3" t="s">
        <v>143</v>
      </c>
      <c r="J49" s="84"/>
      <c r="K49" s="3" t="s">
        <v>135</v>
      </c>
      <c r="O49" s="83"/>
      <c r="P49" s="3" t="s">
        <v>136</v>
      </c>
      <c r="U49" s="3" t="s">
        <v>137</v>
      </c>
      <c r="Z49" s="3" t="s">
        <v>138</v>
      </c>
      <c r="AB49" s="3" t="s">
        <v>139</v>
      </c>
      <c r="AD49" s="3" t="s">
        <v>140</v>
      </c>
    </row>
    <row r="50" spans="1:50" ht="27.75" customHeight="1" x14ac:dyDescent="0.45">
      <c r="A50" s="277">
        <v>1</v>
      </c>
      <c r="B50" s="70" t="s">
        <v>142</v>
      </c>
      <c r="C50" t="s">
        <v>148</v>
      </c>
      <c r="D50" s="48">
        <f>L5</f>
        <v>1</v>
      </c>
      <c r="E50" s="84"/>
      <c r="F50" s="48">
        <f>D50</f>
        <v>1</v>
      </c>
      <c r="G50" t="s">
        <v>148</v>
      </c>
      <c r="H50" t="s">
        <v>149</v>
      </c>
      <c r="J50" s="84"/>
      <c r="K50" s="48">
        <f>F50</f>
        <v>1</v>
      </c>
      <c r="L50" t="s">
        <v>148</v>
      </c>
      <c r="M50" t="s">
        <v>149</v>
      </c>
      <c r="O50" s="84"/>
      <c r="P50" s="48">
        <f>K50</f>
        <v>1</v>
      </c>
      <c r="Q50" t="s">
        <v>148</v>
      </c>
      <c r="R50" t="s">
        <v>149</v>
      </c>
      <c r="T50" s="84"/>
      <c r="U50" s="48">
        <f>K50</f>
        <v>1</v>
      </c>
      <c r="V50" t="s">
        <v>148</v>
      </c>
      <c r="W50" t="s">
        <v>149</v>
      </c>
      <c r="Y50" s="84"/>
      <c r="Z50" s="48">
        <f>U50</f>
        <v>1</v>
      </c>
      <c r="AB50" s="48">
        <f>Z50</f>
        <v>1</v>
      </c>
      <c r="AD50" s="56">
        <f>AB50</f>
        <v>1</v>
      </c>
    </row>
    <row r="51" spans="1:50" x14ac:dyDescent="0.45">
      <c r="A51" s="271"/>
      <c r="B51" s="62">
        <v>1</v>
      </c>
      <c r="C51">
        <v>0</v>
      </c>
      <c r="D51" s="63">
        <f t="shared" ref="D51:D58" si="10">MOD($E5+D$50,$E$1)</f>
        <v>8</v>
      </c>
      <c r="E51" s="84">
        <v>1</v>
      </c>
      <c r="F51" s="63">
        <f t="shared" ref="F51:F58" si="11">MOD($E5+F$50,$E$1)</f>
        <v>8</v>
      </c>
      <c r="G51">
        <f t="shared" ref="G51:G58" si="12">IF(E51=MIN(E$51:E$58),1,0)</f>
        <v>1</v>
      </c>
      <c r="H51">
        <f t="shared" ref="H51:H58" si="13">IF(COUNT(E51)=1,IF(E51=MIN(E$51:E$58),G51*$E$2,0),0)</f>
        <v>5</v>
      </c>
      <c r="I51" s="63">
        <f t="shared" ref="I51:I58" si="14">MOD(F51+H51,$E$1)</f>
        <v>13</v>
      </c>
      <c r="J51" s="85">
        <v>1</v>
      </c>
      <c r="K51" s="63">
        <f t="shared" ref="K51:K58" si="15">MOD($E5+K$50,$E$1)</f>
        <v>8</v>
      </c>
      <c r="L51">
        <f t="shared" ref="L51:L58" si="16">IF(J51=MIN(J$51:J$58),G51+1,G51)</f>
        <v>2</v>
      </c>
      <c r="M51">
        <f t="shared" ref="M51:M58" si="17">IF(COUNT(J51)=1,IF(J51=MIN(J$51:J$58),L51*$E$2,0),0)</f>
        <v>10</v>
      </c>
      <c r="N51" s="63">
        <f t="shared" ref="N51:N58" si="18">MOD(K51+M51,$E$1)</f>
        <v>2</v>
      </c>
      <c r="O51" s="85"/>
      <c r="P51" s="63">
        <f t="shared" ref="P51:P58" si="19">MOD($E5+P$50,$E$1)</f>
        <v>8</v>
      </c>
      <c r="Q51">
        <f t="shared" ref="Q51:Q58" si="20">IF(O51=MIN(O$51:O$58),L51+1,L51)</f>
        <v>3</v>
      </c>
      <c r="R51">
        <f t="shared" ref="R51:R58" si="21">IF(COUNT(O51)=1,IF(O51=MIN(O$51:O$58),Q51*$E$2,0),0)</f>
        <v>0</v>
      </c>
      <c r="S51" s="63">
        <f t="shared" ref="S51:S58" si="22">MOD(P51+R51,$E$1)</f>
        <v>8</v>
      </c>
      <c r="T51" s="85"/>
      <c r="U51" s="63">
        <f t="shared" ref="U51:U58" si="23">MOD($E5+U$50,$E$1)</f>
        <v>8</v>
      </c>
      <c r="V51">
        <f t="shared" ref="V51:V58" si="24">IF(T51=MIN(T$51:T$58),Q51+1,Q51)</f>
        <v>4</v>
      </c>
      <c r="W51">
        <f t="shared" ref="W51:W58" si="25">IF(COUNT(T51)=1,IF(T51=MIN(T$51:T$58),V51*$E$2,0),0)</f>
        <v>0</v>
      </c>
      <c r="X51" s="63">
        <f t="shared" ref="X51:X58" si="26">MOD(U51+W51,$E$1)</f>
        <v>8</v>
      </c>
      <c r="Y51" s="85"/>
      <c r="Z51" s="63">
        <f t="shared" ref="Z51:Z58" si="27">MOD($E5+Z$50,$E$1)</f>
        <v>8</v>
      </c>
      <c r="AB51" s="63">
        <f t="shared" ref="AB51:AB58" si="28">MOD($E5+AB$50,$E$1)</f>
        <v>8</v>
      </c>
      <c r="AD51" s="64">
        <f t="shared" ref="AD51:AD58" si="29">MOD($E5+AD$50,$E$1)</f>
        <v>8</v>
      </c>
      <c r="AE51" s="69">
        <f t="shared" ref="AE51:AE57" si="30">MOD(ABS(AB52+8-AB51),$E$1)</f>
        <v>4</v>
      </c>
      <c r="AF51" s="69">
        <f t="shared" ref="AF51:AF57" si="31">MOD(ABS(AD52+8-AD51),$E$1)</f>
        <v>4</v>
      </c>
    </row>
    <row r="52" spans="1:50" x14ac:dyDescent="0.45">
      <c r="A52" s="271"/>
      <c r="B52" s="1">
        <v>2</v>
      </c>
      <c r="C52">
        <f t="shared" ref="C52:C58" si="32">IF(B52=MIN(B$51:B$58),1,0)</f>
        <v>0</v>
      </c>
      <c r="D52" s="30">
        <f t="shared" si="10"/>
        <v>4</v>
      </c>
      <c r="E52" s="84"/>
      <c r="F52" s="30">
        <f t="shared" si="11"/>
        <v>4</v>
      </c>
      <c r="G52">
        <f t="shared" si="12"/>
        <v>0</v>
      </c>
      <c r="H52">
        <f t="shared" si="13"/>
        <v>0</v>
      </c>
      <c r="I52" s="30">
        <f t="shared" si="14"/>
        <v>4</v>
      </c>
      <c r="J52" s="84"/>
      <c r="K52" s="30">
        <f t="shared" si="15"/>
        <v>4</v>
      </c>
      <c r="L52">
        <f t="shared" si="16"/>
        <v>0</v>
      </c>
      <c r="M52">
        <f t="shared" si="17"/>
        <v>0</v>
      </c>
      <c r="N52" s="30">
        <f t="shared" si="18"/>
        <v>4</v>
      </c>
      <c r="O52" s="85"/>
      <c r="P52" s="30">
        <f t="shared" si="19"/>
        <v>4</v>
      </c>
      <c r="Q52">
        <f t="shared" si="20"/>
        <v>1</v>
      </c>
      <c r="R52">
        <f t="shared" si="21"/>
        <v>0</v>
      </c>
      <c r="S52" s="30">
        <f t="shared" si="22"/>
        <v>4</v>
      </c>
      <c r="T52" s="85"/>
      <c r="U52" s="30">
        <f t="shared" si="23"/>
        <v>4</v>
      </c>
      <c r="V52">
        <f t="shared" si="24"/>
        <v>2</v>
      </c>
      <c r="W52">
        <f t="shared" si="25"/>
        <v>0</v>
      </c>
      <c r="X52" s="30">
        <f t="shared" si="26"/>
        <v>4</v>
      </c>
      <c r="Y52" s="85"/>
      <c r="Z52" s="30">
        <f t="shared" si="27"/>
        <v>4</v>
      </c>
      <c r="AB52" s="30">
        <f t="shared" si="28"/>
        <v>4</v>
      </c>
      <c r="AD52" s="65">
        <f t="shared" si="29"/>
        <v>4</v>
      </c>
      <c r="AE52" s="69">
        <f t="shared" si="30"/>
        <v>3</v>
      </c>
      <c r="AF52" s="69">
        <f t="shared" si="31"/>
        <v>3</v>
      </c>
    </row>
    <row r="53" spans="1:50" s="77" customFormat="1" x14ac:dyDescent="0.45">
      <c r="A53" s="271"/>
      <c r="B53" s="75">
        <v>3</v>
      </c>
      <c r="C53">
        <f t="shared" si="32"/>
        <v>0</v>
      </c>
      <c r="D53" s="76">
        <f t="shared" si="10"/>
        <v>15</v>
      </c>
      <c r="E53" s="84"/>
      <c r="F53" s="76">
        <f t="shared" si="11"/>
        <v>15</v>
      </c>
      <c r="G53">
        <f t="shared" si="12"/>
        <v>0</v>
      </c>
      <c r="H53">
        <f t="shared" si="13"/>
        <v>0</v>
      </c>
      <c r="I53" s="76">
        <f t="shared" si="14"/>
        <v>15</v>
      </c>
      <c r="J53" s="84">
        <v>2</v>
      </c>
      <c r="K53" s="76">
        <f t="shared" si="15"/>
        <v>15</v>
      </c>
      <c r="L53">
        <f t="shared" si="16"/>
        <v>0</v>
      </c>
      <c r="M53">
        <f t="shared" si="17"/>
        <v>0</v>
      </c>
      <c r="N53" s="76">
        <f t="shared" si="18"/>
        <v>15</v>
      </c>
      <c r="O53" s="85"/>
      <c r="P53" s="76">
        <f t="shared" si="19"/>
        <v>15</v>
      </c>
      <c r="Q53">
        <f t="shared" si="20"/>
        <v>1</v>
      </c>
      <c r="R53">
        <f t="shared" si="21"/>
        <v>0</v>
      </c>
      <c r="S53" s="76">
        <f t="shared" si="22"/>
        <v>15</v>
      </c>
      <c r="T53" s="85"/>
      <c r="U53" s="76">
        <f t="shared" si="23"/>
        <v>15</v>
      </c>
      <c r="V53">
        <f t="shared" si="24"/>
        <v>2</v>
      </c>
      <c r="W53">
        <f t="shared" si="25"/>
        <v>0</v>
      </c>
      <c r="X53" s="76">
        <f t="shared" si="26"/>
        <v>15</v>
      </c>
      <c r="Y53" s="85"/>
      <c r="Z53" s="76">
        <f t="shared" si="27"/>
        <v>15</v>
      </c>
      <c r="AB53" s="76">
        <f t="shared" si="28"/>
        <v>15</v>
      </c>
      <c r="AD53" s="78">
        <f t="shared" si="29"/>
        <v>15</v>
      </c>
      <c r="AE53" s="77">
        <f t="shared" si="30"/>
        <v>4</v>
      </c>
      <c r="AF53" s="77">
        <f t="shared" si="31"/>
        <v>4</v>
      </c>
    </row>
    <row r="54" spans="1:50" x14ac:dyDescent="0.45">
      <c r="A54" s="271"/>
      <c r="B54" s="1">
        <v>4</v>
      </c>
      <c r="C54">
        <f t="shared" si="32"/>
        <v>0</v>
      </c>
      <c r="D54" s="30">
        <f t="shared" si="10"/>
        <v>11</v>
      </c>
      <c r="E54" s="84"/>
      <c r="F54" s="30">
        <f t="shared" si="11"/>
        <v>11</v>
      </c>
      <c r="G54">
        <f t="shared" si="12"/>
        <v>0</v>
      </c>
      <c r="H54">
        <f t="shared" si="13"/>
        <v>0</v>
      </c>
      <c r="I54" s="30">
        <f t="shared" si="14"/>
        <v>11</v>
      </c>
      <c r="J54" s="84"/>
      <c r="K54" s="30">
        <f t="shared" si="15"/>
        <v>11</v>
      </c>
      <c r="L54">
        <f t="shared" si="16"/>
        <v>0</v>
      </c>
      <c r="M54">
        <f t="shared" si="17"/>
        <v>0</v>
      </c>
      <c r="N54" s="30">
        <f t="shared" si="18"/>
        <v>11</v>
      </c>
      <c r="O54" s="85"/>
      <c r="P54" s="30">
        <f t="shared" si="19"/>
        <v>11</v>
      </c>
      <c r="Q54">
        <f t="shared" si="20"/>
        <v>1</v>
      </c>
      <c r="R54">
        <f t="shared" si="21"/>
        <v>0</v>
      </c>
      <c r="S54" s="30">
        <f t="shared" si="22"/>
        <v>11</v>
      </c>
      <c r="T54" s="85"/>
      <c r="U54" s="30">
        <f t="shared" si="23"/>
        <v>11</v>
      </c>
      <c r="V54">
        <f t="shared" si="24"/>
        <v>2</v>
      </c>
      <c r="W54">
        <f t="shared" si="25"/>
        <v>0</v>
      </c>
      <c r="X54" s="30">
        <f t="shared" si="26"/>
        <v>11</v>
      </c>
      <c r="Y54" s="85"/>
      <c r="Z54" s="30">
        <f t="shared" si="27"/>
        <v>11</v>
      </c>
      <c r="AB54" s="30">
        <f t="shared" si="28"/>
        <v>11</v>
      </c>
      <c r="AD54" s="65">
        <f t="shared" si="29"/>
        <v>11</v>
      </c>
      <c r="AE54" s="69">
        <f t="shared" si="30"/>
        <v>2</v>
      </c>
      <c r="AF54" s="69">
        <f t="shared" si="31"/>
        <v>2</v>
      </c>
    </row>
    <row r="55" spans="1:50" x14ac:dyDescent="0.45">
      <c r="A55" s="271"/>
      <c r="B55" s="1">
        <v>5</v>
      </c>
      <c r="C55">
        <f t="shared" si="32"/>
        <v>0</v>
      </c>
      <c r="D55" s="30">
        <f t="shared" si="10"/>
        <v>5</v>
      </c>
      <c r="E55" s="84"/>
      <c r="F55" s="30">
        <f t="shared" si="11"/>
        <v>5</v>
      </c>
      <c r="G55">
        <f t="shared" si="12"/>
        <v>0</v>
      </c>
      <c r="H55">
        <f t="shared" si="13"/>
        <v>0</v>
      </c>
      <c r="I55" s="30">
        <f t="shared" si="14"/>
        <v>5</v>
      </c>
      <c r="J55" s="84"/>
      <c r="K55" s="30">
        <f t="shared" si="15"/>
        <v>5</v>
      </c>
      <c r="L55">
        <f t="shared" si="16"/>
        <v>0</v>
      </c>
      <c r="M55">
        <f t="shared" si="17"/>
        <v>0</v>
      </c>
      <c r="N55" s="30">
        <f t="shared" si="18"/>
        <v>5</v>
      </c>
      <c r="O55" s="85"/>
      <c r="P55" s="30">
        <f t="shared" si="19"/>
        <v>5</v>
      </c>
      <c r="Q55">
        <f t="shared" si="20"/>
        <v>1</v>
      </c>
      <c r="R55">
        <f t="shared" si="21"/>
        <v>0</v>
      </c>
      <c r="S55" s="30">
        <f t="shared" si="22"/>
        <v>5</v>
      </c>
      <c r="T55" s="85"/>
      <c r="U55" s="30">
        <f t="shared" si="23"/>
        <v>5</v>
      </c>
      <c r="V55">
        <f t="shared" si="24"/>
        <v>2</v>
      </c>
      <c r="W55">
        <f t="shared" si="25"/>
        <v>0</v>
      </c>
      <c r="X55" s="30">
        <f t="shared" si="26"/>
        <v>5</v>
      </c>
      <c r="Y55" s="85"/>
      <c r="Z55" s="30">
        <f t="shared" si="27"/>
        <v>5</v>
      </c>
      <c r="AB55" s="30">
        <f t="shared" si="28"/>
        <v>5</v>
      </c>
      <c r="AD55" s="65">
        <f t="shared" si="29"/>
        <v>5</v>
      </c>
      <c r="AE55" s="69">
        <f t="shared" si="30"/>
        <v>4</v>
      </c>
      <c r="AF55" s="69">
        <f t="shared" si="31"/>
        <v>4</v>
      </c>
    </row>
    <row r="56" spans="1:50" x14ac:dyDescent="0.45">
      <c r="A56" s="271"/>
      <c r="B56" s="1">
        <v>6</v>
      </c>
      <c r="C56">
        <f t="shared" si="32"/>
        <v>0</v>
      </c>
      <c r="D56" s="30">
        <f t="shared" si="10"/>
        <v>1</v>
      </c>
      <c r="E56" s="84"/>
      <c r="F56" s="30">
        <f t="shared" si="11"/>
        <v>1</v>
      </c>
      <c r="G56">
        <f t="shared" si="12"/>
        <v>0</v>
      </c>
      <c r="H56">
        <f t="shared" si="13"/>
        <v>0</v>
      </c>
      <c r="I56" s="30">
        <f t="shared" si="14"/>
        <v>1</v>
      </c>
      <c r="J56" s="84"/>
      <c r="K56" s="30">
        <f t="shared" si="15"/>
        <v>1</v>
      </c>
      <c r="L56">
        <f t="shared" si="16"/>
        <v>0</v>
      </c>
      <c r="M56">
        <f t="shared" si="17"/>
        <v>0</v>
      </c>
      <c r="N56" s="30">
        <f t="shared" si="18"/>
        <v>1</v>
      </c>
      <c r="O56" s="85"/>
      <c r="P56" s="30">
        <f t="shared" si="19"/>
        <v>1</v>
      </c>
      <c r="Q56">
        <f t="shared" si="20"/>
        <v>1</v>
      </c>
      <c r="R56">
        <f t="shared" si="21"/>
        <v>0</v>
      </c>
      <c r="S56" s="30">
        <f t="shared" si="22"/>
        <v>1</v>
      </c>
      <c r="T56" s="85"/>
      <c r="U56" s="30">
        <f t="shared" si="23"/>
        <v>1</v>
      </c>
      <c r="V56">
        <f t="shared" si="24"/>
        <v>2</v>
      </c>
      <c r="W56">
        <f t="shared" si="25"/>
        <v>0</v>
      </c>
      <c r="X56" s="30">
        <f t="shared" si="26"/>
        <v>1</v>
      </c>
      <c r="Y56" s="85"/>
      <c r="Z56" s="30">
        <f t="shared" si="27"/>
        <v>1</v>
      </c>
      <c r="AB56" s="30">
        <f t="shared" si="28"/>
        <v>1</v>
      </c>
      <c r="AD56" s="65">
        <f t="shared" si="29"/>
        <v>1</v>
      </c>
      <c r="AE56" s="69">
        <f t="shared" si="30"/>
        <v>5</v>
      </c>
      <c r="AF56" s="69">
        <f t="shared" si="31"/>
        <v>5</v>
      </c>
    </row>
    <row r="57" spans="1:50" x14ac:dyDescent="0.45">
      <c r="A57" s="271"/>
      <c r="B57" s="1">
        <v>7</v>
      </c>
      <c r="C57">
        <f t="shared" si="32"/>
        <v>0</v>
      </c>
      <c r="D57" s="30">
        <f t="shared" si="10"/>
        <v>14</v>
      </c>
      <c r="E57" s="84"/>
      <c r="F57" s="30">
        <f t="shared" si="11"/>
        <v>14</v>
      </c>
      <c r="G57">
        <f t="shared" si="12"/>
        <v>0</v>
      </c>
      <c r="H57">
        <f t="shared" si="13"/>
        <v>0</v>
      </c>
      <c r="I57" s="30">
        <f t="shared" si="14"/>
        <v>14</v>
      </c>
      <c r="J57" s="84"/>
      <c r="K57" s="30">
        <f t="shared" si="15"/>
        <v>14</v>
      </c>
      <c r="L57">
        <f t="shared" si="16"/>
        <v>0</v>
      </c>
      <c r="M57">
        <f t="shared" si="17"/>
        <v>0</v>
      </c>
      <c r="N57" s="30">
        <f t="shared" si="18"/>
        <v>14</v>
      </c>
      <c r="O57" s="85"/>
      <c r="P57" s="30">
        <f t="shared" si="19"/>
        <v>14</v>
      </c>
      <c r="Q57">
        <f t="shared" si="20"/>
        <v>1</v>
      </c>
      <c r="R57">
        <f t="shared" si="21"/>
        <v>0</v>
      </c>
      <c r="S57" s="30">
        <f t="shared" si="22"/>
        <v>14</v>
      </c>
      <c r="T57" s="85"/>
      <c r="U57" s="30">
        <f t="shared" si="23"/>
        <v>14</v>
      </c>
      <c r="V57">
        <f t="shared" si="24"/>
        <v>2</v>
      </c>
      <c r="W57">
        <f t="shared" si="25"/>
        <v>0</v>
      </c>
      <c r="X57" s="30">
        <f t="shared" si="26"/>
        <v>14</v>
      </c>
      <c r="Y57" s="85"/>
      <c r="Z57" s="30">
        <f t="shared" si="27"/>
        <v>14</v>
      </c>
      <c r="AB57" s="30">
        <f t="shared" si="28"/>
        <v>14</v>
      </c>
      <c r="AD57" s="65">
        <f t="shared" si="29"/>
        <v>14</v>
      </c>
      <c r="AE57" s="69">
        <f t="shared" si="30"/>
        <v>4</v>
      </c>
      <c r="AF57" s="69">
        <f t="shared" si="31"/>
        <v>4</v>
      </c>
    </row>
    <row r="58" spans="1:50" x14ac:dyDescent="0.45">
      <c r="A58" s="278"/>
      <c r="B58" s="1">
        <v>8</v>
      </c>
      <c r="C58">
        <f t="shared" si="32"/>
        <v>0</v>
      </c>
      <c r="D58" s="30">
        <f t="shared" si="10"/>
        <v>10</v>
      </c>
      <c r="E58" s="84">
        <v>2</v>
      </c>
      <c r="F58" s="30">
        <f t="shared" si="11"/>
        <v>10</v>
      </c>
      <c r="G58">
        <f t="shared" si="12"/>
        <v>0</v>
      </c>
      <c r="H58">
        <f t="shared" si="13"/>
        <v>0</v>
      </c>
      <c r="I58" s="30">
        <f t="shared" si="14"/>
        <v>10</v>
      </c>
      <c r="J58" s="84"/>
      <c r="K58" s="30">
        <f t="shared" si="15"/>
        <v>10</v>
      </c>
      <c r="L58">
        <f t="shared" si="16"/>
        <v>0</v>
      </c>
      <c r="M58">
        <f t="shared" si="17"/>
        <v>0</v>
      </c>
      <c r="N58" s="30">
        <f t="shared" si="18"/>
        <v>10</v>
      </c>
      <c r="O58" s="85"/>
      <c r="P58" s="30">
        <f t="shared" si="19"/>
        <v>10</v>
      </c>
      <c r="Q58">
        <f t="shared" si="20"/>
        <v>1</v>
      </c>
      <c r="R58">
        <f t="shared" si="21"/>
        <v>0</v>
      </c>
      <c r="S58" s="30">
        <f t="shared" si="22"/>
        <v>10</v>
      </c>
      <c r="T58" s="85"/>
      <c r="U58" s="30">
        <f t="shared" si="23"/>
        <v>10</v>
      </c>
      <c r="V58">
        <f t="shared" si="24"/>
        <v>2</v>
      </c>
      <c r="W58">
        <f t="shared" si="25"/>
        <v>0</v>
      </c>
      <c r="X58" s="30">
        <f t="shared" si="26"/>
        <v>10</v>
      </c>
      <c r="Y58" s="85"/>
      <c r="Z58" s="30">
        <f t="shared" si="27"/>
        <v>10</v>
      </c>
      <c r="AB58" s="30">
        <f t="shared" si="28"/>
        <v>10</v>
      </c>
      <c r="AD58" s="65">
        <f t="shared" si="29"/>
        <v>10</v>
      </c>
      <c r="AE58" s="69">
        <f>MOD(ABS(AB51+8-AB58), $E$1)</f>
        <v>6</v>
      </c>
      <c r="AF58" s="69">
        <f>MOD(ABS(AD51+8-AD58), $E$1)</f>
        <v>6</v>
      </c>
    </row>
    <row r="59" spans="1:50" s="79" customFormat="1" x14ac:dyDescent="0.45">
      <c r="A59"/>
      <c r="B59"/>
      <c r="D59"/>
      <c r="E59" s="84"/>
      <c r="F59"/>
      <c r="G59"/>
      <c r="H59"/>
      <c r="I59" s="30"/>
      <c r="J59" s="84"/>
      <c r="K59"/>
      <c r="L59"/>
      <c r="M59"/>
      <c r="N59"/>
      <c r="O59" s="84"/>
      <c r="P59"/>
      <c r="Q59"/>
      <c r="R59"/>
      <c r="S59"/>
      <c r="T59" s="84"/>
      <c r="U59"/>
      <c r="V59"/>
      <c r="W59"/>
      <c r="X59"/>
      <c r="Y59" s="84"/>
      <c r="Z59"/>
      <c r="AA59"/>
      <c r="AB59"/>
      <c r="AC59"/>
      <c r="AD59"/>
      <c r="AE59"/>
      <c r="AF59"/>
      <c r="AG59" s="30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0" ht="51" x14ac:dyDescent="0.45">
      <c r="A60" s="273">
        <v>2</v>
      </c>
      <c r="B60" s="70" t="s">
        <v>142</v>
      </c>
      <c r="C60" t="s">
        <v>148</v>
      </c>
      <c r="D60" s="48">
        <f>L6</f>
        <v>12</v>
      </c>
      <c r="E60" s="84"/>
      <c r="F60" s="48">
        <f>D60</f>
        <v>12</v>
      </c>
      <c r="G60" t="s">
        <v>148</v>
      </c>
      <c r="H60" t="s">
        <v>149</v>
      </c>
      <c r="J60" s="84"/>
      <c r="K60" s="48">
        <f>F60</f>
        <v>12</v>
      </c>
      <c r="L60" t="s">
        <v>148</v>
      </c>
      <c r="M60" t="s">
        <v>149</v>
      </c>
      <c r="O60" s="84"/>
      <c r="P60" s="48">
        <f>K60</f>
        <v>12</v>
      </c>
      <c r="Q60" t="s">
        <v>148</v>
      </c>
      <c r="R60" t="s">
        <v>149</v>
      </c>
      <c r="T60" s="84"/>
      <c r="U60" s="48">
        <f>K60</f>
        <v>12</v>
      </c>
      <c r="V60" t="s">
        <v>148</v>
      </c>
      <c r="W60" t="s">
        <v>149</v>
      </c>
      <c r="Y60" s="84"/>
      <c r="Z60" s="48">
        <f>U60</f>
        <v>12</v>
      </c>
      <c r="AB60" s="48">
        <f>Z60</f>
        <v>12</v>
      </c>
      <c r="AD60" s="56">
        <f>AB60</f>
        <v>12</v>
      </c>
    </row>
    <row r="61" spans="1:50" x14ac:dyDescent="0.45">
      <c r="A61" s="274"/>
      <c r="B61" s="1">
        <v>1</v>
      </c>
      <c r="C61">
        <v>0</v>
      </c>
      <c r="D61" s="30">
        <f t="shared" ref="D61:D68" si="33">MOD($E5+D$60,$E$1)</f>
        <v>3</v>
      </c>
      <c r="E61" s="84"/>
      <c r="F61" s="30">
        <f t="shared" ref="F61:F68" si="34">MOD($E5+F$60,$E$1)</f>
        <v>3</v>
      </c>
      <c r="G61">
        <f t="shared" ref="G61:G68" si="35">IF(E61=MIN(E$61:E$68),1,0)</f>
        <v>0</v>
      </c>
      <c r="H61">
        <f t="shared" ref="H61:H68" si="36">IF(COUNT(E61)=1,IF(E61=MIN(E$61:E$68),G61*$E$2,0),0)</f>
        <v>0</v>
      </c>
      <c r="I61" s="30">
        <f t="shared" ref="I61:I68" si="37">MOD(F61+H61,$E$1)</f>
        <v>3</v>
      </c>
      <c r="J61" s="84"/>
      <c r="K61" s="30">
        <f t="shared" ref="K61:K68" si="38">MOD($E5+K$60,$E$1)</f>
        <v>3</v>
      </c>
      <c r="L61">
        <f t="shared" ref="L61:L68" si="39">IF(J61=MIN(J$61:J$68),G61+1,G61)</f>
        <v>1</v>
      </c>
      <c r="M61">
        <f t="shared" ref="M61:M68" si="40">IF(COUNT(J61)=1,IF(J61=MIN(J$61:J$68),L61*$E$2,0),0)</f>
        <v>0</v>
      </c>
      <c r="N61" s="63">
        <f t="shared" ref="N61:N68" si="41">MOD(K61+M61,$E$1)</f>
        <v>3</v>
      </c>
      <c r="O61" s="84"/>
      <c r="P61" s="30">
        <f t="shared" ref="P61:P68" si="42">MOD($E5+P$60,$E$1)</f>
        <v>3</v>
      </c>
      <c r="Q61">
        <f t="shared" ref="Q61:Q68" si="43">IF(O61=MIN(O$61:O$68),L61+1,L61)</f>
        <v>2</v>
      </c>
      <c r="R61">
        <f t="shared" ref="R61:R68" si="44">IF(COUNT(O61)=1,IF(O61=MIN(O$61:O$68),Q61*$E$2,0),0)</f>
        <v>0</v>
      </c>
      <c r="S61" s="63">
        <f t="shared" ref="S61:S68" si="45">MOD(P61+R61,$E$1)</f>
        <v>3</v>
      </c>
      <c r="T61" s="84"/>
      <c r="U61" s="30">
        <f t="shared" ref="U61:U68" si="46">MOD($E5+U$60,$E$1)</f>
        <v>3</v>
      </c>
      <c r="V61">
        <f t="shared" ref="V61:V68" si="47">IF(T61=MIN(T$61:T$68),Q61+1,Q61)</f>
        <v>3</v>
      </c>
      <c r="W61">
        <f t="shared" ref="W61:W68" si="48">IF(COUNT(T61)=1,IF(T61=MIN(T$61:T$68),V61*$E$2,0),0)</f>
        <v>0</v>
      </c>
      <c r="X61" s="63">
        <f t="shared" ref="X61:X68" si="49">MOD(U61+W61,$E$1)</f>
        <v>3</v>
      </c>
      <c r="Y61" s="84"/>
      <c r="Z61" s="30">
        <f t="shared" ref="Z61:Z68" si="50">MOD($E5+Z$60,$E$1)</f>
        <v>3</v>
      </c>
      <c r="AB61" s="30">
        <f t="shared" ref="AB61:AB68" si="51">MOD($E5+AB$60,$E$1)</f>
        <v>3</v>
      </c>
      <c r="AD61" s="65">
        <f t="shared" ref="AD61:AD68" si="52">MOD($E5+AD$60,$E$1)</f>
        <v>3</v>
      </c>
      <c r="AE61" s="69">
        <f t="shared" ref="AE61:AE67" si="53">MOD(ABS(AB62+8-AB61),$E$1)</f>
        <v>4</v>
      </c>
      <c r="AF61" s="69">
        <f t="shared" ref="AF61:AF67" si="54">MOD(ABS(AD62+8-AD61),$E$1)</f>
        <v>4</v>
      </c>
    </row>
    <row r="62" spans="1:50" x14ac:dyDescent="0.45">
      <c r="A62" s="274"/>
      <c r="B62" s="1">
        <v>2</v>
      </c>
      <c r="C62">
        <f t="shared" ref="C62:C68" si="55">IF(B62=MIN(B$51:B$58),1,0)</f>
        <v>0</v>
      </c>
      <c r="D62" s="30">
        <f t="shared" si="33"/>
        <v>15</v>
      </c>
      <c r="E62" s="84">
        <v>13</v>
      </c>
      <c r="F62" s="30">
        <f t="shared" si="34"/>
        <v>15</v>
      </c>
      <c r="G62">
        <f t="shared" si="35"/>
        <v>1</v>
      </c>
      <c r="H62">
        <f t="shared" si="36"/>
        <v>5</v>
      </c>
      <c r="I62" s="30">
        <f t="shared" si="37"/>
        <v>4</v>
      </c>
      <c r="J62" s="84"/>
      <c r="K62" s="30">
        <f t="shared" si="38"/>
        <v>15</v>
      </c>
      <c r="L62">
        <f t="shared" si="39"/>
        <v>2</v>
      </c>
      <c r="M62">
        <f t="shared" si="40"/>
        <v>0</v>
      </c>
      <c r="N62" s="30">
        <f t="shared" si="41"/>
        <v>15</v>
      </c>
      <c r="O62" s="84"/>
      <c r="P62" s="30">
        <f t="shared" si="42"/>
        <v>15</v>
      </c>
      <c r="Q62">
        <f t="shared" si="43"/>
        <v>3</v>
      </c>
      <c r="R62">
        <f t="shared" si="44"/>
        <v>0</v>
      </c>
      <c r="S62" s="30">
        <f t="shared" si="45"/>
        <v>15</v>
      </c>
      <c r="T62" s="84"/>
      <c r="U62" s="30">
        <f t="shared" si="46"/>
        <v>15</v>
      </c>
      <c r="V62">
        <f t="shared" si="47"/>
        <v>4</v>
      </c>
      <c r="W62">
        <f t="shared" si="48"/>
        <v>0</v>
      </c>
      <c r="X62" s="30">
        <f t="shared" si="49"/>
        <v>15</v>
      </c>
      <c r="Y62" s="84"/>
      <c r="Z62" s="30">
        <f t="shared" si="50"/>
        <v>15</v>
      </c>
      <c r="AB62" s="30">
        <f t="shared" si="51"/>
        <v>15</v>
      </c>
      <c r="AD62" s="65">
        <f t="shared" si="52"/>
        <v>15</v>
      </c>
      <c r="AE62" s="69">
        <f t="shared" si="53"/>
        <v>3</v>
      </c>
      <c r="AF62" s="69">
        <f t="shared" si="54"/>
        <v>3</v>
      </c>
    </row>
    <row r="63" spans="1:50" s="71" customFormat="1" x14ac:dyDescent="0.45">
      <c r="A63" s="274"/>
      <c r="B63" s="71">
        <v>3</v>
      </c>
      <c r="C63">
        <f t="shared" si="55"/>
        <v>0</v>
      </c>
      <c r="D63" s="72">
        <f t="shared" si="33"/>
        <v>10</v>
      </c>
      <c r="E63" s="84"/>
      <c r="F63" s="72">
        <f t="shared" si="34"/>
        <v>10</v>
      </c>
      <c r="G63">
        <f t="shared" si="35"/>
        <v>0</v>
      </c>
      <c r="H63">
        <f t="shared" si="36"/>
        <v>0</v>
      </c>
      <c r="I63" s="72">
        <f t="shared" si="37"/>
        <v>10</v>
      </c>
      <c r="J63" s="84"/>
      <c r="K63" s="72">
        <f t="shared" si="38"/>
        <v>10</v>
      </c>
      <c r="L63">
        <f t="shared" si="39"/>
        <v>1</v>
      </c>
      <c r="M63">
        <f t="shared" si="40"/>
        <v>0</v>
      </c>
      <c r="N63" s="76">
        <f t="shared" si="41"/>
        <v>10</v>
      </c>
      <c r="O63" s="84"/>
      <c r="P63" s="72">
        <f t="shared" si="42"/>
        <v>10</v>
      </c>
      <c r="Q63">
        <f t="shared" si="43"/>
        <v>2</v>
      </c>
      <c r="R63">
        <f t="shared" si="44"/>
        <v>0</v>
      </c>
      <c r="S63" s="76">
        <f t="shared" si="45"/>
        <v>10</v>
      </c>
      <c r="T63" s="84"/>
      <c r="U63" s="72">
        <f t="shared" si="46"/>
        <v>10</v>
      </c>
      <c r="V63">
        <f t="shared" si="47"/>
        <v>3</v>
      </c>
      <c r="W63">
        <f t="shared" si="48"/>
        <v>0</v>
      </c>
      <c r="X63" s="76">
        <f t="shared" si="49"/>
        <v>10</v>
      </c>
      <c r="Y63" s="84"/>
      <c r="Z63" s="72">
        <f t="shared" si="50"/>
        <v>10</v>
      </c>
      <c r="AB63" s="72">
        <f t="shared" si="51"/>
        <v>10</v>
      </c>
      <c r="AD63" s="73">
        <f t="shared" si="52"/>
        <v>10</v>
      </c>
      <c r="AE63" s="74">
        <f t="shared" si="53"/>
        <v>4</v>
      </c>
      <c r="AF63" s="74">
        <f t="shared" si="54"/>
        <v>4</v>
      </c>
    </row>
    <row r="64" spans="1:50" x14ac:dyDescent="0.45">
      <c r="A64" s="274"/>
      <c r="B64" s="1">
        <v>4</v>
      </c>
      <c r="C64">
        <f t="shared" si="55"/>
        <v>0</v>
      </c>
      <c r="D64" s="30">
        <f t="shared" si="33"/>
        <v>6</v>
      </c>
      <c r="E64" s="84"/>
      <c r="F64" s="30">
        <f t="shared" si="34"/>
        <v>6</v>
      </c>
      <c r="G64">
        <f t="shared" si="35"/>
        <v>0</v>
      </c>
      <c r="H64">
        <f t="shared" si="36"/>
        <v>0</v>
      </c>
      <c r="I64" s="30">
        <f t="shared" si="37"/>
        <v>6</v>
      </c>
      <c r="J64" s="84"/>
      <c r="K64" s="30">
        <f t="shared" si="38"/>
        <v>6</v>
      </c>
      <c r="L64">
        <f t="shared" si="39"/>
        <v>1</v>
      </c>
      <c r="M64">
        <f t="shared" si="40"/>
        <v>0</v>
      </c>
      <c r="N64" s="30">
        <f t="shared" si="41"/>
        <v>6</v>
      </c>
      <c r="O64" s="84"/>
      <c r="P64" s="30">
        <f t="shared" si="42"/>
        <v>6</v>
      </c>
      <c r="Q64">
        <f t="shared" si="43"/>
        <v>2</v>
      </c>
      <c r="R64">
        <f t="shared" si="44"/>
        <v>0</v>
      </c>
      <c r="S64" s="30">
        <f t="shared" si="45"/>
        <v>6</v>
      </c>
      <c r="T64" s="84"/>
      <c r="U64" s="30">
        <f t="shared" si="46"/>
        <v>6</v>
      </c>
      <c r="V64">
        <f t="shared" si="47"/>
        <v>3</v>
      </c>
      <c r="W64">
        <f t="shared" si="48"/>
        <v>0</v>
      </c>
      <c r="X64" s="30">
        <f t="shared" si="49"/>
        <v>6</v>
      </c>
      <c r="Y64" s="84"/>
      <c r="Z64" s="30">
        <f t="shared" si="50"/>
        <v>6</v>
      </c>
      <c r="AB64" s="30">
        <f t="shared" si="51"/>
        <v>6</v>
      </c>
      <c r="AD64" s="65">
        <f t="shared" si="52"/>
        <v>6</v>
      </c>
      <c r="AE64" s="69">
        <f t="shared" si="53"/>
        <v>2</v>
      </c>
      <c r="AF64" s="69">
        <f t="shared" si="54"/>
        <v>2</v>
      </c>
    </row>
    <row r="65" spans="1:50" x14ac:dyDescent="0.45">
      <c r="A65" s="274"/>
      <c r="B65" s="1">
        <v>5</v>
      </c>
      <c r="C65">
        <f t="shared" si="55"/>
        <v>0</v>
      </c>
      <c r="D65" s="30">
        <f t="shared" si="33"/>
        <v>0</v>
      </c>
      <c r="E65" s="84">
        <v>14</v>
      </c>
      <c r="F65" s="30">
        <f t="shared" si="34"/>
        <v>0</v>
      </c>
      <c r="G65">
        <f t="shared" si="35"/>
        <v>0</v>
      </c>
      <c r="H65">
        <f t="shared" si="36"/>
        <v>0</v>
      </c>
      <c r="I65" s="30">
        <f t="shared" si="37"/>
        <v>0</v>
      </c>
      <c r="J65" s="84"/>
      <c r="K65" s="30">
        <f t="shared" si="38"/>
        <v>0</v>
      </c>
      <c r="L65">
        <f t="shared" si="39"/>
        <v>1</v>
      </c>
      <c r="M65">
        <f t="shared" si="40"/>
        <v>0</v>
      </c>
      <c r="N65" s="30">
        <f t="shared" si="41"/>
        <v>0</v>
      </c>
      <c r="O65" s="84"/>
      <c r="P65" s="30">
        <f t="shared" si="42"/>
        <v>0</v>
      </c>
      <c r="Q65">
        <f t="shared" si="43"/>
        <v>2</v>
      </c>
      <c r="R65">
        <f t="shared" si="44"/>
        <v>0</v>
      </c>
      <c r="S65" s="30">
        <f t="shared" si="45"/>
        <v>0</v>
      </c>
      <c r="T65" s="84"/>
      <c r="U65" s="30">
        <f t="shared" si="46"/>
        <v>0</v>
      </c>
      <c r="V65">
        <f t="shared" si="47"/>
        <v>3</v>
      </c>
      <c r="W65">
        <f t="shared" si="48"/>
        <v>0</v>
      </c>
      <c r="X65" s="30">
        <f t="shared" si="49"/>
        <v>0</v>
      </c>
      <c r="Y65" s="84"/>
      <c r="Z65" s="30">
        <f t="shared" si="50"/>
        <v>0</v>
      </c>
      <c r="AB65" s="30">
        <f t="shared" si="51"/>
        <v>0</v>
      </c>
      <c r="AD65" s="65">
        <f t="shared" si="52"/>
        <v>0</v>
      </c>
      <c r="AE65" s="69">
        <f t="shared" si="53"/>
        <v>4</v>
      </c>
      <c r="AF65" s="69">
        <f t="shared" si="54"/>
        <v>4</v>
      </c>
    </row>
    <row r="66" spans="1:50" x14ac:dyDescent="0.45">
      <c r="A66" s="274"/>
      <c r="B66" s="1">
        <v>6</v>
      </c>
      <c r="C66">
        <f t="shared" si="55"/>
        <v>0</v>
      </c>
      <c r="D66" s="30">
        <f t="shared" si="33"/>
        <v>12</v>
      </c>
      <c r="E66" s="84"/>
      <c r="F66" s="30">
        <f t="shared" si="34"/>
        <v>12</v>
      </c>
      <c r="G66">
        <f t="shared" si="35"/>
        <v>0</v>
      </c>
      <c r="H66">
        <f t="shared" si="36"/>
        <v>0</v>
      </c>
      <c r="I66" s="30">
        <f t="shared" si="37"/>
        <v>12</v>
      </c>
      <c r="J66" s="84"/>
      <c r="K66" s="30">
        <f t="shared" si="38"/>
        <v>12</v>
      </c>
      <c r="L66">
        <f t="shared" si="39"/>
        <v>1</v>
      </c>
      <c r="M66">
        <f t="shared" si="40"/>
        <v>0</v>
      </c>
      <c r="N66" s="30">
        <f t="shared" si="41"/>
        <v>12</v>
      </c>
      <c r="O66" s="84"/>
      <c r="P66" s="30">
        <f t="shared" si="42"/>
        <v>12</v>
      </c>
      <c r="Q66">
        <f t="shared" si="43"/>
        <v>2</v>
      </c>
      <c r="R66">
        <f t="shared" si="44"/>
        <v>0</v>
      </c>
      <c r="S66" s="30">
        <f t="shared" si="45"/>
        <v>12</v>
      </c>
      <c r="T66" s="84"/>
      <c r="U66" s="30">
        <f t="shared" si="46"/>
        <v>12</v>
      </c>
      <c r="V66">
        <f t="shared" si="47"/>
        <v>3</v>
      </c>
      <c r="W66">
        <f t="shared" si="48"/>
        <v>0</v>
      </c>
      <c r="X66" s="30">
        <f t="shared" si="49"/>
        <v>12</v>
      </c>
      <c r="Y66" s="84"/>
      <c r="Z66" s="30">
        <f t="shared" si="50"/>
        <v>12</v>
      </c>
      <c r="AB66" s="30">
        <f t="shared" si="51"/>
        <v>12</v>
      </c>
      <c r="AD66" s="65">
        <f t="shared" si="52"/>
        <v>12</v>
      </c>
      <c r="AE66" s="69">
        <f t="shared" si="53"/>
        <v>5</v>
      </c>
      <c r="AF66" s="69">
        <f t="shared" si="54"/>
        <v>5</v>
      </c>
    </row>
    <row r="67" spans="1:50" x14ac:dyDescent="0.45">
      <c r="A67" s="274"/>
      <c r="B67" s="1">
        <v>7</v>
      </c>
      <c r="C67">
        <f t="shared" si="55"/>
        <v>0</v>
      </c>
      <c r="D67" s="30">
        <f t="shared" si="33"/>
        <v>9</v>
      </c>
      <c r="E67" s="84"/>
      <c r="F67" s="30">
        <f t="shared" si="34"/>
        <v>9</v>
      </c>
      <c r="G67">
        <f t="shared" si="35"/>
        <v>0</v>
      </c>
      <c r="H67">
        <f t="shared" si="36"/>
        <v>0</v>
      </c>
      <c r="I67" s="30">
        <f t="shared" si="37"/>
        <v>9</v>
      </c>
      <c r="J67" s="84"/>
      <c r="K67" s="30">
        <f t="shared" si="38"/>
        <v>9</v>
      </c>
      <c r="L67">
        <f t="shared" si="39"/>
        <v>1</v>
      </c>
      <c r="M67">
        <f t="shared" si="40"/>
        <v>0</v>
      </c>
      <c r="N67" s="30">
        <f t="shared" si="41"/>
        <v>9</v>
      </c>
      <c r="O67" s="84"/>
      <c r="P67" s="30">
        <f t="shared" si="42"/>
        <v>9</v>
      </c>
      <c r="Q67">
        <f t="shared" si="43"/>
        <v>2</v>
      </c>
      <c r="R67">
        <f t="shared" si="44"/>
        <v>0</v>
      </c>
      <c r="S67" s="30">
        <f t="shared" si="45"/>
        <v>9</v>
      </c>
      <c r="T67" s="84"/>
      <c r="U67" s="30">
        <f t="shared" si="46"/>
        <v>9</v>
      </c>
      <c r="V67">
        <f t="shared" si="47"/>
        <v>3</v>
      </c>
      <c r="W67">
        <f t="shared" si="48"/>
        <v>0</v>
      </c>
      <c r="X67" s="30">
        <f t="shared" si="49"/>
        <v>9</v>
      </c>
      <c r="Y67" s="84"/>
      <c r="Z67" s="30">
        <f t="shared" si="50"/>
        <v>9</v>
      </c>
      <c r="AB67" s="30">
        <f t="shared" si="51"/>
        <v>9</v>
      </c>
      <c r="AD67" s="65">
        <f t="shared" si="52"/>
        <v>9</v>
      </c>
      <c r="AE67" s="69">
        <f t="shared" si="53"/>
        <v>4</v>
      </c>
      <c r="AF67" s="69">
        <f t="shared" si="54"/>
        <v>4</v>
      </c>
    </row>
    <row r="68" spans="1:50" s="79" customFormat="1" x14ac:dyDescent="0.45">
      <c r="A68" s="275"/>
      <c r="B68" s="79">
        <v>8</v>
      </c>
      <c r="C68">
        <f t="shared" si="55"/>
        <v>0</v>
      </c>
      <c r="D68" s="80">
        <f t="shared" si="33"/>
        <v>5</v>
      </c>
      <c r="E68" s="84"/>
      <c r="F68" s="80">
        <f t="shared" si="34"/>
        <v>5</v>
      </c>
      <c r="G68">
        <f t="shared" si="35"/>
        <v>0</v>
      </c>
      <c r="H68">
        <f t="shared" si="36"/>
        <v>0</v>
      </c>
      <c r="I68" s="82">
        <f t="shared" si="37"/>
        <v>5</v>
      </c>
      <c r="J68" s="84"/>
      <c r="K68" s="80">
        <f t="shared" si="38"/>
        <v>5</v>
      </c>
      <c r="L68">
        <f t="shared" si="39"/>
        <v>1</v>
      </c>
      <c r="M68">
        <f t="shared" si="40"/>
        <v>0</v>
      </c>
      <c r="N68" s="30">
        <f t="shared" si="41"/>
        <v>5</v>
      </c>
      <c r="O68" s="84"/>
      <c r="P68" s="80">
        <f t="shared" si="42"/>
        <v>5</v>
      </c>
      <c r="Q68">
        <f t="shared" si="43"/>
        <v>2</v>
      </c>
      <c r="R68">
        <f t="shared" si="44"/>
        <v>0</v>
      </c>
      <c r="S68" s="30">
        <f t="shared" si="45"/>
        <v>5</v>
      </c>
      <c r="T68" s="84"/>
      <c r="U68" s="80">
        <f t="shared" si="46"/>
        <v>5</v>
      </c>
      <c r="V68">
        <f t="shared" si="47"/>
        <v>3</v>
      </c>
      <c r="W68">
        <f t="shared" si="48"/>
        <v>0</v>
      </c>
      <c r="X68" s="30">
        <f t="shared" si="49"/>
        <v>5</v>
      </c>
      <c r="Y68" s="84"/>
      <c r="Z68" s="80">
        <f t="shared" si="50"/>
        <v>5</v>
      </c>
      <c r="AB68" s="80">
        <f t="shared" si="51"/>
        <v>5</v>
      </c>
      <c r="AD68" s="81">
        <f t="shared" si="52"/>
        <v>5</v>
      </c>
      <c r="AE68" s="79">
        <f>MOD(ABS(AB61+8-AB68), $E$1)</f>
        <v>6</v>
      </c>
      <c r="AF68" s="79">
        <f>MOD(ABS(AD61+8-AD68), $E$1)</f>
        <v>6</v>
      </c>
    </row>
    <row r="69" spans="1:50" s="79" customFormat="1" x14ac:dyDescent="0.45">
      <c r="A69"/>
      <c r="B69"/>
      <c r="C69"/>
      <c r="D69"/>
      <c r="E69" s="84"/>
      <c r="F69"/>
      <c r="G69"/>
      <c r="H69"/>
      <c r="I69" s="30"/>
      <c r="J69" s="84"/>
      <c r="K69"/>
      <c r="L69"/>
      <c r="M69"/>
      <c r="N69"/>
      <c r="O69" s="84"/>
      <c r="P69"/>
      <c r="Q69"/>
      <c r="R69"/>
      <c r="S69"/>
      <c r="T69" s="84"/>
      <c r="U69"/>
      <c r="V69"/>
      <c r="W69"/>
      <c r="X69"/>
      <c r="Y69" s="84"/>
      <c r="Z69"/>
      <c r="AA69"/>
      <c r="AB69"/>
      <c r="AC69"/>
      <c r="AD69"/>
      <c r="AE69"/>
      <c r="AF69"/>
      <c r="AG69" s="30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0" ht="51" x14ac:dyDescent="0.45">
      <c r="A70" s="273">
        <v>3</v>
      </c>
      <c r="B70" s="70" t="s">
        <v>142</v>
      </c>
      <c r="C70" t="s">
        <v>148</v>
      </c>
      <c r="D70" s="66">
        <f>L7</f>
        <v>15</v>
      </c>
      <c r="E70" s="84"/>
      <c r="F70" s="48">
        <f>D70</f>
        <v>15</v>
      </c>
      <c r="G70" t="s">
        <v>148</v>
      </c>
      <c r="H70" t="s">
        <v>149</v>
      </c>
      <c r="J70" s="84"/>
      <c r="K70" s="48">
        <f>F70</f>
        <v>15</v>
      </c>
      <c r="L70" t="s">
        <v>148</v>
      </c>
      <c r="M70" t="s">
        <v>149</v>
      </c>
      <c r="O70" s="84"/>
      <c r="P70" s="48">
        <f>K70</f>
        <v>15</v>
      </c>
      <c r="Q70" t="s">
        <v>148</v>
      </c>
      <c r="R70" t="s">
        <v>149</v>
      </c>
      <c r="T70" s="84"/>
      <c r="U70" s="48">
        <f>K70</f>
        <v>15</v>
      </c>
      <c r="V70" t="s">
        <v>148</v>
      </c>
      <c r="W70" t="s">
        <v>149</v>
      </c>
      <c r="Y70" s="84"/>
      <c r="Z70" s="48">
        <f>U70</f>
        <v>15</v>
      </c>
      <c r="AB70" s="48">
        <f>Z70</f>
        <v>15</v>
      </c>
      <c r="AD70" s="56">
        <f>AB70</f>
        <v>15</v>
      </c>
    </row>
    <row r="71" spans="1:50" x14ac:dyDescent="0.45">
      <c r="A71" s="274"/>
      <c r="B71" s="1">
        <v>1</v>
      </c>
      <c r="C71">
        <v>0</v>
      </c>
      <c r="D71" s="30">
        <f t="shared" ref="D71:D78" si="56">MOD($E5+D$70,$E$1)</f>
        <v>6</v>
      </c>
      <c r="E71" s="84"/>
      <c r="F71" s="30">
        <f t="shared" ref="F71:F78" si="57">MOD($E5+F$70,$E$1)</f>
        <v>6</v>
      </c>
      <c r="G71">
        <f t="shared" ref="G71:G78" si="58">IF(E71=MIN(E$71:E$78),1,0)</f>
        <v>0</v>
      </c>
      <c r="H71">
        <f t="shared" ref="H71:H78" si="59">IF(COUNT(E71)=1,IF(E71=MIN(E$71:E$78),G71*$E$2,0),0)</f>
        <v>0</v>
      </c>
      <c r="I71" s="30">
        <f t="shared" ref="I71:I78" si="60">MOD(F71+H71,$E$1)</f>
        <v>6</v>
      </c>
      <c r="J71" s="84"/>
      <c r="K71" s="30">
        <f t="shared" ref="K71:K78" si="61">MOD($E5+K$70,$E$1)</f>
        <v>6</v>
      </c>
      <c r="L71">
        <f>IF(J71=MIN(J$71:J$78),G71+1,0)</f>
        <v>0</v>
      </c>
      <c r="M71">
        <f t="shared" ref="M71:M78" si="62">IF(COUNT(J71)=1,IF(J71=MIN(J$71:J$78),L71*$E$2,0),0)</f>
        <v>0</v>
      </c>
      <c r="N71" s="63">
        <f t="shared" ref="N71:N78" si="63">MOD(K71+M71,$E$1)</f>
        <v>6</v>
      </c>
      <c r="O71" s="84"/>
      <c r="P71" s="30">
        <f t="shared" ref="P71:P78" si="64">MOD($E5+P$70,$E$1)</f>
        <v>6</v>
      </c>
      <c r="Q71">
        <f>IF(O71=MIN(O$71:O$78),L71+1,0)</f>
        <v>1</v>
      </c>
      <c r="R71">
        <f t="shared" ref="R71:R78" si="65">IF(COUNT(O71)=1,IF(O71=MIN(O$71:O$78),Q71*$E$2,0),0)</f>
        <v>0</v>
      </c>
      <c r="S71" s="63">
        <f t="shared" ref="S71:S78" si="66">MOD(P71+R71,$E$1)</f>
        <v>6</v>
      </c>
      <c r="T71" s="84"/>
      <c r="U71" s="30">
        <f t="shared" ref="U71:U78" si="67">MOD($E5+U$70,$E$1)</f>
        <v>6</v>
      </c>
      <c r="V71">
        <f>IF(T71=MIN(T$71:T$78),Q71+1,0)</f>
        <v>2</v>
      </c>
      <c r="W71">
        <f t="shared" ref="W71:W78" si="68">IF(COUNT(T71)=1,IF(T71=MIN(T$71:T$78),V71*$E$2,0),0)</f>
        <v>0</v>
      </c>
      <c r="X71" s="63">
        <f t="shared" ref="X71:X78" si="69">MOD(U71+W71,$E$1)</f>
        <v>6</v>
      </c>
      <c r="Y71" s="84"/>
      <c r="Z71" s="30">
        <f t="shared" ref="Z71:Z78" si="70">MOD($E5+Z$70,$E$1)</f>
        <v>6</v>
      </c>
      <c r="AB71" s="30">
        <f t="shared" ref="AB71:AB78" si="71">MOD($E5+AB$60,$E$1)</f>
        <v>3</v>
      </c>
      <c r="AD71" s="65">
        <f t="shared" ref="AD71:AD78" si="72">MOD($E5+AD$70,$E$1)</f>
        <v>6</v>
      </c>
      <c r="AE71" s="69">
        <f t="shared" ref="AE71:AE77" si="73">MOD(ABS(AB72+8-AB71),$E$1)</f>
        <v>4</v>
      </c>
      <c r="AF71" s="69">
        <f t="shared" ref="AF71:AF77" si="74">MOD(ABS(AD72+8-AD71),$E$1)</f>
        <v>4</v>
      </c>
    </row>
    <row r="72" spans="1:50" x14ac:dyDescent="0.45">
      <c r="A72" s="274"/>
      <c r="B72" s="1">
        <v>2</v>
      </c>
      <c r="C72">
        <f t="shared" ref="C72:C78" si="75">IF(B72=MIN(B$51:B$58),1,0)</f>
        <v>0</v>
      </c>
      <c r="D72" s="30">
        <f t="shared" si="56"/>
        <v>2</v>
      </c>
      <c r="E72" s="84"/>
      <c r="F72" s="30">
        <f t="shared" si="57"/>
        <v>2</v>
      </c>
      <c r="G72">
        <f t="shared" si="58"/>
        <v>0</v>
      </c>
      <c r="H72">
        <f t="shared" si="59"/>
        <v>0</v>
      </c>
      <c r="I72" s="30">
        <f t="shared" si="60"/>
        <v>2</v>
      </c>
      <c r="J72" s="84"/>
      <c r="K72" s="30">
        <f t="shared" si="61"/>
        <v>2</v>
      </c>
      <c r="L72">
        <f t="shared" ref="L72:L78" si="76">IF(J72=MIN(J$71:J$78),G72+1,0)</f>
        <v>0</v>
      </c>
      <c r="M72">
        <f t="shared" si="62"/>
        <v>0</v>
      </c>
      <c r="N72" s="30">
        <f t="shared" si="63"/>
        <v>2</v>
      </c>
      <c r="O72" s="84"/>
      <c r="P72" s="30">
        <f t="shared" si="64"/>
        <v>2</v>
      </c>
      <c r="Q72">
        <f t="shared" ref="Q72:Q78" si="77">IF(O72=MIN(O$71:O$78),L72+1,0)</f>
        <v>1</v>
      </c>
      <c r="R72">
        <f t="shared" si="65"/>
        <v>0</v>
      </c>
      <c r="S72" s="30">
        <f t="shared" si="66"/>
        <v>2</v>
      </c>
      <c r="T72" s="84"/>
      <c r="U72" s="30">
        <f t="shared" si="67"/>
        <v>2</v>
      </c>
      <c r="V72">
        <f t="shared" ref="V72:V78" si="78">IF(T72=MIN(T$71:T$78),Q72+1,0)</f>
        <v>2</v>
      </c>
      <c r="W72">
        <f t="shared" si="68"/>
        <v>0</v>
      </c>
      <c r="X72" s="30">
        <f t="shared" si="69"/>
        <v>2</v>
      </c>
      <c r="Y72" s="84"/>
      <c r="Z72" s="30">
        <f t="shared" si="70"/>
        <v>2</v>
      </c>
      <c r="AB72" s="30">
        <f t="shared" si="71"/>
        <v>15</v>
      </c>
      <c r="AD72" s="65">
        <f t="shared" si="72"/>
        <v>2</v>
      </c>
      <c r="AE72" s="69">
        <f t="shared" si="73"/>
        <v>3</v>
      </c>
      <c r="AF72" s="69">
        <f t="shared" si="74"/>
        <v>3</v>
      </c>
    </row>
    <row r="73" spans="1:50" x14ac:dyDescent="0.45">
      <c r="A73" s="274"/>
      <c r="B73" s="1">
        <v>3</v>
      </c>
      <c r="C73">
        <f t="shared" si="75"/>
        <v>0</v>
      </c>
      <c r="D73" s="30">
        <f t="shared" si="56"/>
        <v>13</v>
      </c>
      <c r="E73" s="84">
        <v>9</v>
      </c>
      <c r="F73" s="30">
        <f t="shared" si="57"/>
        <v>13</v>
      </c>
      <c r="G73">
        <f t="shared" si="58"/>
        <v>1</v>
      </c>
      <c r="H73">
        <f t="shared" si="59"/>
        <v>5</v>
      </c>
      <c r="I73" s="30">
        <f t="shared" si="60"/>
        <v>2</v>
      </c>
      <c r="J73" s="84">
        <v>3</v>
      </c>
      <c r="K73" s="30">
        <f t="shared" si="61"/>
        <v>13</v>
      </c>
      <c r="L73">
        <f t="shared" si="76"/>
        <v>2</v>
      </c>
      <c r="M73">
        <f t="shared" si="62"/>
        <v>10</v>
      </c>
      <c r="N73" s="76">
        <f t="shared" si="63"/>
        <v>7</v>
      </c>
      <c r="O73" s="84"/>
      <c r="P73" s="30">
        <f t="shared" si="64"/>
        <v>13</v>
      </c>
      <c r="Q73">
        <f t="shared" si="77"/>
        <v>3</v>
      </c>
      <c r="R73">
        <f t="shared" si="65"/>
        <v>0</v>
      </c>
      <c r="S73" s="76">
        <f t="shared" si="66"/>
        <v>13</v>
      </c>
      <c r="T73" s="84"/>
      <c r="U73" s="30">
        <f t="shared" si="67"/>
        <v>13</v>
      </c>
      <c r="V73">
        <f t="shared" si="78"/>
        <v>4</v>
      </c>
      <c r="W73">
        <f t="shared" si="68"/>
        <v>0</v>
      </c>
      <c r="X73" s="76">
        <f t="shared" si="69"/>
        <v>13</v>
      </c>
      <c r="Y73" s="84"/>
      <c r="Z73" s="30">
        <f t="shared" si="70"/>
        <v>13</v>
      </c>
      <c r="AB73" s="30">
        <f t="shared" si="71"/>
        <v>10</v>
      </c>
      <c r="AD73" s="65">
        <f t="shared" si="72"/>
        <v>13</v>
      </c>
      <c r="AE73" s="69">
        <f t="shared" si="73"/>
        <v>4</v>
      </c>
      <c r="AF73" s="69">
        <f t="shared" si="74"/>
        <v>4</v>
      </c>
    </row>
    <row r="74" spans="1:50" x14ac:dyDescent="0.45">
      <c r="A74" s="274"/>
      <c r="B74" s="1">
        <v>4</v>
      </c>
      <c r="C74">
        <f t="shared" si="75"/>
        <v>0</v>
      </c>
      <c r="D74" s="30">
        <f t="shared" si="56"/>
        <v>9</v>
      </c>
      <c r="E74" s="84"/>
      <c r="F74" s="30">
        <f t="shared" si="57"/>
        <v>9</v>
      </c>
      <c r="G74">
        <f t="shared" si="58"/>
        <v>0</v>
      </c>
      <c r="H74">
        <f t="shared" si="59"/>
        <v>0</v>
      </c>
      <c r="I74" s="30">
        <f t="shared" si="60"/>
        <v>9</v>
      </c>
      <c r="J74" s="84"/>
      <c r="K74" s="30">
        <f t="shared" si="61"/>
        <v>9</v>
      </c>
      <c r="L74">
        <f t="shared" si="76"/>
        <v>0</v>
      </c>
      <c r="M74">
        <f t="shared" si="62"/>
        <v>0</v>
      </c>
      <c r="N74" s="30">
        <f t="shared" si="63"/>
        <v>9</v>
      </c>
      <c r="O74" s="84"/>
      <c r="P74" s="30">
        <f t="shared" si="64"/>
        <v>9</v>
      </c>
      <c r="Q74">
        <f t="shared" si="77"/>
        <v>1</v>
      </c>
      <c r="R74">
        <f t="shared" si="65"/>
        <v>0</v>
      </c>
      <c r="S74" s="30">
        <f t="shared" si="66"/>
        <v>9</v>
      </c>
      <c r="T74" s="84"/>
      <c r="U74" s="30">
        <f t="shared" si="67"/>
        <v>9</v>
      </c>
      <c r="V74">
        <f t="shared" si="78"/>
        <v>2</v>
      </c>
      <c r="W74">
        <f t="shared" si="68"/>
        <v>0</v>
      </c>
      <c r="X74" s="30">
        <f t="shared" si="69"/>
        <v>9</v>
      </c>
      <c r="Y74" s="84"/>
      <c r="Z74" s="30">
        <f t="shared" si="70"/>
        <v>9</v>
      </c>
      <c r="AB74" s="30">
        <f t="shared" si="71"/>
        <v>6</v>
      </c>
      <c r="AD74" s="65">
        <f t="shared" si="72"/>
        <v>9</v>
      </c>
      <c r="AE74" s="69">
        <f t="shared" si="73"/>
        <v>2</v>
      </c>
      <c r="AF74" s="69">
        <f t="shared" si="74"/>
        <v>2</v>
      </c>
    </row>
    <row r="75" spans="1:50" x14ac:dyDescent="0.45">
      <c r="A75" s="274"/>
      <c r="B75" s="1">
        <v>5</v>
      </c>
      <c r="C75">
        <f t="shared" si="75"/>
        <v>0</v>
      </c>
      <c r="D75" s="30">
        <f t="shared" si="56"/>
        <v>3</v>
      </c>
      <c r="E75" s="84"/>
      <c r="F75" s="30">
        <f t="shared" si="57"/>
        <v>3</v>
      </c>
      <c r="G75">
        <f t="shared" si="58"/>
        <v>0</v>
      </c>
      <c r="H75">
        <f t="shared" si="59"/>
        <v>0</v>
      </c>
      <c r="I75" s="30">
        <f t="shared" si="60"/>
        <v>3</v>
      </c>
      <c r="J75" s="84">
        <v>4</v>
      </c>
      <c r="K75" s="30">
        <f t="shared" si="61"/>
        <v>3</v>
      </c>
      <c r="L75">
        <f t="shared" si="76"/>
        <v>0</v>
      </c>
      <c r="M75">
        <f t="shared" si="62"/>
        <v>0</v>
      </c>
      <c r="N75" s="30">
        <f t="shared" si="63"/>
        <v>3</v>
      </c>
      <c r="O75" s="84"/>
      <c r="P75" s="30">
        <f t="shared" si="64"/>
        <v>3</v>
      </c>
      <c r="Q75">
        <f t="shared" si="77"/>
        <v>1</v>
      </c>
      <c r="R75">
        <f t="shared" si="65"/>
        <v>0</v>
      </c>
      <c r="S75" s="30">
        <f t="shared" si="66"/>
        <v>3</v>
      </c>
      <c r="T75" s="84"/>
      <c r="U75" s="30">
        <f t="shared" si="67"/>
        <v>3</v>
      </c>
      <c r="V75">
        <f t="shared" si="78"/>
        <v>2</v>
      </c>
      <c r="W75">
        <f t="shared" si="68"/>
        <v>0</v>
      </c>
      <c r="X75" s="30">
        <f t="shared" si="69"/>
        <v>3</v>
      </c>
      <c r="Y75" s="84"/>
      <c r="Z75" s="30">
        <f t="shared" si="70"/>
        <v>3</v>
      </c>
      <c r="AB75" s="30">
        <f t="shared" si="71"/>
        <v>0</v>
      </c>
      <c r="AD75" s="65">
        <f t="shared" si="72"/>
        <v>3</v>
      </c>
      <c r="AE75" s="69">
        <f t="shared" si="73"/>
        <v>4</v>
      </c>
      <c r="AF75" s="69">
        <f t="shared" si="74"/>
        <v>4</v>
      </c>
    </row>
    <row r="76" spans="1:50" x14ac:dyDescent="0.45">
      <c r="A76" s="274"/>
      <c r="B76" s="1">
        <v>6</v>
      </c>
      <c r="C76">
        <f t="shared" si="75"/>
        <v>0</v>
      </c>
      <c r="D76" s="30">
        <f t="shared" si="56"/>
        <v>15</v>
      </c>
      <c r="E76" s="84">
        <v>10</v>
      </c>
      <c r="F76" s="30">
        <f t="shared" si="57"/>
        <v>15</v>
      </c>
      <c r="G76">
        <f t="shared" si="58"/>
        <v>0</v>
      </c>
      <c r="H76">
        <f t="shared" si="59"/>
        <v>0</v>
      </c>
      <c r="I76" s="30">
        <f t="shared" si="60"/>
        <v>15</v>
      </c>
      <c r="J76" s="84"/>
      <c r="K76" s="30">
        <f t="shared" si="61"/>
        <v>15</v>
      </c>
      <c r="L76">
        <f t="shared" si="76"/>
        <v>0</v>
      </c>
      <c r="M76">
        <f t="shared" si="62"/>
        <v>0</v>
      </c>
      <c r="N76" s="30">
        <f t="shared" si="63"/>
        <v>15</v>
      </c>
      <c r="O76" s="84"/>
      <c r="P76" s="30">
        <f t="shared" si="64"/>
        <v>15</v>
      </c>
      <c r="Q76">
        <f t="shared" si="77"/>
        <v>1</v>
      </c>
      <c r="R76">
        <f t="shared" si="65"/>
        <v>0</v>
      </c>
      <c r="S76" s="30">
        <f t="shared" si="66"/>
        <v>15</v>
      </c>
      <c r="T76" s="84"/>
      <c r="U76" s="30">
        <f t="shared" si="67"/>
        <v>15</v>
      </c>
      <c r="V76">
        <f t="shared" si="78"/>
        <v>2</v>
      </c>
      <c r="W76">
        <f t="shared" si="68"/>
        <v>0</v>
      </c>
      <c r="X76" s="30">
        <f t="shared" si="69"/>
        <v>15</v>
      </c>
      <c r="Y76" s="84"/>
      <c r="Z76" s="30">
        <f t="shared" si="70"/>
        <v>15</v>
      </c>
      <c r="AB76" s="30">
        <f t="shared" si="71"/>
        <v>12</v>
      </c>
      <c r="AD76" s="65">
        <f t="shared" si="72"/>
        <v>15</v>
      </c>
      <c r="AE76" s="69">
        <f t="shared" si="73"/>
        <v>5</v>
      </c>
      <c r="AF76" s="69">
        <f t="shared" si="74"/>
        <v>5</v>
      </c>
    </row>
    <row r="77" spans="1:50" x14ac:dyDescent="0.45">
      <c r="A77" s="274"/>
      <c r="B77" s="1">
        <v>7</v>
      </c>
      <c r="C77">
        <f t="shared" si="75"/>
        <v>0</v>
      </c>
      <c r="D77" s="30">
        <f t="shared" si="56"/>
        <v>12</v>
      </c>
      <c r="E77" s="84"/>
      <c r="F77" s="30">
        <f t="shared" si="57"/>
        <v>12</v>
      </c>
      <c r="G77">
        <f t="shared" si="58"/>
        <v>0</v>
      </c>
      <c r="H77">
        <f t="shared" si="59"/>
        <v>0</v>
      </c>
      <c r="I77" s="63">
        <f t="shared" si="60"/>
        <v>12</v>
      </c>
      <c r="J77" s="84"/>
      <c r="K77" s="30">
        <f t="shared" si="61"/>
        <v>12</v>
      </c>
      <c r="L77">
        <f t="shared" si="76"/>
        <v>0</v>
      </c>
      <c r="M77">
        <f t="shared" si="62"/>
        <v>0</v>
      </c>
      <c r="N77" s="30">
        <f t="shared" si="63"/>
        <v>12</v>
      </c>
      <c r="O77" s="84"/>
      <c r="P77" s="30">
        <f t="shared" si="64"/>
        <v>12</v>
      </c>
      <c r="Q77">
        <f t="shared" si="77"/>
        <v>1</v>
      </c>
      <c r="R77">
        <f t="shared" si="65"/>
        <v>0</v>
      </c>
      <c r="S77" s="30">
        <f t="shared" si="66"/>
        <v>12</v>
      </c>
      <c r="T77" s="84"/>
      <c r="U77" s="30">
        <f t="shared" si="67"/>
        <v>12</v>
      </c>
      <c r="V77">
        <f t="shared" si="78"/>
        <v>2</v>
      </c>
      <c r="W77">
        <f t="shared" si="68"/>
        <v>0</v>
      </c>
      <c r="X77" s="30">
        <f t="shared" si="69"/>
        <v>12</v>
      </c>
      <c r="Y77" s="84"/>
      <c r="Z77" s="30">
        <f t="shared" si="70"/>
        <v>12</v>
      </c>
      <c r="AB77" s="30">
        <f t="shared" si="71"/>
        <v>9</v>
      </c>
      <c r="AD77" s="65">
        <f t="shared" si="72"/>
        <v>12</v>
      </c>
      <c r="AE77" s="69">
        <f t="shared" si="73"/>
        <v>4</v>
      </c>
      <c r="AF77" s="69">
        <f t="shared" si="74"/>
        <v>4</v>
      </c>
    </row>
    <row r="78" spans="1:50" x14ac:dyDescent="0.45">
      <c r="A78" s="275"/>
      <c r="B78" s="1">
        <v>8</v>
      </c>
      <c r="C78">
        <f t="shared" si="75"/>
        <v>0</v>
      </c>
      <c r="D78" s="30">
        <f t="shared" si="56"/>
        <v>8</v>
      </c>
      <c r="E78" s="84"/>
      <c r="F78" s="30">
        <f t="shared" si="57"/>
        <v>8</v>
      </c>
      <c r="G78">
        <f t="shared" si="58"/>
        <v>0</v>
      </c>
      <c r="H78">
        <f t="shared" si="59"/>
        <v>0</v>
      </c>
      <c r="I78" s="30">
        <f t="shared" si="60"/>
        <v>8</v>
      </c>
      <c r="J78" s="84"/>
      <c r="K78" s="30">
        <f t="shared" si="61"/>
        <v>8</v>
      </c>
      <c r="L78">
        <f t="shared" si="76"/>
        <v>0</v>
      </c>
      <c r="M78">
        <f t="shared" si="62"/>
        <v>0</v>
      </c>
      <c r="N78" s="30">
        <f t="shared" si="63"/>
        <v>8</v>
      </c>
      <c r="O78" s="84"/>
      <c r="P78" s="30">
        <f t="shared" si="64"/>
        <v>8</v>
      </c>
      <c r="Q78">
        <f t="shared" si="77"/>
        <v>1</v>
      </c>
      <c r="R78">
        <f t="shared" si="65"/>
        <v>0</v>
      </c>
      <c r="S78" s="30">
        <f t="shared" si="66"/>
        <v>8</v>
      </c>
      <c r="T78" s="84"/>
      <c r="U78" s="30">
        <f t="shared" si="67"/>
        <v>8</v>
      </c>
      <c r="V78">
        <f t="shared" si="78"/>
        <v>2</v>
      </c>
      <c r="W78">
        <f t="shared" si="68"/>
        <v>0</v>
      </c>
      <c r="X78" s="30">
        <f t="shared" si="69"/>
        <v>8</v>
      </c>
      <c r="Y78" s="84"/>
      <c r="Z78" s="30">
        <f t="shared" si="70"/>
        <v>8</v>
      </c>
      <c r="AB78" s="30">
        <f t="shared" si="71"/>
        <v>5</v>
      </c>
      <c r="AD78" s="65">
        <f t="shared" si="72"/>
        <v>8</v>
      </c>
      <c r="AE78" s="69">
        <f>MOD(ABS(AB71+8-AB78), $E$1)</f>
        <v>6</v>
      </c>
      <c r="AF78" s="69">
        <f>MOD(ABS(AD71+8-AD78), $E$1)</f>
        <v>6</v>
      </c>
    </row>
    <row r="79" spans="1:50" s="79" customFormat="1" x14ac:dyDescent="0.45">
      <c r="A79"/>
      <c r="B79"/>
      <c r="D79"/>
      <c r="E79" s="84"/>
      <c r="F79"/>
      <c r="G79"/>
      <c r="H79"/>
      <c r="I79" s="30"/>
      <c r="J79" s="84"/>
      <c r="K79"/>
      <c r="L79"/>
      <c r="M79"/>
      <c r="N79"/>
      <c r="O79" s="84"/>
      <c r="P79"/>
      <c r="Q79"/>
      <c r="R79"/>
      <c r="S79"/>
      <c r="T79" s="84"/>
      <c r="U79"/>
      <c r="V79"/>
      <c r="W79"/>
      <c r="X79"/>
      <c r="Y79" s="84"/>
      <c r="Z79"/>
      <c r="AA79"/>
      <c r="AB79"/>
      <c r="AC79"/>
      <c r="AD79"/>
      <c r="AE79"/>
      <c r="AF79"/>
      <c r="AG79" s="30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0" ht="51" x14ac:dyDescent="0.45">
      <c r="A80" s="273">
        <v>4</v>
      </c>
      <c r="B80" s="70" t="s">
        <v>142</v>
      </c>
      <c r="C80" t="s">
        <v>148</v>
      </c>
      <c r="D80" s="48">
        <f>L8</f>
        <v>6</v>
      </c>
      <c r="E80" s="84"/>
      <c r="F80" s="48">
        <f>D80</f>
        <v>6</v>
      </c>
      <c r="G80" t="s">
        <v>148</v>
      </c>
      <c r="H80" t="s">
        <v>149</v>
      </c>
      <c r="J80" s="84"/>
      <c r="K80" s="48">
        <f>F80</f>
        <v>6</v>
      </c>
      <c r="L80" t="s">
        <v>148</v>
      </c>
      <c r="M80" t="s">
        <v>149</v>
      </c>
      <c r="O80" s="84"/>
      <c r="P80" s="48">
        <f>K80</f>
        <v>6</v>
      </c>
      <c r="Q80" t="s">
        <v>148</v>
      </c>
      <c r="R80" t="s">
        <v>149</v>
      </c>
      <c r="T80" s="84"/>
      <c r="U80" s="48">
        <f>K80</f>
        <v>6</v>
      </c>
      <c r="V80" t="s">
        <v>148</v>
      </c>
      <c r="W80" t="s">
        <v>149</v>
      </c>
      <c r="Y80" s="84"/>
      <c r="Z80" s="48">
        <f>U80</f>
        <v>6</v>
      </c>
      <c r="AB80" s="48">
        <f>Z80</f>
        <v>6</v>
      </c>
      <c r="AD80" s="56">
        <f>AB80</f>
        <v>6</v>
      </c>
    </row>
    <row r="81" spans="1:50" x14ac:dyDescent="0.45">
      <c r="A81" s="274"/>
      <c r="B81" s="1">
        <v>1</v>
      </c>
      <c r="C81">
        <v>0</v>
      </c>
      <c r="D81" s="30">
        <f t="shared" ref="D81:D88" si="79">MOD($E5+D$80,$E$1)</f>
        <v>13</v>
      </c>
      <c r="E81" s="84"/>
      <c r="F81" s="30">
        <f t="shared" ref="F81:F88" si="80">MOD($E5+F$80,$E$1)</f>
        <v>13</v>
      </c>
      <c r="G81">
        <f t="shared" ref="G81:G88" si="81">IF(E81=MIN(E$81:E$88),1,0)</f>
        <v>0</v>
      </c>
      <c r="H81">
        <f t="shared" ref="H81:H88" si="82">IF(COUNT(E81)=1,IF(E81=MIN(E$81:E$88),G81*$E$2,0),0)</f>
        <v>0</v>
      </c>
      <c r="I81" s="30">
        <f t="shared" ref="I81:I88" si="83">MOD(F81+H81,$E$1)</f>
        <v>13</v>
      </c>
      <c r="J81" s="84"/>
      <c r="K81" s="30">
        <f t="shared" ref="K81:K88" si="84">MOD($E5+K$80,$E$1)</f>
        <v>13</v>
      </c>
      <c r="L81">
        <f>IF(J81=MIN(J$81:J$88),G81+1,0)</f>
        <v>1</v>
      </c>
      <c r="M81">
        <f t="shared" ref="M81:M88" si="85">IF(COUNT(J81)=1,IF(J81=MIN(J$81:J$88),L81*$E$2,0),0)</f>
        <v>0</v>
      </c>
      <c r="N81" s="63">
        <f t="shared" ref="N81:N88" si="86">MOD(K81+M81,$E$1)</f>
        <v>13</v>
      </c>
      <c r="O81" s="84"/>
      <c r="P81" s="30">
        <f t="shared" ref="P81:P88" si="87">MOD($E5+P$80,$E$1)</f>
        <v>13</v>
      </c>
      <c r="Q81">
        <f>IF(O81=MIN(O$81:O$88),L81+1,0)</f>
        <v>2</v>
      </c>
      <c r="R81">
        <f t="shared" ref="R81:R88" si="88">IF(COUNT(O81)=1,IF(O81=MIN(O$81:O$88),Q81*$E$2,0),0)</f>
        <v>0</v>
      </c>
      <c r="S81" s="63">
        <f t="shared" ref="S81:S88" si="89">MOD(P81+R81,$E$1)</f>
        <v>13</v>
      </c>
      <c r="T81" s="84"/>
      <c r="U81" s="30">
        <f t="shared" ref="U81:U88" si="90">MOD($E5+U$80,$E$1)</f>
        <v>13</v>
      </c>
      <c r="V81">
        <f>IF(T81=MIN(T$81:T$88),Q81+1,0)</f>
        <v>3</v>
      </c>
      <c r="W81">
        <f t="shared" ref="W81:W88" si="91">IF(COUNT(T81)=1,IF(T81=MIN(T$81:T$88),V81*$E$2,0),0)</f>
        <v>0</v>
      </c>
      <c r="X81" s="63">
        <f t="shared" ref="X81:X88" si="92">MOD(U81+W81,$E$1)</f>
        <v>13</v>
      </c>
      <c r="Y81" s="84"/>
      <c r="Z81" s="30">
        <f t="shared" ref="Z81:Z88" si="93">MOD($E5+Z$80,$E$1)</f>
        <v>13</v>
      </c>
      <c r="AB81" s="30">
        <f t="shared" ref="AB81:AB88" si="94">MOD($E5+AB$80,$E$1)</f>
        <v>13</v>
      </c>
      <c r="AD81" s="65">
        <f t="shared" ref="AD81:AD88" si="95">MOD($E5+AD$80,$E$1)</f>
        <v>13</v>
      </c>
      <c r="AE81" s="69">
        <f t="shared" ref="AE81:AE87" si="96">MOD(ABS(AB82+8-AB81),$E$1)</f>
        <v>4</v>
      </c>
      <c r="AF81" s="69">
        <f t="shared" ref="AF81:AF87" si="97">MOD(ABS(AD82+8-AD81),$E$1)</f>
        <v>4</v>
      </c>
    </row>
    <row r="82" spans="1:50" x14ac:dyDescent="0.45">
      <c r="A82" s="274"/>
      <c r="B82" s="1">
        <v>2</v>
      </c>
      <c r="C82">
        <f t="shared" ref="C82:C88" si="98">IF(B82=MIN(B$51:B$58),1,0)</f>
        <v>0</v>
      </c>
      <c r="D82" s="30">
        <f t="shared" si="79"/>
        <v>9</v>
      </c>
      <c r="E82" s="84"/>
      <c r="F82" s="30">
        <f t="shared" si="80"/>
        <v>9</v>
      </c>
      <c r="G82">
        <f t="shared" si="81"/>
        <v>0</v>
      </c>
      <c r="H82">
        <f t="shared" si="82"/>
        <v>0</v>
      </c>
      <c r="I82" s="30">
        <f t="shared" si="83"/>
        <v>9</v>
      </c>
      <c r="J82" s="84"/>
      <c r="K82" s="30">
        <f t="shared" si="84"/>
        <v>9</v>
      </c>
      <c r="L82">
        <f t="shared" ref="L82:L88" si="99">IF(J82=MIN(J$81:J$88),G82+1,0)</f>
        <v>1</v>
      </c>
      <c r="M82">
        <f t="shared" si="85"/>
        <v>0</v>
      </c>
      <c r="N82" s="30">
        <f t="shared" si="86"/>
        <v>9</v>
      </c>
      <c r="O82" s="84"/>
      <c r="P82" s="30">
        <f t="shared" si="87"/>
        <v>9</v>
      </c>
      <c r="Q82">
        <f t="shared" ref="Q82:Q88" si="100">IF(O82=MIN(O$81:O$88),L82+1,0)</f>
        <v>2</v>
      </c>
      <c r="R82">
        <f t="shared" si="88"/>
        <v>0</v>
      </c>
      <c r="S82" s="30">
        <f t="shared" si="89"/>
        <v>9</v>
      </c>
      <c r="T82" s="84"/>
      <c r="U82" s="30">
        <f t="shared" si="90"/>
        <v>9</v>
      </c>
      <c r="V82">
        <f t="shared" ref="V82:V88" si="101">IF(T82=MIN(T$81:T$88),Q82+1,0)</f>
        <v>3</v>
      </c>
      <c r="W82">
        <f t="shared" si="91"/>
        <v>0</v>
      </c>
      <c r="X82" s="30">
        <f t="shared" si="92"/>
        <v>9</v>
      </c>
      <c r="Y82" s="84"/>
      <c r="Z82" s="30">
        <f t="shared" si="93"/>
        <v>9</v>
      </c>
      <c r="AB82" s="30">
        <f t="shared" si="94"/>
        <v>9</v>
      </c>
      <c r="AD82" s="65">
        <f t="shared" si="95"/>
        <v>9</v>
      </c>
      <c r="AE82" s="69">
        <f t="shared" si="96"/>
        <v>3</v>
      </c>
      <c r="AF82" s="69">
        <f t="shared" si="97"/>
        <v>3</v>
      </c>
    </row>
    <row r="83" spans="1:50" x14ac:dyDescent="0.45">
      <c r="A83" s="274"/>
      <c r="B83" s="1">
        <v>3</v>
      </c>
      <c r="C83">
        <f t="shared" si="98"/>
        <v>0</v>
      </c>
      <c r="D83" s="30">
        <f t="shared" si="79"/>
        <v>4</v>
      </c>
      <c r="E83" s="84"/>
      <c r="F83" s="30">
        <f t="shared" si="80"/>
        <v>4</v>
      </c>
      <c r="G83">
        <f t="shared" si="81"/>
        <v>0</v>
      </c>
      <c r="H83">
        <f t="shared" si="82"/>
        <v>0</v>
      </c>
      <c r="I83" s="30">
        <f t="shared" si="83"/>
        <v>4</v>
      </c>
      <c r="J83" s="84"/>
      <c r="K83" s="30">
        <f t="shared" si="84"/>
        <v>4</v>
      </c>
      <c r="L83">
        <f t="shared" si="99"/>
        <v>1</v>
      </c>
      <c r="M83">
        <f t="shared" si="85"/>
        <v>0</v>
      </c>
      <c r="N83" s="76">
        <f t="shared" si="86"/>
        <v>4</v>
      </c>
      <c r="O83" s="84"/>
      <c r="P83" s="30">
        <f t="shared" si="87"/>
        <v>4</v>
      </c>
      <c r="Q83">
        <f t="shared" si="100"/>
        <v>2</v>
      </c>
      <c r="R83">
        <f t="shared" si="88"/>
        <v>0</v>
      </c>
      <c r="S83" s="76">
        <f t="shared" si="89"/>
        <v>4</v>
      </c>
      <c r="T83" s="84"/>
      <c r="U83" s="30">
        <f t="shared" si="90"/>
        <v>4</v>
      </c>
      <c r="V83">
        <f t="shared" si="101"/>
        <v>3</v>
      </c>
      <c r="W83">
        <f t="shared" si="91"/>
        <v>0</v>
      </c>
      <c r="X83" s="76">
        <f t="shared" si="92"/>
        <v>4</v>
      </c>
      <c r="Y83" s="84"/>
      <c r="Z83" s="30">
        <f t="shared" si="93"/>
        <v>4</v>
      </c>
      <c r="AB83" s="30">
        <f t="shared" si="94"/>
        <v>4</v>
      </c>
      <c r="AD83" s="65">
        <f t="shared" si="95"/>
        <v>4</v>
      </c>
      <c r="AE83" s="69">
        <f t="shared" si="96"/>
        <v>4</v>
      </c>
      <c r="AF83" s="69">
        <f t="shared" si="97"/>
        <v>4</v>
      </c>
    </row>
    <row r="84" spans="1:50" x14ac:dyDescent="0.45">
      <c r="A84" s="274"/>
      <c r="B84" s="1">
        <v>4</v>
      </c>
      <c r="C84">
        <f t="shared" si="98"/>
        <v>0</v>
      </c>
      <c r="D84" s="30">
        <f t="shared" si="79"/>
        <v>0</v>
      </c>
      <c r="E84" s="84">
        <v>5</v>
      </c>
      <c r="F84" s="30">
        <f t="shared" si="80"/>
        <v>0</v>
      </c>
      <c r="G84">
        <f t="shared" si="81"/>
        <v>1</v>
      </c>
      <c r="H84">
        <f t="shared" si="82"/>
        <v>5</v>
      </c>
      <c r="I84" s="30">
        <f t="shared" si="83"/>
        <v>5</v>
      </c>
      <c r="J84" s="84"/>
      <c r="K84" s="30">
        <f t="shared" si="84"/>
        <v>0</v>
      </c>
      <c r="L84">
        <f t="shared" si="99"/>
        <v>2</v>
      </c>
      <c r="M84">
        <f t="shared" si="85"/>
        <v>0</v>
      </c>
      <c r="N84" s="30">
        <f t="shared" si="86"/>
        <v>0</v>
      </c>
      <c r="O84" s="84"/>
      <c r="P84" s="30">
        <f t="shared" si="87"/>
        <v>0</v>
      </c>
      <c r="Q84">
        <f t="shared" si="100"/>
        <v>3</v>
      </c>
      <c r="R84">
        <f t="shared" si="88"/>
        <v>0</v>
      </c>
      <c r="S84" s="30">
        <f t="shared" si="89"/>
        <v>0</v>
      </c>
      <c r="T84" s="84"/>
      <c r="U84" s="30">
        <f t="shared" si="90"/>
        <v>0</v>
      </c>
      <c r="V84">
        <f t="shared" si="101"/>
        <v>4</v>
      </c>
      <c r="W84">
        <f t="shared" si="91"/>
        <v>0</v>
      </c>
      <c r="X84" s="30">
        <f t="shared" si="92"/>
        <v>0</v>
      </c>
      <c r="Y84" s="84"/>
      <c r="Z84" s="30">
        <f t="shared" si="93"/>
        <v>0</v>
      </c>
      <c r="AB84" s="30">
        <f t="shared" si="94"/>
        <v>0</v>
      </c>
      <c r="AD84" s="65">
        <f t="shared" si="95"/>
        <v>0</v>
      </c>
      <c r="AE84" s="69">
        <f t="shared" si="96"/>
        <v>2</v>
      </c>
      <c r="AF84" s="69">
        <f t="shared" si="97"/>
        <v>2</v>
      </c>
    </row>
    <row r="85" spans="1:50" x14ac:dyDescent="0.45">
      <c r="A85" s="274"/>
      <c r="B85" s="1">
        <v>5</v>
      </c>
      <c r="C85">
        <f t="shared" si="98"/>
        <v>0</v>
      </c>
      <c r="D85" s="30">
        <f t="shared" si="79"/>
        <v>10</v>
      </c>
      <c r="E85" s="84"/>
      <c r="F85" s="30">
        <f t="shared" si="80"/>
        <v>10</v>
      </c>
      <c r="G85">
        <f t="shared" si="81"/>
        <v>0</v>
      </c>
      <c r="H85">
        <f t="shared" si="82"/>
        <v>0</v>
      </c>
      <c r="I85" s="30">
        <f t="shared" si="83"/>
        <v>10</v>
      </c>
      <c r="J85" s="84"/>
      <c r="K85" s="30">
        <f t="shared" si="84"/>
        <v>10</v>
      </c>
      <c r="L85">
        <f t="shared" si="99"/>
        <v>1</v>
      </c>
      <c r="M85">
        <f t="shared" si="85"/>
        <v>0</v>
      </c>
      <c r="N85" s="30">
        <f t="shared" si="86"/>
        <v>10</v>
      </c>
      <c r="O85" s="84"/>
      <c r="P85" s="30">
        <f t="shared" si="87"/>
        <v>10</v>
      </c>
      <c r="Q85">
        <f t="shared" si="100"/>
        <v>2</v>
      </c>
      <c r="R85">
        <f t="shared" si="88"/>
        <v>0</v>
      </c>
      <c r="S85" s="30">
        <f t="shared" si="89"/>
        <v>10</v>
      </c>
      <c r="T85" s="84"/>
      <c r="U85" s="30">
        <f t="shared" si="90"/>
        <v>10</v>
      </c>
      <c r="V85">
        <f t="shared" si="101"/>
        <v>3</v>
      </c>
      <c r="W85">
        <f t="shared" si="91"/>
        <v>0</v>
      </c>
      <c r="X85" s="30">
        <f t="shared" si="92"/>
        <v>10</v>
      </c>
      <c r="Y85" s="84"/>
      <c r="Z85" s="30">
        <f t="shared" si="93"/>
        <v>10</v>
      </c>
      <c r="AB85" s="30">
        <f t="shared" si="94"/>
        <v>10</v>
      </c>
      <c r="AD85" s="65">
        <f t="shared" si="95"/>
        <v>10</v>
      </c>
      <c r="AE85" s="69">
        <f t="shared" si="96"/>
        <v>4</v>
      </c>
      <c r="AF85" s="69">
        <f t="shared" si="97"/>
        <v>4</v>
      </c>
    </row>
    <row r="86" spans="1:50" x14ac:dyDescent="0.45">
      <c r="A86" s="274"/>
      <c r="B86" s="1">
        <v>6</v>
      </c>
      <c r="C86">
        <f t="shared" si="98"/>
        <v>0</v>
      </c>
      <c r="D86" s="30">
        <f t="shared" si="79"/>
        <v>6</v>
      </c>
      <c r="E86" s="84"/>
      <c r="F86" s="30">
        <f t="shared" si="80"/>
        <v>6</v>
      </c>
      <c r="G86">
        <f t="shared" si="81"/>
        <v>0</v>
      </c>
      <c r="H86">
        <f t="shared" si="82"/>
        <v>0</v>
      </c>
      <c r="I86" s="63">
        <f t="shared" si="83"/>
        <v>6</v>
      </c>
      <c r="J86" s="84"/>
      <c r="K86" s="30">
        <f t="shared" si="84"/>
        <v>6</v>
      </c>
      <c r="L86">
        <f t="shared" si="99"/>
        <v>1</v>
      </c>
      <c r="M86">
        <f t="shared" si="85"/>
        <v>0</v>
      </c>
      <c r="N86" s="30">
        <f t="shared" si="86"/>
        <v>6</v>
      </c>
      <c r="O86" s="84"/>
      <c r="P86" s="30">
        <f t="shared" si="87"/>
        <v>6</v>
      </c>
      <c r="Q86">
        <f t="shared" si="100"/>
        <v>2</v>
      </c>
      <c r="R86">
        <f t="shared" si="88"/>
        <v>0</v>
      </c>
      <c r="S86" s="30">
        <f t="shared" si="89"/>
        <v>6</v>
      </c>
      <c r="T86" s="84"/>
      <c r="U86" s="30">
        <f t="shared" si="90"/>
        <v>6</v>
      </c>
      <c r="V86">
        <f t="shared" si="101"/>
        <v>3</v>
      </c>
      <c r="W86">
        <f t="shared" si="91"/>
        <v>0</v>
      </c>
      <c r="X86" s="30">
        <f t="shared" si="92"/>
        <v>6</v>
      </c>
      <c r="Y86" s="84"/>
      <c r="Z86" s="30">
        <f t="shared" si="93"/>
        <v>6</v>
      </c>
      <c r="AB86" s="30">
        <f t="shared" si="94"/>
        <v>6</v>
      </c>
      <c r="AD86" s="65">
        <f t="shared" si="95"/>
        <v>6</v>
      </c>
      <c r="AE86" s="69">
        <f t="shared" si="96"/>
        <v>5</v>
      </c>
      <c r="AF86" s="69">
        <f t="shared" si="97"/>
        <v>5</v>
      </c>
    </row>
    <row r="87" spans="1:50" x14ac:dyDescent="0.45">
      <c r="A87" s="274"/>
      <c r="B87" s="1">
        <v>7</v>
      </c>
      <c r="C87">
        <f t="shared" si="98"/>
        <v>0</v>
      </c>
      <c r="D87" s="30">
        <f t="shared" si="79"/>
        <v>3</v>
      </c>
      <c r="E87" s="84">
        <v>6</v>
      </c>
      <c r="F87" s="30">
        <f t="shared" si="80"/>
        <v>3</v>
      </c>
      <c r="G87">
        <f t="shared" si="81"/>
        <v>0</v>
      </c>
      <c r="H87">
        <f t="shared" si="82"/>
        <v>0</v>
      </c>
      <c r="I87" s="30">
        <f t="shared" si="83"/>
        <v>3</v>
      </c>
      <c r="J87" s="84"/>
      <c r="K87" s="30">
        <f t="shared" si="84"/>
        <v>3</v>
      </c>
      <c r="L87">
        <f t="shared" si="99"/>
        <v>1</v>
      </c>
      <c r="M87">
        <f t="shared" si="85"/>
        <v>0</v>
      </c>
      <c r="N87" s="30">
        <f t="shared" si="86"/>
        <v>3</v>
      </c>
      <c r="O87" s="84"/>
      <c r="P87" s="30">
        <f t="shared" si="87"/>
        <v>3</v>
      </c>
      <c r="Q87">
        <f t="shared" si="100"/>
        <v>2</v>
      </c>
      <c r="R87">
        <f t="shared" si="88"/>
        <v>0</v>
      </c>
      <c r="S87" s="30">
        <f t="shared" si="89"/>
        <v>3</v>
      </c>
      <c r="T87" s="84"/>
      <c r="U87" s="30">
        <f t="shared" si="90"/>
        <v>3</v>
      </c>
      <c r="V87">
        <f t="shared" si="101"/>
        <v>3</v>
      </c>
      <c r="W87">
        <f t="shared" si="91"/>
        <v>0</v>
      </c>
      <c r="X87" s="30">
        <f t="shared" si="92"/>
        <v>3</v>
      </c>
      <c r="Y87" s="84"/>
      <c r="Z87" s="30">
        <f t="shared" si="93"/>
        <v>3</v>
      </c>
      <c r="AB87" s="30">
        <f t="shared" si="94"/>
        <v>3</v>
      </c>
      <c r="AD87" s="65">
        <f t="shared" si="95"/>
        <v>3</v>
      </c>
      <c r="AE87" s="69">
        <f t="shared" si="96"/>
        <v>4</v>
      </c>
      <c r="AF87" s="69">
        <f t="shared" si="97"/>
        <v>4</v>
      </c>
    </row>
    <row r="88" spans="1:50" x14ac:dyDescent="0.45">
      <c r="A88" s="275"/>
      <c r="B88" s="1">
        <v>8</v>
      </c>
      <c r="C88">
        <f t="shared" si="98"/>
        <v>0</v>
      </c>
      <c r="D88" s="30">
        <f t="shared" si="79"/>
        <v>15</v>
      </c>
      <c r="E88" s="84"/>
      <c r="F88" s="30">
        <f t="shared" si="80"/>
        <v>15</v>
      </c>
      <c r="G88">
        <f t="shared" si="81"/>
        <v>0</v>
      </c>
      <c r="H88">
        <f t="shared" si="82"/>
        <v>0</v>
      </c>
      <c r="I88" s="30">
        <f t="shared" si="83"/>
        <v>15</v>
      </c>
      <c r="J88" s="84"/>
      <c r="K88" s="30">
        <f t="shared" si="84"/>
        <v>15</v>
      </c>
      <c r="L88">
        <f t="shared" si="99"/>
        <v>1</v>
      </c>
      <c r="M88">
        <f t="shared" si="85"/>
        <v>0</v>
      </c>
      <c r="N88" s="30">
        <f t="shared" si="86"/>
        <v>15</v>
      </c>
      <c r="O88" s="84"/>
      <c r="P88" s="30">
        <f t="shared" si="87"/>
        <v>15</v>
      </c>
      <c r="Q88">
        <f t="shared" si="100"/>
        <v>2</v>
      </c>
      <c r="R88">
        <f t="shared" si="88"/>
        <v>0</v>
      </c>
      <c r="S88" s="30">
        <f t="shared" si="89"/>
        <v>15</v>
      </c>
      <c r="T88" s="84"/>
      <c r="U88" s="30">
        <f t="shared" si="90"/>
        <v>15</v>
      </c>
      <c r="V88">
        <f t="shared" si="101"/>
        <v>3</v>
      </c>
      <c r="W88">
        <f t="shared" si="91"/>
        <v>0</v>
      </c>
      <c r="X88" s="30">
        <f t="shared" si="92"/>
        <v>15</v>
      </c>
      <c r="Y88" s="84"/>
      <c r="Z88" s="30">
        <f t="shared" si="93"/>
        <v>15</v>
      </c>
      <c r="AB88" s="30">
        <f t="shared" si="94"/>
        <v>15</v>
      </c>
      <c r="AD88" s="65">
        <f t="shared" si="95"/>
        <v>15</v>
      </c>
      <c r="AE88" s="69">
        <f>MOD(ABS(AB81+8-AB88), $E$1)</f>
        <v>6</v>
      </c>
      <c r="AF88" s="69">
        <f>MOD(ABS(AD81+8-AD88), $E$1)</f>
        <v>6</v>
      </c>
    </row>
    <row r="89" spans="1:50" s="79" customFormat="1" x14ac:dyDescent="0.45">
      <c r="A89"/>
      <c r="B89"/>
      <c r="D89"/>
      <c r="E89" s="84"/>
      <c r="F89"/>
      <c r="G89"/>
      <c r="H89"/>
      <c r="I89" s="30"/>
      <c r="J89" s="84"/>
      <c r="K89"/>
      <c r="L89"/>
      <c r="M89"/>
      <c r="N89"/>
      <c r="O89" s="84"/>
      <c r="P89"/>
      <c r="Q89"/>
      <c r="R89"/>
      <c r="S89"/>
      <c r="T89" s="84"/>
      <c r="U89"/>
      <c r="V89"/>
      <c r="W89"/>
      <c r="X89"/>
      <c r="Y89" s="84"/>
      <c r="Z89"/>
      <c r="AA89"/>
      <c r="AB89"/>
      <c r="AC89"/>
      <c r="AD89"/>
      <c r="AE89"/>
      <c r="AF89"/>
      <c r="AG89" s="30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</row>
    <row r="90" spans="1:50" ht="51" x14ac:dyDescent="0.45">
      <c r="A90" s="273">
        <v>5</v>
      </c>
      <c r="B90" s="70" t="s">
        <v>142</v>
      </c>
      <c r="C90" t="s">
        <v>148</v>
      </c>
      <c r="D90" s="48">
        <f>L9</f>
        <v>10</v>
      </c>
      <c r="E90" s="84"/>
      <c r="F90" s="48">
        <f>D90</f>
        <v>10</v>
      </c>
      <c r="G90" t="s">
        <v>148</v>
      </c>
      <c r="H90" t="s">
        <v>149</v>
      </c>
      <c r="J90" s="84"/>
      <c r="K90" s="48">
        <f>F90</f>
        <v>10</v>
      </c>
      <c r="L90" t="s">
        <v>148</v>
      </c>
      <c r="M90" t="s">
        <v>149</v>
      </c>
      <c r="O90" s="84"/>
      <c r="P90" s="48">
        <f>K90</f>
        <v>10</v>
      </c>
      <c r="Q90" t="s">
        <v>148</v>
      </c>
      <c r="R90" t="s">
        <v>149</v>
      </c>
      <c r="T90" s="84"/>
      <c r="U90" s="48">
        <f>K90</f>
        <v>10</v>
      </c>
      <c r="V90" t="s">
        <v>148</v>
      </c>
      <c r="W90" t="s">
        <v>149</v>
      </c>
      <c r="Y90" s="84"/>
      <c r="Z90" s="48">
        <f>U90</f>
        <v>10</v>
      </c>
      <c r="AB90" s="48">
        <f>Z90</f>
        <v>10</v>
      </c>
      <c r="AD90" s="56">
        <f>AB90</f>
        <v>10</v>
      </c>
    </row>
    <row r="91" spans="1:50" x14ac:dyDescent="0.45">
      <c r="A91" s="274"/>
      <c r="B91" s="1">
        <v>1</v>
      </c>
      <c r="C91">
        <v>0</v>
      </c>
      <c r="D91" s="30">
        <f t="shared" ref="D91:D98" si="102">MOD($E5+D$90,$E$1)</f>
        <v>1</v>
      </c>
      <c r="E91" s="84">
        <v>16</v>
      </c>
      <c r="F91" s="30">
        <f t="shared" ref="F91:F98" si="103">MOD($E5+F$90,$E$1)</f>
        <v>1</v>
      </c>
      <c r="G91">
        <f t="shared" ref="G91:G98" si="104">IF(E91=MIN(E$91:E$98),1,0)</f>
        <v>0</v>
      </c>
      <c r="H91">
        <f t="shared" ref="H91:H98" si="105">IF(COUNT(E91)=1,IF(E91=MIN(E$91:E$98),G91*$E$2,0),0)</f>
        <v>0</v>
      </c>
      <c r="I91" s="30">
        <f t="shared" ref="I91:I98" si="106">MOD(F91+H91,$E$1)</f>
        <v>1</v>
      </c>
      <c r="J91" s="84"/>
      <c r="K91" s="30">
        <f t="shared" ref="K91:K98" si="107">MOD($E5+K$90,$E$1)</f>
        <v>1</v>
      </c>
      <c r="L91">
        <f>IF(J91=MIN(J$91:J$98),G91+1,0)</f>
        <v>1</v>
      </c>
      <c r="M91">
        <f t="shared" ref="M91:M98" si="108">IF(COUNT(J91)=1,IF(J91=MIN(J$91:J$98),L91*$E$2,0),0)</f>
        <v>0</v>
      </c>
      <c r="N91" s="63">
        <f t="shared" ref="N91:N98" si="109">MOD(K91+M91,$E$1)</f>
        <v>1</v>
      </c>
      <c r="O91" s="84"/>
      <c r="P91" s="30">
        <f t="shared" ref="P91:P98" si="110">MOD($E5+P$90,$E$1)</f>
        <v>1</v>
      </c>
      <c r="Q91">
        <f>IF(O91=MIN(O$91:O$98),L91+1,0)</f>
        <v>2</v>
      </c>
      <c r="R91">
        <f t="shared" ref="R91:R98" si="111">IF(COUNT(O91)=1,IF(O91=MIN(O$91:O$98),Q91*$E$2,0),0)</f>
        <v>0</v>
      </c>
      <c r="S91" s="63">
        <f t="shared" ref="S91:S98" si="112">MOD(P91+R91,$E$1)</f>
        <v>1</v>
      </c>
      <c r="T91" s="84"/>
      <c r="U91" s="30">
        <f t="shared" ref="U91:U98" si="113">MOD($E5+U$90,$E$1)</f>
        <v>1</v>
      </c>
      <c r="V91">
        <f>IF(T91=MIN(T$91:T$98),Q91+1,0)</f>
        <v>3</v>
      </c>
      <c r="W91">
        <f t="shared" ref="W91:W98" si="114">IF(COUNT(T91)=1,IF(T91=MIN(T$91:T$98),V91*$E$2,0),0)</f>
        <v>0</v>
      </c>
      <c r="X91" s="63">
        <f t="shared" ref="X91:X98" si="115">MOD(U91+W91,$E$1)</f>
        <v>1</v>
      </c>
      <c r="Y91" s="84"/>
      <c r="Z91" s="30">
        <f t="shared" ref="Z91:Z98" si="116">MOD($E5+Z$60,$E$1)</f>
        <v>3</v>
      </c>
      <c r="AB91" s="30">
        <f t="shared" ref="AB91:AB98" si="117">MOD($E5+AB$90,$E$1)</f>
        <v>1</v>
      </c>
      <c r="AD91" s="65">
        <f t="shared" ref="AD91:AD98" si="118">MOD($E5+AD$90,$E$1)</f>
        <v>1</v>
      </c>
      <c r="AE91" s="69">
        <f t="shared" ref="AE91:AE97" si="119">MOD(ABS(AB92+8-AB91),$E$1)</f>
        <v>4</v>
      </c>
      <c r="AF91" s="69">
        <f t="shared" ref="AF91:AF97" si="120">MOD(ABS(AD92+8-AD91),$E$1)</f>
        <v>4</v>
      </c>
    </row>
    <row r="92" spans="1:50" x14ac:dyDescent="0.45">
      <c r="A92" s="274"/>
      <c r="B92" s="1">
        <v>2</v>
      </c>
      <c r="C92">
        <f t="shared" ref="C92:C98" si="121">IF(B92=MIN(B$51:B$58),1,0)</f>
        <v>0</v>
      </c>
      <c r="D92" s="30">
        <f t="shared" si="102"/>
        <v>13</v>
      </c>
      <c r="E92" s="84"/>
      <c r="F92" s="30">
        <f t="shared" si="103"/>
        <v>13</v>
      </c>
      <c r="G92">
        <f t="shared" si="104"/>
        <v>0</v>
      </c>
      <c r="H92">
        <f t="shared" si="105"/>
        <v>0</v>
      </c>
      <c r="I92" s="30">
        <f t="shared" si="106"/>
        <v>13</v>
      </c>
      <c r="J92" s="84"/>
      <c r="K92" s="30">
        <f t="shared" si="107"/>
        <v>13</v>
      </c>
      <c r="L92">
        <f t="shared" ref="L92:L98" si="122">IF(J92=MIN(J$91:J$98),G92+1,0)</f>
        <v>1</v>
      </c>
      <c r="M92">
        <f t="shared" si="108"/>
        <v>0</v>
      </c>
      <c r="N92" s="30">
        <f t="shared" si="109"/>
        <v>13</v>
      </c>
      <c r="O92" s="84"/>
      <c r="P92" s="30">
        <f t="shared" si="110"/>
        <v>13</v>
      </c>
      <c r="Q92">
        <f t="shared" ref="Q92:Q98" si="123">IF(O92=MIN(O$91:O$98),L92+1,0)</f>
        <v>2</v>
      </c>
      <c r="R92">
        <f t="shared" si="111"/>
        <v>0</v>
      </c>
      <c r="S92" s="30">
        <f t="shared" si="112"/>
        <v>13</v>
      </c>
      <c r="T92" s="84"/>
      <c r="U92" s="30">
        <f t="shared" si="113"/>
        <v>13</v>
      </c>
      <c r="V92">
        <f t="shared" ref="V92:V98" si="124">IF(T92=MIN(T$91:T$98),Q92+1,0)</f>
        <v>3</v>
      </c>
      <c r="W92">
        <f t="shared" si="114"/>
        <v>0</v>
      </c>
      <c r="X92" s="30">
        <f t="shared" si="115"/>
        <v>13</v>
      </c>
      <c r="Y92" s="84"/>
      <c r="Z92" s="30">
        <f t="shared" si="116"/>
        <v>15</v>
      </c>
      <c r="AB92" s="30">
        <f t="shared" si="117"/>
        <v>13</v>
      </c>
      <c r="AD92" s="65">
        <f t="shared" si="118"/>
        <v>13</v>
      </c>
      <c r="AE92" s="69">
        <f t="shared" si="119"/>
        <v>3</v>
      </c>
      <c r="AF92" s="69">
        <f t="shared" si="120"/>
        <v>3</v>
      </c>
    </row>
    <row r="93" spans="1:50" x14ac:dyDescent="0.45">
      <c r="A93" s="274"/>
      <c r="B93" s="1">
        <v>3</v>
      </c>
      <c r="C93">
        <f t="shared" si="121"/>
        <v>0</v>
      </c>
      <c r="D93" s="30">
        <f t="shared" si="102"/>
        <v>8</v>
      </c>
      <c r="E93" s="84"/>
      <c r="F93" s="30">
        <f t="shared" si="103"/>
        <v>8</v>
      </c>
      <c r="G93">
        <f t="shared" si="104"/>
        <v>0</v>
      </c>
      <c r="H93">
        <f t="shared" si="105"/>
        <v>0</v>
      </c>
      <c r="I93" s="30">
        <f t="shared" si="106"/>
        <v>8</v>
      </c>
      <c r="J93" s="84"/>
      <c r="K93" s="30">
        <f t="shared" si="107"/>
        <v>8</v>
      </c>
      <c r="L93">
        <f t="shared" si="122"/>
        <v>1</v>
      </c>
      <c r="M93">
        <f t="shared" si="108"/>
        <v>0</v>
      </c>
      <c r="N93" s="76">
        <f t="shared" si="109"/>
        <v>8</v>
      </c>
      <c r="O93" s="84"/>
      <c r="P93" s="30">
        <f t="shared" si="110"/>
        <v>8</v>
      </c>
      <c r="Q93">
        <f t="shared" si="123"/>
        <v>2</v>
      </c>
      <c r="R93">
        <f t="shared" si="111"/>
        <v>0</v>
      </c>
      <c r="S93" s="76">
        <f t="shared" si="112"/>
        <v>8</v>
      </c>
      <c r="T93" s="84"/>
      <c r="U93" s="30">
        <f t="shared" si="113"/>
        <v>8</v>
      </c>
      <c r="V93">
        <f t="shared" si="124"/>
        <v>3</v>
      </c>
      <c r="W93">
        <f t="shared" si="114"/>
        <v>0</v>
      </c>
      <c r="X93" s="76">
        <f t="shared" si="115"/>
        <v>8</v>
      </c>
      <c r="Y93" s="84"/>
      <c r="Z93" s="30">
        <f t="shared" si="116"/>
        <v>10</v>
      </c>
      <c r="AB93" s="30">
        <f t="shared" si="117"/>
        <v>8</v>
      </c>
      <c r="AD93" s="65">
        <f t="shared" si="118"/>
        <v>8</v>
      </c>
      <c r="AE93" s="69">
        <f t="shared" si="119"/>
        <v>4</v>
      </c>
      <c r="AF93" s="69">
        <f t="shared" si="120"/>
        <v>4</v>
      </c>
    </row>
    <row r="94" spans="1:50" x14ac:dyDescent="0.45">
      <c r="A94" s="274"/>
      <c r="B94" s="1">
        <v>4</v>
      </c>
      <c r="C94">
        <f t="shared" si="121"/>
        <v>0</v>
      </c>
      <c r="D94" s="30">
        <f t="shared" si="102"/>
        <v>4</v>
      </c>
      <c r="E94" s="84"/>
      <c r="F94" s="30">
        <f t="shared" si="103"/>
        <v>4</v>
      </c>
      <c r="G94">
        <f t="shared" si="104"/>
        <v>0</v>
      </c>
      <c r="H94">
        <f t="shared" si="105"/>
        <v>0</v>
      </c>
      <c r="I94" s="30">
        <f t="shared" si="106"/>
        <v>4</v>
      </c>
      <c r="J94" s="84"/>
      <c r="K94" s="30">
        <f t="shared" si="107"/>
        <v>4</v>
      </c>
      <c r="L94">
        <f t="shared" si="122"/>
        <v>1</v>
      </c>
      <c r="M94">
        <f t="shared" si="108"/>
        <v>0</v>
      </c>
      <c r="N94" s="30">
        <f t="shared" si="109"/>
        <v>4</v>
      </c>
      <c r="O94" s="84"/>
      <c r="P94" s="30">
        <f t="shared" si="110"/>
        <v>4</v>
      </c>
      <c r="Q94">
        <f t="shared" si="123"/>
        <v>2</v>
      </c>
      <c r="R94">
        <f t="shared" si="111"/>
        <v>0</v>
      </c>
      <c r="S94" s="30">
        <f t="shared" si="112"/>
        <v>4</v>
      </c>
      <c r="T94" s="84"/>
      <c r="U94" s="30">
        <f t="shared" si="113"/>
        <v>4</v>
      </c>
      <c r="V94">
        <f t="shared" si="124"/>
        <v>3</v>
      </c>
      <c r="W94">
        <f t="shared" si="114"/>
        <v>0</v>
      </c>
      <c r="X94" s="30">
        <f t="shared" si="115"/>
        <v>4</v>
      </c>
      <c r="Y94" s="84"/>
      <c r="Z94" s="30">
        <f t="shared" si="116"/>
        <v>6</v>
      </c>
      <c r="AB94" s="30">
        <f t="shared" si="117"/>
        <v>4</v>
      </c>
      <c r="AD94" s="65">
        <f t="shared" si="118"/>
        <v>4</v>
      </c>
      <c r="AE94" s="69">
        <f t="shared" si="119"/>
        <v>2</v>
      </c>
      <c r="AF94" s="69">
        <f t="shared" si="120"/>
        <v>2</v>
      </c>
    </row>
    <row r="95" spans="1:50" x14ac:dyDescent="0.45">
      <c r="A95" s="274"/>
      <c r="B95" s="1">
        <v>5</v>
      </c>
      <c r="C95">
        <f t="shared" si="121"/>
        <v>0</v>
      </c>
      <c r="D95" s="30">
        <f t="shared" si="102"/>
        <v>14</v>
      </c>
      <c r="E95" s="84">
        <v>15</v>
      </c>
      <c r="F95" s="30">
        <f t="shared" si="103"/>
        <v>14</v>
      </c>
      <c r="G95">
        <f t="shared" si="104"/>
        <v>1</v>
      </c>
      <c r="H95">
        <f t="shared" si="105"/>
        <v>5</v>
      </c>
      <c r="I95" s="63">
        <f t="shared" si="106"/>
        <v>3</v>
      </c>
      <c r="J95" s="84"/>
      <c r="K95" s="30">
        <f t="shared" si="107"/>
        <v>14</v>
      </c>
      <c r="L95">
        <f t="shared" si="122"/>
        <v>2</v>
      </c>
      <c r="M95">
        <f t="shared" si="108"/>
        <v>0</v>
      </c>
      <c r="N95" s="30">
        <f t="shared" si="109"/>
        <v>14</v>
      </c>
      <c r="O95" s="84"/>
      <c r="P95" s="30">
        <f t="shared" si="110"/>
        <v>14</v>
      </c>
      <c r="Q95">
        <f t="shared" si="123"/>
        <v>3</v>
      </c>
      <c r="R95">
        <f t="shared" si="111"/>
        <v>0</v>
      </c>
      <c r="S95" s="30">
        <f t="shared" si="112"/>
        <v>14</v>
      </c>
      <c r="T95" s="84"/>
      <c r="U95" s="30">
        <f t="shared" si="113"/>
        <v>14</v>
      </c>
      <c r="V95">
        <f t="shared" si="124"/>
        <v>4</v>
      </c>
      <c r="W95">
        <f t="shared" si="114"/>
        <v>0</v>
      </c>
      <c r="X95" s="30">
        <f t="shared" si="115"/>
        <v>14</v>
      </c>
      <c r="Y95" s="84"/>
      <c r="Z95" s="30">
        <f t="shared" si="116"/>
        <v>0</v>
      </c>
      <c r="AB95" s="30">
        <f t="shared" si="117"/>
        <v>14</v>
      </c>
      <c r="AD95" s="65">
        <f t="shared" si="118"/>
        <v>14</v>
      </c>
      <c r="AE95" s="69">
        <f t="shared" si="119"/>
        <v>4</v>
      </c>
      <c r="AF95" s="69">
        <f t="shared" si="120"/>
        <v>4</v>
      </c>
    </row>
    <row r="96" spans="1:50" x14ac:dyDescent="0.45">
      <c r="A96" s="274"/>
      <c r="B96" s="1">
        <v>6</v>
      </c>
      <c r="C96">
        <f t="shared" si="121"/>
        <v>0</v>
      </c>
      <c r="D96" s="30">
        <f t="shared" si="102"/>
        <v>10</v>
      </c>
      <c r="E96" s="84"/>
      <c r="F96" s="30">
        <f t="shared" si="103"/>
        <v>10</v>
      </c>
      <c r="G96">
        <f t="shared" si="104"/>
        <v>0</v>
      </c>
      <c r="H96">
        <f t="shared" si="105"/>
        <v>0</v>
      </c>
      <c r="I96" s="30">
        <f t="shared" si="106"/>
        <v>10</v>
      </c>
      <c r="J96" s="84"/>
      <c r="K96" s="30">
        <f t="shared" si="107"/>
        <v>10</v>
      </c>
      <c r="L96">
        <f t="shared" si="122"/>
        <v>1</v>
      </c>
      <c r="M96">
        <f t="shared" si="108"/>
        <v>0</v>
      </c>
      <c r="N96" s="30">
        <f t="shared" si="109"/>
        <v>10</v>
      </c>
      <c r="O96" s="84"/>
      <c r="P96" s="30">
        <f t="shared" si="110"/>
        <v>10</v>
      </c>
      <c r="Q96">
        <f t="shared" si="123"/>
        <v>2</v>
      </c>
      <c r="R96">
        <f t="shared" si="111"/>
        <v>0</v>
      </c>
      <c r="S96" s="30">
        <f t="shared" si="112"/>
        <v>10</v>
      </c>
      <c r="T96" s="84"/>
      <c r="U96" s="30">
        <f t="shared" si="113"/>
        <v>10</v>
      </c>
      <c r="V96">
        <f t="shared" si="124"/>
        <v>3</v>
      </c>
      <c r="W96">
        <f t="shared" si="114"/>
        <v>0</v>
      </c>
      <c r="X96" s="30">
        <f t="shared" si="115"/>
        <v>10</v>
      </c>
      <c r="Y96" s="84"/>
      <c r="Z96" s="30">
        <f t="shared" si="116"/>
        <v>12</v>
      </c>
      <c r="AB96" s="30">
        <f t="shared" si="117"/>
        <v>10</v>
      </c>
      <c r="AD96" s="65">
        <f t="shared" si="118"/>
        <v>10</v>
      </c>
      <c r="AE96" s="69">
        <f t="shared" si="119"/>
        <v>5</v>
      </c>
      <c r="AF96" s="69">
        <f t="shared" si="120"/>
        <v>5</v>
      </c>
    </row>
    <row r="97" spans="1:32" x14ac:dyDescent="0.45">
      <c r="A97" s="274"/>
      <c r="B97" s="1">
        <v>7</v>
      </c>
      <c r="C97">
        <f t="shared" si="121"/>
        <v>0</v>
      </c>
      <c r="D97" s="30">
        <f t="shared" si="102"/>
        <v>7</v>
      </c>
      <c r="E97" s="84"/>
      <c r="F97" s="30">
        <f t="shared" si="103"/>
        <v>7</v>
      </c>
      <c r="G97">
        <f t="shared" si="104"/>
        <v>0</v>
      </c>
      <c r="H97">
        <f t="shared" si="105"/>
        <v>0</v>
      </c>
      <c r="I97" s="30">
        <f t="shared" si="106"/>
        <v>7</v>
      </c>
      <c r="J97" s="84"/>
      <c r="K97" s="30">
        <f t="shared" si="107"/>
        <v>7</v>
      </c>
      <c r="L97">
        <f t="shared" si="122"/>
        <v>1</v>
      </c>
      <c r="M97">
        <f t="shared" si="108"/>
        <v>0</v>
      </c>
      <c r="N97" s="30">
        <f t="shared" si="109"/>
        <v>7</v>
      </c>
      <c r="O97" s="84"/>
      <c r="P97" s="30">
        <f t="shared" si="110"/>
        <v>7</v>
      </c>
      <c r="Q97">
        <f t="shared" si="123"/>
        <v>2</v>
      </c>
      <c r="R97">
        <f t="shared" si="111"/>
        <v>0</v>
      </c>
      <c r="S97" s="30">
        <f t="shared" si="112"/>
        <v>7</v>
      </c>
      <c r="T97" s="84"/>
      <c r="U97" s="30">
        <f t="shared" si="113"/>
        <v>7</v>
      </c>
      <c r="V97">
        <f t="shared" si="124"/>
        <v>3</v>
      </c>
      <c r="W97">
        <f t="shared" si="114"/>
        <v>0</v>
      </c>
      <c r="X97" s="30">
        <f t="shared" si="115"/>
        <v>7</v>
      </c>
      <c r="Y97" s="84"/>
      <c r="Z97" s="30">
        <f t="shared" si="116"/>
        <v>9</v>
      </c>
      <c r="AB97" s="30">
        <f t="shared" si="117"/>
        <v>7</v>
      </c>
      <c r="AD97" s="65">
        <f t="shared" si="118"/>
        <v>7</v>
      </c>
      <c r="AE97" s="69">
        <f t="shared" si="119"/>
        <v>4</v>
      </c>
      <c r="AF97" s="69">
        <f t="shared" si="120"/>
        <v>4</v>
      </c>
    </row>
    <row r="98" spans="1:32" x14ac:dyDescent="0.45">
      <c r="A98" s="275"/>
      <c r="B98" s="1">
        <v>8</v>
      </c>
      <c r="C98">
        <f t="shared" si="121"/>
        <v>0</v>
      </c>
      <c r="D98" s="30">
        <f t="shared" si="102"/>
        <v>3</v>
      </c>
      <c r="E98" s="84"/>
      <c r="F98" s="30">
        <f t="shared" si="103"/>
        <v>3</v>
      </c>
      <c r="G98">
        <f t="shared" si="104"/>
        <v>0</v>
      </c>
      <c r="H98">
        <f t="shared" si="105"/>
        <v>0</v>
      </c>
      <c r="I98" s="30">
        <f t="shared" si="106"/>
        <v>3</v>
      </c>
      <c r="J98" s="84"/>
      <c r="K98" s="30">
        <f t="shared" si="107"/>
        <v>3</v>
      </c>
      <c r="L98">
        <f t="shared" si="122"/>
        <v>1</v>
      </c>
      <c r="M98">
        <f t="shared" si="108"/>
        <v>0</v>
      </c>
      <c r="N98" s="30">
        <f t="shared" si="109"/>
        <v>3</v>
      </c>
      <c r="O98" s="84"/>
      <c r="P98" s="30">
        <f t="shared" si="110"/>
        <v>3</v>
      </c>
      <c r="Q98">
        <f t="shared" si="123"/>
        <v>2</v>
      </c>
      <c r="R98">
        <f t="shared" si="111"/>
        <v>0</v>
      </c>
      <c r="S98" s="30">
        <f t="shared" si="112"/>
        <v>3</v>
      </c>
      <c r="T98" s="84"/>
      <c r="U98" s="30">
        <f t="shared" si="113"/>
        <v>3</v>
      </c>
      <c r="V98">
        <f t="shared" si="124"/>
        <v>3</v>
      </c>
      <c r="W98">
        <f t="shared" si="114"/>
        <v>0</v>
      </c>
      <c r="X98" s="30">
        <f t="shared" si="115"/>
        <v>3</v>
      </c>
      <c r="Y98" s="84"/>
      <c r="Z98" s="30">
        <f t="shared" si="116"/>
        <v>5</v>
      </c>
      <c r="AB98" s="30">
        <f t="shared" si="117"/>
        <v>3</v>
      </c>
      <c r="AD98" s="65">
        <f t="shared" si="118"/>
        <v>3</v>
      </c>
      <c r="AE98" s="69">
        <f>MOD(ABS(AB91+8-AB98), $E$1)</f>
        <v>6</v>
      </c>
      <c r="AF98" s="69">
        <f>MOD(ABS(AD91+8-AD98), $E$1)</f>
        <v>6</v>
      </c>
    </row>
    <row r="99" spans="1:32" x14ac:dyDescent="0.45">
      <c r="E99" s="84"/>
      <c r="I99" s="30"/>
      <c r="J99" s="84"/>
      <c r="O99" s="84"/>
      <c r="T99" s="84"/>
      <c r="Y99" s="84"/>
    </row>
    <row r="100" spans="1:32" ht="51" x14ac:dyDescent="0.45">
      <c r="A100" s="273">
        <v>6</v>
      </c>
      <c r="B100" s="70" t="s">
        <v>142</v>
      </c>
      <c r="C100" t="s">
        <v>148</v>
      </c>
      <c r="D100" s="48">
        <f>L10</f>
        <v>3</v>
      </c>
      <c r="E100" s="84"/>
      <c r="F100" s="48">
        <f>D100</f>
        <v>3</v>
      </c>
      <c r="G100" t="s">
        <v>148</v>
      </c>
      <c r="H100" t="s">
        <v>149</v>
      </c>
      <c r="J100" s="84"/>
      <c r="K100" s="48">
        <f>F100</f>
        <v>3</v>
      </c>
      <c r="L100" t="s">
        <v>148</v>
      </c>
      <c r="M100" t="s">
        <v>149</v>
      </c>
      <c r="O100" s="84"/>
      <c r="P100" s="48">
        <f>K100</f>
        <v>3</v>
      </c>
      <c r="Q100" t="s">
        <v>148</v>
      </c>
      <c r="R100" t="s">
        <v>149</v>
      </c>
      <c r="T100" s="84"/>
      <c r="U100" s="48">
        <f>K100</f>
        <v>3</v>
      </c>
      <c r="V100" t="s">
        <v>148</v>
      </c>
      <c r="W100" t="s">
        <v>149</v>
      </c>
      <c r="Y100" s="84"/>
      <c r="Z100" s="48">
        <f>U100</f>
        <v>3</v>
      </c>
      <c r="AB100" s="48">
        <f>Z100</f>
        <v>3</v>
      </c>
      <c r="AD100" s="56">
        <f>AB100</f>
        <v>3</v>
      </c>
    </row>
    <row r="101" spans="1:32" x14ac:dyDescent="0.45">
      <c r="A101" s="274"/>
      <c r="B101" s="1">
        <v>1</v>
      </c>
      <c r="C101">
        <v>0</v>
      </c>
      <c r="D101" s="30">
        <f t="shared" ref="D101:D108" si="125">MOD($E5+D$100,$E$1)</f>
        <v>10</v>
      </c>
      <c r="E101" s="84"/>
      <c r="F101" s="30">
        <f t="shared" ref="F101:F108" si="126">MOD($E5+F$100,$E$1)</f>
        <v>10</v>
      </c>
      <c r="G101">
        <f>IF(E101="",0, IF(E101=MIN(E$101:E$108),1,0))</f>
        <v>0</v>
      </c>
      <c r="H101">
        <f t="shared" ref="H101:H108" si="127">IF(COUNT(E101)=1,IF(E101=MIN(E$101:E$108),G101*$E$2,0),0)</f>
        <v>0</v>
      </c>
      <c r="I101" s="30">
        <f t="shared" ref="I101:I108" si="128">MOD(F101+H101,$E$1)</f>
        <v>10</v>
      </c>
      <c r="J101" s="84"/>
      <c r="K101" s="30">
        <f t="shared" ref="K101:K108" si="129">MOD($E5+K$100,$E$1)</f>
        <v>10</v>
      </c>
      <c r="L101">
        <f>IF(J101="",0, IF(J101=MIN(J$101:J$108),G101+1,0))</f>
        <v>0</v>
      </c>
      <c r="M101">
        <f t="shared" ref="M101:M108" si="130">IF(COUNT(J101)=1,IF(J101=MIN(J$101:J$108),L101*$E$2,0),0)</f>
        <v>0</v>
      </c>
      <c r="N101" s="63">
        <f t="shared" ref="N101:N108" si="131">MOD(K101+M101,$E$1)</f>
        <v>10</v>
      </c>
      <c r="O101" s="84"/>
      <c r="P101" s="30">
        <f t="shared" ref="P101:P108" si="132">MOD($E5+P$100,$E$1)</f>
        <v>10</v>
      </c>
      <c r="Q101">
        <f>IF(O101="",0, IF(O101=MIN(O$101:O$108),L101+1,0))</f>
        <v>0</v>
      </c>
      <c r="R101">
        <f t="shared" ref="R101:R108" si="133">IF(COUNT(O101)=1,IF(O101=MIN(O$101:O$108),Q101*$E$2,0),0)</f>
        <v>0</v>
      </c>
      <c r="S101" s="63">
        <f t="shared" ref="S101:S108" si="134">MOD(P101+R101,$E$1)</f>
        <v>10</v>
      </c>
      <c r="T101" s="84"/>
      <c r="U101" s="30">
        <f t="shared" ref="U101:U108" si="135">MOD($E5+U$100,$E$1)</f>
        <v>10</v>
      </c>
      <c r="V101">
        <f>IF(T101="",0, IF(T101=MIN(T$101:T$108),Q101+1,0))</f>
        <v>0</v>
      </c>
      <c r="W101">
        <f t="shared" ref="W101:W108" si="136">IF(COUNT(T101)=1,IF(T101=MIN(T$101:T$108),V101*$E$2,0),0)</f>
        <v>0</v>
      </c>
      <c r="X101" s="63">
        <f t="shared" ref="X101:X108" si="137">MOD(U101+W101,$E$1)</f>
        <v>10</v>
      </c>
      <c r="Y101" s="84"/>
      <c r="Z101" s="30">
        <f t="shared" ref="Z101:Z108" si="138">MOD($E5+Z$100,$E$1)</f>
        <v>10</v>
      </c>
      <c r="AB101" s="30">
        <f t="shared" ref="AB101:AB108" si="139">MOD($E5+AB$100,$E$1)</f>
        <v>10</v>
      </c>
      <c r="AD101" s="30">
        <f t="shared" ref="AD101:AD108" si="140">MOD($E5+AD$100,$E$1)</f>
        <v>10</v>
      </c>
    </row>
    <row r="102" spans="1:32" x14ac:dyDescent="0.45">
      <c r="A102" s="274"/>
      <c r="B102" s="1">
        <v>2</v>
      </c>
      <c r="C102">
        <f t="shared" ref="C102:C108" si="141">IF(B102=MIN(B$51:B$58),1,0)</f>
        <v>0</v>
      </c>
      <c r="D102" s="30">
        <f t="shared" si="125"/>
        <v>6</v>
      </c>
      <c r="E102" s="84">
        <v>12</v>
      </c>
      <c r="F102" s="30">
        <f t="shared" si="126"/>
        <v>6</v>
      </c>
      <c r="G102">
        <f t="shared" ref="G102:G108" si="142">IF(E102="",0, IF(E102=MIN(E$101:E$108),1,0))</f>
        <v>0</v>
      </c>
      <c r="H102">
        <f t="shared" si="127"/>
        <v>0</v>
      </c>
      <c r="I102" s="30">
        <f t="shared" si="128"/>
        <v>6</v>
      </c>
      <c r="J102" s="84"/>
      <c r="K102" s="30">
        <f t="shared" si="129"/>
        <v>6</v>
      </c>
      <c r="L102">
        <f>IF(J102="",0, IF(J102=MIN(J$101:J$108),G102+1,0))</f>
        <v>0</v>
      </c>
      <c r="M102">
        <f t="shared" si="130"/>
        <v>0</v>
      </c>
      <c r="N102" s="30">
        <f t="shared" si="131"/>
        <v>6</v>
      </c>
      <c r="O102" s="84"/>
      <c r="P102" s="30">
        <f t="shared" si="132"/>
        <v>6</v>
      </c>
      <c r="Q102">
        <f>IF(O102="",0, IF(O102=MIN(O$101:O$108),L102+1,0))</f>
        <v>0</v>
      </c>
      <c r="R102">
        <f t="shared" si="133"/>
        <v>0</v>
      </c>
      <c r="S102" s="30">
        <f t="shared" si="134"/>
        <v>6</v>
      </c>
      <c r="T102" s="84"/>
      <c r="U102" s="30">
        <f t="shared" si="135"/>
        <v>6</v>
      </c>
      <c r="V102">
        <f>IF(T102="",0, IF(T102=MIN(T$101:T$108),Q102+1,0))</f>
        <v>0</v>
      </c>
      <c r="W102">
        <f t="shared" si="136"/>
        <v>0</v>
      </c>
      <c r="X102" s="30">
        <f t="shared" si="137"/>
        <v>6</v>
      </c>
      <c r="Y102" s="84"/>
      <c r="Z102" s="30">
        <f t="shared" si="138"/>
        <v>6</v>
      </c>
      <c r="AB102" s="30">
        <f t="shared" si="139"/>
        <v>6</v>
      </c>
      <c r="AD102" s="30">
        <f t="shared" si="140"/>
        <v>6</v>
      </c>
    </row>
    <row r="103" spans="1:32" x14ac:dyDescent="0.45">
      <c r="A103" s="274"/>
      <c r="B103" s="1">
        <v>3</v>
      </c>
      <c r="C103">
        <f t="shared" si="141"/>
        <v>0</v>
      </c>
      <c r="D103" s="30">
        <f t="shared" si="125"/>
        <v>1</v>
      </c>
      <c r="E103" s="84"/>
      <c r="F103" s="30">
        <f t="shared" si="126"/>
        <v>1</v>
      </c>
      <c r="G103">
        <f t="shared" si="142"/>
        <v>0</v>
      </c>
      <c r="H103">
        <f t="shared" si="127"/>
        <v>0</v>
      </c>
      <c r="I103" s="63">
        <f t="shared" si="128"/>
        <v>1</v>
      </c>
      <c r="J103" s="84"/>
      <c r="K103" s="30">
        <f t="shared" si="129"/>
        <v>1</v>
      </c>
      <c r="L103">
        <f t="shared" ref="L103:L108" si="143">IF(J103="",0, IF(J103=MIN(J$101:J$108),G103+1,0))</f>
        <v>0</v>
      </c>
      <c r="M103">
        <f t="shared" si="130"/>
        <v>0</v>
      </c>
      <c r="N103" s="76">
        <f t="shared" si="131"/>
        <v>1</v>
      </c>
      <c r="O103" s="84"/>
      <c r="P103" s="30">
        <f t="shared" si="132"/>
        <v>1</v>
      </c>
      <c r="Q103">
        <f t="shared" ref="Q103:Q105" si="144">IF(O103="",0, IF(O103=MIN(O$101:O$108),L103+1,0))</f>
        <v>0</v>
      </c>
      <c r="R103">
        <f t="shared" si="133"/>
        <v>0</v>
      </c>
      <c r="S103" s="76">
        <f t="shared" si="134"/>
        <v>1</v>
      </c>
      <c r="T103" s="84"/>
      <c r="U103" s="30">
        <f t="shared" si="135"/>
        <v>1</v>
      </c>
      <c r="V103">
        <f t="shared" ref="V103:V105" si="145">IF(T103="",0, IF(T103=MIN(T$101:T$108),Q103+1,0))</f>
        <v>0</v>
      </c>
      <c r="W103">
        <f t="shared" si="136"/>
        <v>0</v>
      </c>
      <c r="X103" s="76">
        <f t="shared" si="137"/>
        <v>1</v>
      </c>
      <c r="Y103" s="84"/>
      <c r="Z103" s="30">
        <f t="shared" si="138"/>
        <v>1</v>
      </c>
      <c r="AB103" s="30">
        <f t="shared" si="139"/>
        <v>1</v>
      </c>
      <c r="AD103" s="30">
        <f t="shared" si="140"/>
        <v>1</v>
      </c>
    </row>
    <row r="104" spans="1:32" x14ac:dyDescent="0.45">
      <c r="A104" s="274"/>
      <c r="B104" s="1">
        <v>4</v>
      </c>
      <c r="C104">
        <f t="shared" si="141"/>
        <v>0</v>
      </c>
      <c r="D104" s="30">
        <f t="shared" si="125"/>
        <v>13</v>
      </c>
      <c r="E104" s="84"/>
      <c r="F104" s="30">
        <f t="shared" si="126"/>
        <v>13</v>
      </c>
      <c r="G104">
        <f t="shared" si="142"/>
        <v>0</v>
      </c>
      <c r="H104">
        <f t="shared" si="127"/>
        <v>0</v>
      </c>
      <c r="I104" s="30">
        <f t="shared" si="128"/>
        <v>13</v>
      </c>
      <c r="J104" s="84"/>
      <c r="K104" s="30">
        <f t="shared" si="129"/>
        <v>13</v>
      </c>
      <c r="L104">
        <f t="shared" si="143"/>
        <v>0</v>
      </c>
      <c r="M104">
        <f t="shared" si="130"/>
        <v>0</v>
      </c>
      <c r="N104" s="30">
        <f t="shared" si="131"/>
        <v>13</v>
      </c>
      <c r="O104" s="84"/>
      <c r="P104" s="30">
        <f t="shared" si="132"/>
        <v>13</v>
      </c>
      <c r="Q104">
        <f t="shared" si="144"/>
        <v>0</v>
      </c>
      <c r="R104">
        <f t="shared" si="133"/>
        <v>0</v>
      </c>
      <c r="S104" s="30">
        <f t="shared" si="134"/>
        <v>13</v>
      </c>
      <c r="T104" s="84"/>
      <c r="U104" s="30">
        <f t="shared" si="135"/>
        <v>13</v>
      </c>
      <c r="V104">
        <f t="shared" si="145"/>
        <v>0</v>
      </c>
      <c r="W104">
        <f t="shared" si="136"/>
        <v>0</v>
      </c>
      <c r="X104" s="30">
        <f t="shared" si="137"/>
        <v>13</v>
      </c>
      <c r="Y104" s="84"/>
      <c r="Z104" s="30">
        <f t="shared" si="138"/>
        <v>13</v>
      </c>
      <c r="AB104" s="30">
        <f t="shared" si="139"/>
        <v>13</v>
      </c>
      <c r="AD104" s="30">
        <f t="shared" si="140"/>
        <v>13</v>
      </c>
    </row>
    <row r="105" spans="1:32" x14ac:dyDescent="0.45">
      <c r="A105" s="274"/>
      <c r="B105" s="1">
        <v>5</v>
      </c>
      <c r="C105">
        <f t="shared" si="141"/>
        <v>0</v>
      </c>
      <c r="D105" s="30">
        <f t="shared" si="125"/>
        <v>7</v>
      </c>
      <c r="E105" s="84"/>
      <c r="F105" s="30">
        <f t="shared" si="126"/>
        <v>7</v>
      </c>
      <c r="G105">
        <f t="shared" si="142"/>
        <v>0</v>
      </c>
      <c r="H105">
        <f t="shared" si="127"/>
        <v>0</v>
      </c>
      <c r="I105" s="30">
        <f t="shared" si="128"/>
        <v>7</v>
      </c>
      <c r="J105" s="84"/>
      <c r="K105" s="30">
        <f t="shared" si="129"/>
        <v>7</v>
      </c>
      <c r="L105">
        <f t="shared" si="143"/>
        <v>0</v>
      </c>
      <c r="M105">
        <f t="shared" si="130"/>
        <v>0</v>
      </c>
      <c r="N105" s="30">
        <f t="shared" si="131"/>
        <v>7</v>
      </c>
      <c r="O105" s="84"/>
      <c r="P105" s="30">
        <f t="shared" si="132"/>
        <v>7</v>
      </c>
      <c r="Q105">
        <f t="shared" si="144"/>
        <v>0</v>
      </c>
      <c r="R105">
        <f t="shared" si="133"/>
        <v>0</v>
      </c>
      <c r="S105" s="30">
        <f t="shared" si="134"/>
        <v>7</v>
      </c>
      <c r="T105" s="84"/>
      <c r="U105" s="30">
        <f t="shared" si="135"/>
        <v>7</v>
      </c>
      <c r="V105">
        <f t="shared" si="145"/>
        <v>0</v>
      </c>
      <c r="W105">
        <f t="shared" si="136"/>
        <v>0</v>
      </c>
      <c r="X105" s="30">
        <f t="shared" si="137"/>
        <v>7</v>
      </c>
      <c r="Y105" s="84"/>
      <c r="Z105" s="30">
        <f t="shared" si="138"/>
        <v>7</v>
      </c>
      <c r="AB105" s="30">
        <f t="shared" si="139"/>
        <v>7</v>
      </c>
      <c r="AD105" s="30">
        <f t="shared" si="140"/>
        <v>7</v>
      </c>
    </row>
    <row r="106" spans="1:32" x14ac:dyDescent="0.45">
      <c r="A106" s="274"/>
      <c r="B106" s="1">
        <v>6</v>
      </c>
      <c r="C106">
        <f t="shared" si="141"/>
        <v>0</v>
      </c>
      <c r="D106" s="30">
        <f t="shared" si="125"/>
        <v>3</v>
      </c>
      <c r="E106" s="84">
        <v>11</v>
      </c>
      <c r="F106" s="30">
        <f t="shared" si="126"/>
        <v>3</v>
      </c>
      <c r="G106">
        <f t="shared" si="142"/>
        <v>1</v>
      </c>
      <c r="H106">
        <f t="shared" si="127"/>
        <v>5</v>
      </c>
      <c r="I106" s="30">
        <f t="shared" si="128"/>
        <v>8</v>
      </c>
      <c r="J106" s="84"/>
      <c r="K106" s="30">
        <f t="shared" si="129"/>
        <v>3</v>
      </c>
      <c r="L106">
        <f>IF(J106="",0, IF(J106=MIN(J$101:J$108),G106+1,0))</f>
        <v>0</v>
      </c>
      <c r="M106">
        <f t="shared" si="130"/>
        <v>0</v>
      </c>
      <c r="N106" s="30">
        <f t="shared" si="131"/>
        <v>3</v>
      </c>
      <c r="O106" s="84"/>
      <c r="P106" s="30">
        <f t="shared" si="132"/>
        <v>3</v>
      </c>
      <c r="Q106">
        <f>IF(O106="",0, IF(O106=MIN(O$101:O$108),L106+1,0))</f>
        <v>0</v>
      </c>
      <c r="R106">
        <f t="shared" si="133"/>
        <v>0</v>
      </c>
      <c r="S106" s="30">
        <f t="shared" si="134"/>
        <v>3</v>
      </c>
      <c r="T106" s="84"/>
      <c r="U106" s="30">
        <f t="shared" si="135"/>
        <v>3</v>
      </c>
      <c r="V106">
        <f>IF(T106="",0, IF(T106=MIN(T$101:T$108),Q106+1,0))</f>
        <v>0</v>
      </c>
      <c r="W106">
        <f t="shared" si="136"/>
        <v>0</v>
      </c>
      <c r="X106" s="30">
        <f t="shared" si="137"/>
        <v>3</v>
      </c>
      <c r="Y106" s="84"/>
      <c r="Z106" s="30">
        <f t="shared" si="138"/>
        <v>3</v>
      </c>
      <c r="AB106" s="30">
        <f t="shared" si="139"/>
        <v>3</v>
      </c>
      <c r="AD106" s="30">
        <f t="shared" si="140"/>
        <v>3</v>
      </c>
    </row>
    <row r="107" spans="1:32" x14ac:dyDescent="0.45">
      <c r="A107" s="274"/>
      <c r="B107" s="1">
        <v>7</v>
      </c>
      <c r="C107">
        <f t="shared" si="141"/>
        <v>0</v>
      </c>
      <c r="D107" s="30">
        <f t="shared" si="125"/>
        <v>0</v>
      </c>
      <c r="E107" s="84"/>
      <c r="F107" s="30">
        <f t="shared" si="126"/>
        <v>0</v>
      </c>
      <c r="G107">
        <f t="shared" si="142"/>
        <v>0</v>
      </c>
      <c r="H107">
        <f t="shared" si="127"/>
        <v>0</v>
      </c>
      <c r="I107" s="30">
        <f t="shared" si="128"/>
        <v>0</v>
      </c>
      <c r="J107" s="84"/>
      <c r="K107" s="30">
        <f t="shared" si="129"/>
        <v>0</v>
      </c>
      <c r="L107">
        <f t="shared" si="143"/>
        <v>0</v>
      </c>
      <c r="M107">
        <f t="shared" si="130"/>
        <v>0</v>
      </c>
      <c r="N107" s="30">
        <f t="shared" si="131"/>
        <v>0</v>
      </c>
      <c r="O107" s="84"/>
      <c r="P107" s="30">
        <f t="shared" si="132"/>
        <v>0</v>
      </c>
      <c r="Q107">
        <f t="shared" ref="Q107:Q108" si="146">IF(O107="",0, IF(O107=MIN(O$101:O$108),L107+1,0))</f>
        <v>0</v>
      </c>
      <c r="R107">
        <f t="shared" si="133"/>
        <v>0</v>
      </c>
      <c r="S107" s="30">
        <f t="shared" si="134"/>
        <v>0</v>
      </c>
      <c r="T107" s="84"/>
      <c r="U107" s="30">
        <f t="shared" si="135"/>
        <v>0</v>
      </c>
      <c r="V107">
        <f t="shared" ref="V107:V108" si="147">IF(T107="",0, IF(T107=MIN(T$101:T$108),Q107+1,0))</f>
        <v>0</v>
      </c>
      <c r="W107">
        <f t="shared" si="136"/>
        <v>0</v>
      </c>
      <c r="X107" s="30">
        <f t="shared" si="137"/>
        <v>0</v>
      </c>
      <c r="Y107" s="84"/>
      <c r="Z107" s="30">
        <f t="shared" si="138"/>
        <v>0</v>
      </c>
      <c r="AB107" s="30">
        <f t="shared" si="139"/>
        <v>0</v>
      </c>
      <c r="AD107" s="30">
        <f t="shared" si="140"/>
        <v>0</v>
      </c>
    </row>
    <row r="108" spans="1:32" x14ac:dyDescent="0.45">
      <c r="A108" s="275"/>
      <c r="B108" s="1">
        <v>8</v>
      </c>
      <c r="C108">
        <f t="shared" si="141"/>
        <v>0</v>
      </c>
      <c r="D108" s="30">
        <f t="shared" si="125"/>
        <v>12</v>
      </c>
      <c r="E108" s="84"/>
      <c r="F108" s="30">
        <f t="shared" si="126"/>
        <v>12</v>
      </c>
      <c r="G108">
        <f t="shared" si="142"/>
        <v>0</v>
      </c>
      <c r="H108">
        <f t="shared" si="127"/>
        <v>0</v>
      </c>
      <c r="I108" s="30">
        <f t="shared" si="128"/>
        <v>12</v>
      </c>
      <c r="J108" s="84"/>
      <c r="K108" s="30">
        <f t="shared" si="129"/>
        <v>12</v>
      </c>
      <c r="L108">
        <f t="shared" si="143"/>
        <v>0</v>
      </c>
      <c r="M108">
        <f t="shared" si="130"/>
        <v>0</v>
      </c>
      <c r="N108" s="30">
        <f t="shared" si="131"/>
        <v>12</v>
      </c>
      <c r="O108" s="84"/>
      <c r="P108" s="30">
        <f t="shared" si="132"/>
        <v>12</v>
      </c>
      <c r="Q108">
        <f t="shared" si="146"/>
        <v>0</v>
      </c>
      <c r="R108">
        <f t="shared" si="133"/>
        <v>0</v>
      </c>
      <c r="S108" s="30">
        <f t="shared" si="134"/>
        <v>12</v>
      </c>
      <c r="T108" s="84"/>
      <c r="U108" s="30">
        <f t="shared" si="135"/>
        <v>12</v>
      </c>
      <c r="V108">
        <f t="shared" si="147"/>
        <v>0</v>
      </c>
      <c r="W108">
        <f t="shared" si="136"/>
        <v>0</v>
      </c>
      <c r="X108" s="30">
        <f t="shared" si="137"/>
        <v>12</v>
      </c>
      <c r="Y108" s="84"/>
      <c r="Z108" s="30">
        <f t="shared" si="138"/>
        <v>12</v>
      </c>
      <c r="AB108" s="30">
        <f t="shared" si="139"/>
        <v>12</v>
      </c>
      <c r="AD108" s="30">
        <f t="shared" si="140"/>
        <v>12</v>
      </c>
    </row>
    <row r="109" spans="1:32" x14ac:dyDescent="0.45">
      <c r="E109" s="84"/>
      <c r="I109" s="30"/>
      <c r="J109" s="84"/>
      <c r="O109" s="84"/>
      <c r="T109" s="84"/>
      <c r="Y109" s="84"/>
    </row>
    <row r="110" spans="1:32" ht="51" x14ac:dyDescent="0.45">
      <c r="A110" s="273">
        <v>7</v>
      </c>
      <c r="B110" s="70" t="s">
        <v>142</v>
      </c>
      <c r="C110" t="s">
        <v>148</v>
      </c>
      <c r="D110" s="66">
        <f>L11</f>
        <v>8</v>
      </c>
      <c r="E110" s="84"/>
      <c r="F110" s="48">
        <f>D110</f>
        <v>8</v>
      </c>
      <c r="G110" t="s">
        <v>148</v>
      </c>
      <c r="H110" t="s">
        <v>149</v>
      </c>
      <c r="J110" s="84"/>
      <c r="K110" s="48">
        <f>F110</f>
        <v>8</v>
      </c>
      <c r="L110" t="s">
        <v>148</v>
      </c>
      <c r="M110" t="s">
        <v>149</v>
      </c>
      <c r="O110" s="84"/>
      <c r="P110" s="48">
        <f>K110</f>
        <v>8</v>
      </c>
      <c r="Q110" t="s">
        <v>148</v>
      </c>
      <c r="R110" t="s">
        <v>149</v>
      </c>
      <c r="T110" s="84"/>
      <c r="U110" s="48">
        <f>K110</f>
        <v>8</v>
      </c>
      <c r="V110" t="s">
        <v>148</v>
      </c>
      <c r="W110" t="s">
        <v>149</v>
      </c>
      <c r="Y110" s="84"/>
      <c r="Z110" s="48">
        <f>U110</f>
        <v>8</v>
      </c>
      <c r="AB110" s="48">
        <f>Z110</f>
        <v>8</v>
      </c>
      <c r="AD110" s="56">
        <f>AB110</f>
        <v>8</v>
      </c>
    </row>
    <row r="111" spans="1:32" x14ac:dyDescent="0.45">
      <c r="A111" s="274"/>
      <c r="B111" s="1">
        <v>1</v>
      </c>
      <c r="C111">
        <v>0</v>
      </c>
      <c r="D111" s="30">
        <f t="shared" ref="D111:D118" si="148">MOD($E5+D$110,$E$1)</f>
        <v>15</v>
      </c>
      <c r="E111" s="84"/>
      <c r="F111" s="30">
        <f t="shared" ref="F111:F118" si="149">MOD($E5+F$110,$E$1)</f>
        <v>15</v>
      </c>
      <c r="G111">
        <f t="shared" ref="G111:G118" si="150">IF(E111=MIN(E$111:E$118),1,0)</f>
        <v>0</v>
      </c>
      <c r="H111">
        <f t="shared" ref="H111:H118" si="151">IF(COUNT(E111)=1,IF(E111=MIN(E$111:E$118),G111*$E$2,0),0)</f>
        <v>0</v>
      </c>
      <c r="I111" s="63">
        <f t="shared" ref="I111:I118" si="152">MOD(F111+H111,$E$1)</f>
        <v>15</v>
      </c>
      <c r="J111" s="84"/>
      <c r="K111" s="30">
        <f t="shared" ref="K111:K118" si="153">MOD($E5+K$110,$E$1)</f>
        <v>15</v>
      </c>
      <c r="L111">
        <f>IF(J111=MIN(J$111:J$118),G111+1,0)</f>
        <v>1</v>
      </c>
      <c r="M111">
        <f t="shared" ref="M111:M118" si="154">IF(COUNT(J111)=1,IF(J111=MIN(J$111:J$118),L111*$E$2,0),0)</f>
        <v>0</v>
      </c>
      <c r="N111" s="63">
        <f t="shared" ref="N111:N118" si="155">MOD(K111+M111,$E$1)</f>
        <v>15</v>
      </c>
      <c r="O111" s="84"/>
      <c r="P111" s="30">
        <f t="shared" ref="P111:P118" si="156">MOD($E5+P$110,$E$1)</f>
        <v>15</v>
      </c>
      <c r="Q111">
        <f>IF(O111=MIN(O$111:O$118),L111+1,0)</f>
        <v>2</v>
      </c>
      <c r="R111">
        <f t="shared" ref="R111:R118" si="157">IF(COUNT(O111)=1,IF(O111=MIN(O$111:O$118),Q111*$E$2,0),0)</f>
        <v>0</v>
      </c>
      <c r="S111" s="63">
        <f t="shared" ref="S111:S118" si="158">MOD(P111+R111,$E$1)</f>
        <v>15</v>
      </c>
      <c r="T111" s="84"/>
      <c r="U111" s="30">
        <f t="shared" ref="U111:U118" si="159">MOD($E5+U$110,$E$1)</f>
        <v>15</v>
      </c>
      <c r="V111">
        <f>IF(T111=MIN(T$111:T$118),Q111+1,0)</f>
        <v>3</v>
      </c>
      <c r="W111">
        <f t="shared" ref="W111:W118" si="160">IF(COUNT(T111)=1,IF(T111=MIN(T$111:T$118),V111*$E$2,0),0)</f>
        <v>0</v>
      </c>
      <c r="X111" s="63">
        <f t="shared" ref="X111:X118" si="161">MOD(U111+W111,$E$1)</f>
        <v>15</v>
      </c>
      <c r="Y111" s="84"/>
      <c r="Z111" s="30">
        <f t="shared" ref="Z111:Z118" si="162">MOD($E5+Z$110,$E$1)</f>
        <v>15</v>
      </c>
      <c r="AB111" s="30">
        <f t="shared" ref="AB111:AB118" si="163">MOD($E5+AB$110,$E$1)</f>
        <v>15</v>
      </c>
      <c r="AD111" s="30">
        <f t="shared" ref="AD111:AD118" si="164">MOD($E5+AD$110,$E$1)</f>
        <v>15</v>
      </c>
    </row>
    <row r="112" spans="1:32" x14ac:dyDescent="0.45">
      <c r="A112" s="274"/>
      <c r="B112" s="1">
        <v>2</v>
      </c>
      <c r="C112">
        <f t="shared" ref="C112:C118" si="165">IF(B112=MIN(B$51:B$58),1,0)</f>
        <v>0</v>
      </c>
      <c r="D112" s="30">
        <f t="shared" si="148"/>
        <v>11</v>
      </c>
      <c r="E112" s="84"/>
      <c r="F112" s="30">
        <f t="shared" si="149"/>
        <v>11</v>
      </c>
      <c r="G112">
        <f t="shared" si="150"/>
        <v>0</v>
      </c>
      <c r="H112">
        <f t="shared" si="151"/>
        <v>0</v>
      </c>
      <c r="I112" s="30">
        <f t="shared" si="152"/>
        <v>11</v>
      </c>
      <c r="J112" s="84"/>
      <c r="K112" s="30">
        <f t="shared" si="153"/>
        <v>11</v>
      </c>
      <c r="L112">
        <f t="shared" ref="L112:L118" si="166">IF(J112=MIN(J$111:J$118),G112+1,0)</f>
        <v>1</v>
      </c>
      <c r="M112">
        <f t="shared" si="154"/>
        <v>0</v>
      </c>
      <c r="N112" s="30">
        <f t="shared" si="155"/>
        <v>11</v>
      </c>
      <c r="O112" s="84"/>
      <c r="P112" s="30">
        <f t="shared" si="156"/>
        <v>11</v>
      </c>
      <c r="Q112">
        <f t="shared" ref="Q112:Q118" si="167">IF(O112=MIN(O$111:O$118),L112+1,0)</f>
        <v>2</v>
      </c>
      <c r="R112">
        <f t="shared" si="157"/>
        <v>0</v>
      </c>
      <c r="S112" s="30">
        <f t="shared" si="158"/>
        <v>11</v>
      </c>
      <c r="T112" s="84"/>
      <c r="U112" s="30">
        <f t="shared" si="159"/>
        <v>11</v>
      </c>
      <c r="V112">
        <f t="shared" ref="V112:V118" si="168">IF(T112=MIN(T$111:T$118),Q112+1,0)</f>
        <v>3</v>
      </c>
      <c r="W112">
        <f t="shared" si="160"/>
        <v>0</v>
      </c>
      <c r="X112" s="30">
        <f t="shared" si="161"/>
        <v>11</v>
      </c>
      <c r="Y112" s="84"/>
      <c r="Z112" s="30">
        <f t="shared" si="162"/>
        <v>11</v>
      </c>
      <c r="AB112" s="30">
        <f t="shared" si="163"/>
        <v>11</v>
      </c>
      <c r="AD112" s="30">
        <f t="shared" si="164"/>
        <v>11</v>
      </c>
    </row>
    <row r="113" spans="1:30" x14ac:dyDescent="0.45">
      <c r="A113" s="274"/>
      <c r="B113" s="1">
        <v>3</v>
      </c>
      <c r="C113">
        <f t="shared" si="165"/>
        <v>0</v>
      </c>
      <c r="D113" s="30">
        <f t="shared" si="148"/>
        <v>6</v>
      </c>
      <c r="E113" s="84">
        <v>8</v>
      </c>
      <c r="F113" s="30">
        <f t="shared" si="149"/>
        <v>6</v>
      </c>
      <c r="G113">
        <f t="shared" si="150"/>
        <v>0</v>
      </c>
      <c r="H113">
        <f t="shared" si="151"/>
        <v>0</v>
      </c>
      <c r="I113" s="30">
        <f t="shared" si="152"/>
        <v>6</v>
      </c>
      <c r="J113" s="84"/>
      <c r="K113" s="30">
        <f t="shared" si="153"/>
        <v>6</v>
      </c>
      <c r="L113">
        <f t="shared" si="166"/>
        <v>1</v>
      </c>
      <c r="M113">
        <f t="shared" si="154"/>
        <v>0</v>
      </c>
      <c r="N113" s="76">
        <f t="shared" si="155"/>
        <v>6</v>
      </c>
      <c r="O113" s="84"/>
      <c r="P113" s="30">
        <f t="shared" si="156"/>
        <v>6</v>
      </c>
      <c r="Q113">
        <f t="shared" si="167"/>
        <v>2</v>
      </c>
      <c r="R113">
        <f t="shared" si="157"/>
        <v>0</v>
      </c>
      <c r="S113" s="76">
        <f t="shared" si="158"/>
        <v>6</v>
      </c>
      <c r="T113" s="84"/>
      <c r="U113" s="30">
        <f t="shared" si="159"/>
        <v>6</v>
      </c>
      <c r="V113">
        <f t="shared" si="168"/>
        <v>3</v>
      </c>
      <c r="W113">
        <f t="shared" si="160"/>
        <v>0</v>
      </c>
      <c r="X113" s="76">
        <f t="shared" si="161"/>
        <v>6</v>
      </c>
      <c r="Y113" s="84"/>
      <c r="Z113" s="30">
        <f t="shared" si="162"/>
        <v>6</v>
      </c>
      <c r="AB113" s="30">
        <f t="shared" si="163"/>
        <v>6</v>
      </c>
      <c r="AD113" s="30">
        <f t="shared" si="164"/>
        <v>6</v>
      </c>
    </row>
    <row r="114" spans="1:30" x14ac:dyDescent="0.45">
      <c r="A114" s="274"/>
      <c r="B114" s="1">
        <v>4</v>
      </c>
      <c r="C114">
        <f t="shared" si="165"/>
        <v>0</v>
      </c>
      <c r="D114" s="30">
        <f t="shared" si="148"/>
        <v>2</v>
      </c>
      <c r="E114" s="84"/>
      <c r="F114" s="30">
        <f t="shared" si="149"/>
        <v>2</v>
      </c>
      <c r="G114">
        <f t="shared" si="150"/>
        <v>0</v>
      </c>
      <c r="H114">
        <f t="shared" si="151"/>
        <v>0</v>
      </c>
      <c r="I114" s="30">
        <f t="shared" si="152"/>
        <v>2</v>
      </c>
      <c r="J114" s="84"/>
      <c r="K114" s="30">
        <f t="shared" si="153"/>
        <v>2</v>
      </c>
      <c r="L114">
        <f t="shared" si="166"/>
        <v>1</v>
      </c>
      <c r="M114">
        <f t="shared" si="154"/>
        <v>0</v>
      </c>
      <c r="N114" s="30">
        <f t="shared" si="155"/>
        <v>2</v>
      </c>
      <c r="O114" s="84"/>
      <c r="P114" s="30">
        <f t="shared" si="156"/>
        <v>2</v>
      </c>
      <c r="Q114">
        <f t="shared" si="167"/>
        <v>2</v>
      </c>
      <c r="R114">
        <f t="shared" si="157"/>
        <v>0</v>
      </c>
      <c r="S114" s="30">
        <f t="shared" si="158"/>
        <v>2</v>
      </c>
      <c r="T114" s="84"/>
      <c r="U114" s="30">
        <f t="shared" si="159"/>
        <v>2</v>
      </c>
      <c r="V114">
        <f t="shared" si="168"/>
        <v>3</v>
      </c>
      <c r="W114">
        <f t="shared" si="160"/>
        <v>0</v>
      </c>
      <c r="X114" s="30">
        <f t="shared" si="161"/>
        <v>2</v>
      </c>
      <c r="Y114" s="84"/>
      <c r="Z114" s="30">
        <f t="shared" si="162"/>
        <v>2</v>
      </c>
      <c r="AB114" s="30">
        <f t="shared" si="163"/>
        <v>2</v>
      </c>
      <c r="AD114" s="30">
        <f t="shared" si="164"/>
        <v>2</v>
      </c>
    </row>
    <row r="115" spans="1:30" x14ac:dyDescent="0.45">
      <c r="A115" s="274"/>
      <c r="B115" s="1">
        <v>5</v>
      </c>
      <c r="C115">
        <f t="shared" si="165"/>
        <v>0</v>
      </c>
      <c r="D115" s="30">
        <f t="shared" si="148"/>
        <v>12</v>
      </c>
      <c r="E115" s="84"/>
      <c r="F115" s="30">
        <f t="shared" si="149"/>
        <v>12</v>
      </c>
      <c r="G115">
        <f t="shared" si="150"/>
        <v>0</v>
      </c>
      <c r="H115">
        <f t="shared" si="151"/>
        <v>0</v>
      </c>
      <c r="I115" s="30">
        <f t="shared" si="152"/>
        <v>12</v>
      </c>
      <c r="J115" s="84"/>
      <c r="K115" s="30">
        <f t="shared" si="153"/>
        <v>12</v>
      </c>
      <c r="L115">
        <f t="shared" si="166"/>
        <v>1</v>
      </c>
      <c r="M115">
        <f t="shared" si="154"/>
        <v>0</v>
      </c>
      <c r="N115" s="30">
        <f t="shared" si="155"/>
        <v>12</v>
      </c>
      <c r="O115" s="84"/>
      <c r="P115" s="30">
        <f t="shared" si="156"/>
        <v>12</v>
      </c>
      <c r="Q115">
        <f t="shared" si="167"/>
        <v>2</v>
      </c>
      <c r="R115">
        <f t="shared" si="157"/>
        <v>0</v>
      </c>
      <c r="S115" s="30">
        <f t="shared" si="158"/>
        <v>12</v>
      </c>
      <c r="T115" s="84"/>
      <c r="U115" s="30">
        <f t="shared" si="159"/>
        <v>12</v>
      </c>
      <c r="V115">
        <f t="shared" si="168"/>
        <v>3</v>
      </c>
      <c r="W115">
        <f t="shared" si="160"/>
        <v>0</v>
      </c>
      <c r="X115" s="30">
        <f t="shared" si="161"/>
        <v>12</v>
      </c>
      <c r="Y115" s="84"/>
      <c r="Z115" s="30">
        <f t="shared" si="162"/>
        <v>12</v>
      </c>
      <c r="AB115" s="30">
        <f t="shared" si="163"/>
        <v>12</v>
      </c>
      <c r="AD115" s="30">
        <f t="shared" si="164"/>
        <v>12</v>
      </c>
    </row>
    <row r="116" spans="1:30" x14ac:dyDescent="0.45">
      <c r="A116" s="274"/>
      <c r="B116" s="1">
        <v>6</v>
      </c>
      <c r="C116">
        <f t="shared" si="165"/>
        <v>0</v>
      </c>
      <c r="D116" s="30">
        <f t="shared" si="148"/>
        <v>8</v>
      </c>
      <c r="E116" s="84"/>
      <c r="F116" s="30">
        <f t="shared" si="149"/>
        <v>8</v>
      </c>
      <c r="G116">
        <f t="shared" si="150"/>
        <v>0</v>
      </c>
      <c r="H116">
        <f t="shared" si="151"/>
        <v>0</v>
      </c>
      <c r="I116" s="30">
        <f t="shared" si="152"/>
        <v>8</v>
      </c>
      <c r="J116" s="84"/>
      <c r="K116" s="30">
        <f t="shared" si="153"/>
        <v>8</v>
      </c>
      <c r="L116">
        <f t="shared" si="166"/>
        <v>1</v>
      </c>
      <c r="M116">
        <f t="shared" si="154"/>
        <v>0</v>
      </c>
      <c r="N116" s="30">
        <f t="shared" si="155"/>
        <v>8</v>
      </c>
      <c r="O116" s="84"/>
      <c r="P116" s="30">
        <f t="shared" si="156"/>
        <v>8</v>
      </c>
      <c r="Q116">
        <f t="shared" si="167"/>
        <v>2</v>
      </c>
      <c r="R116">
        <f t="shared" si="157"/>
        <v>0</v>
      </c>
      <c r="S116" s="30">
        <f t="shared" si="158"/>
        <v>8</v>
      </c>
      <c r="T116" s="84"/>
      <c r="U116" s="30">
        <f t="shared" si="159"/>
        <v>8</v>
      </c>
      <c r="V116">
        <f t="shared" si="168"/>
        <v>3</v>
      </c>
      <c r="W116">
        <f t="shared" si="160"/>
        <v>0</v>
      </c>
      <c r="X116" s="30">
        <f t="shared" si="161"/>
        <v>8</v>
      </c>
      <c r="Y116" s="84"/>
      <c r="Z116" s="30">
        <f t="shared" si="162"/>
        <v>8</v>
      </c>
      <c r="AB116" s="30">
        <f t="shared" si="163"/>
        <v>8</v>
      </c>
      <c r="AD116" s="30">
        <f t="shared" si="164"/>
        <v>8</v>
      </c>
    </row>
    <row r="117" spans="1:30" x14ac:dyDescent="0.45">
      <c r="A117" s="274"/>
      <c r="B117" s="1">
        <v>7</v>
      </c>
      <c r="C117">
        <f t="shared" si="165"/>
        <v>0</v>
      </c>
      <c r="D117" s="30">
        <f t="shared" si="148"/>
        <v>5</v>
      </c>
      <c r="E117" s="84">
        <v>7</v>
      </c>
      <c r="F117" s="30">
        <f t="shared" si="149"/>
        <v>5</v>
      </c>
      <c r="G117">
        <f t="shared" si="150"/>
        <v>1</v>
      </c>
      <c r="H117">
        <f t="shared" si="151"/>
        <v>5</v>
      </c>
      <c r="I117" s="30">
        <f t="shared" si="152"/>
        <v>10</v>
      </c>
      <c r="J117" s="84"/>
      <c r="K117" s="30">
        <f t="shared" si="153"/>
        <v>5</v>
      </c>
      <c r="L117">
        <f t="shared" si="166"/>
        <v>2</v>
      </c>
      <c r="M117">
        <f t="shared" si="154"/>
        <v>0</v>
      </c>
      <c r="N117" s="30">
        <f t="shared" si="155"/>
        <v>5</v>
      </c>
      <c r="O117" s="84"/>
      <c r="P117" s="30">
        <f t="shared" si="156"/>
        <v>5</v>
      </c>
      <c r="Q117">
        <f t="shared" si="167"/>
        <v>3</v>
      </c>
      <c r="R117">
        <f t="shared" si="157"/>
        <v>0</v>
      </c>
      <c r="S117" s="30">
        <f t="shared" si="158"/>
        <v>5</v>
      </c>
      <c r="T117" s="84"/>
      <c r="U117" s="30">
        <f t="shared" si="159"/>
        <v>5</v>
      </c>
      <c r="V117">
        <f t="shared" si="168"/>
        <v>4</v>
      </c>
      <c r="W117">
        <f t="shared" si="160"/>
        <v>0</v>
      </c>
      <c r="X117" s="30">
        <f t="shared" si="161"/>
        <v>5</v>
      </c>
      <c r="Y117" s="84"/>
      <c r="Z117" s="30">
        <f t="shared" si="162"/>
        <v>5</v>
      </c>
      <c r="AB117" s="30">
        <f t="shared" si="163"/>
        <v>5</v>
      </c>
      <c r="AD117" s="30">
        <f t="shared" si="164"/>
        <v>5</v>
      </c>
    </row>
    <row r="118" spans="1:30" x14ac:dyDescent="0.45">
      <c r="A118" s="275"/>
      <c r="B118" s="1">
        <v>8</v>
      </c>
      <c r="C118">
        <f t="shared" si="165"/>
        <v>0</v>
      </c>
      <c r="D118" s="30">
        <f t="shared" si="148"/>
        <v>1</v>
      </c>
      <c r="E118" s="84"/>
      <c r="F118" s="30">
        <f t="shared" si="149"/>
        <v>1</v>
      </c>
      <c r="G118">
        <f t="shared" si="150"/>
        <v>0</v>
      </c>
      <c r="H118">
        <f t="shared" si="151"/>
        <v>0</v>
      </c>
      <c r="I118" s="30">
        <f t="shared" si="152"/>
        <v>1</v>
      </c>
      <c r="J118" s="84"/>
      <c r="K118" s="30">
        <f t="shared" si="153"/>
        <v>1</v>
      </c>
      <c r="L118">
        <f t="shared" si="166"/>
        <v>1</v>
      </c>
      <c r="M118">
        <f t="shared" si="154"/>
        <v>0</v>
      </c>
      <c r="N118" s="30">
        <f t="shared" si="155"/>
        <v>1</v>
      </c>
      <c r="O118" s="84"/>
      <c r="P118" s="30">
        <f t="shared" si="156"/>
        <v>1</v>
      </c>
      <c r="Q118">
        <f t="shared" si="167"/>
        <v>2</v>
      </c>
      <c r="R118">
        <f t="shared" si="157"/>
        <v>0</v>
      </c>
      <c r="S118" s="30">
        <f t="shared" si="158"/>
        <v>1</v>
      </c>
      <c r="T118" s="84"/>
      <c r="U118" s="30">
        <f t="shared" si="159"/>
        <v>1</v>
      </c>
      <c r="V118">
        <f t="shared" si="168"/>
        <v>3</v>
      </c>
      <c r="W118">
        <f t="shared" si="160"/>
        <v>0</v>
      </c>
      <c r="X118" s="30">
        <f t="shared" si="161"/>
        <v>1</v>
      </c>
      <c r="Y118" s="84"/>
      <c r="Z118" s="30">
        <f t="shared" si="162"/>
        <v>1</v>
      </c>
      <c r="AB118" s="30">
        <f t="shared" si="163"/>
        <v>1</v>
      </c>
      <c r="AD118" s="30">
        <f t="shared" si="164"/>
        <v>1</v>
      </c>
    </row>
    <row r="119" spans="1:30" x14ac:dyDescent="0.45">
      <c r="E119" s="84"/>
      <c r="I119" s="63"/>
      <c r="J119" s="84"/>
      <c r="O119" s="84"/>
      <c r="T119" s="84"/>
      <c r="Y119" s="84"/>
    </row>
    <row r="120" spans="1:30" ht="51" x14ac:dyDescent="0.45">
      <c r="A120" s="273">
        <v>8</v>
      </c>
      <c r="B120" s="70" t="s">
        <v>142</v>
      </c>
      <c r="C120" t="s">
        <v>148</v>
      </c>
      <c r="D120" s="66">
        <f>L12</f>
        <v>13</v>
      </c>
      <c r="E120" s="84"/>
      <c r="F120" s="48">
        <f>D120</f>
        <v>13</v>
      </c>
      <c r="G120" t="s">
        <v>148</v>
      </c>
      <c r="H120" t="s">
        <v>149</v>
      </c>
      <c r="J120" s="84"/>
      <c r="K120" s="48">
        <f>F120</f>
        <v>13</v>
      </c>
      <c r="L120" t="s">
        <v>148</v>
      </c>
      <c r="M120" t="s">
        <v>149</v>
      </c>
      <c r="O120" s="84"/>
      <c r="P120" s="48">
        <f>K120</f>
        <v>13</v>
      </c>
      <c r="Q120" t="s">
        <v>148</v>
      </c>
      <c r="R120" t="s">
        <v>149</v>
      </c>
      <c r="T120" s="84"/>
      <c r="U120" s="48">
        <f>K120</f>
        <v>13</v>
      </c>
      <c r="V120" t="s">
        <v>148</v>
      </c>
      <c r="W120" t="s">
        <v>149</v>
      </c>
      <c r="Y120" s="84"/>
      <c r="Z120" s="48">
        <f>U120</f>
        <v>13</v>
      </c>
      <c r="AB120" s="48">
        <f>Z120</f>
        <v>13</v>
      </c>
      <c r="AD120" s="56">
        <f>AB120</f>
        <v>13</v>
      </c>
    </row>
    <row r="121" spans="1:30" x14ac:dyDescent="0.45">
      <c r="A121" s="274"/>
      <c r="B121" s="1">
        <v>1</v>
      </c>
      <c r="C121">
        <v>0</v>
      </c>
      <c r="D121" s="30">
        <f t="shared" ref="D121:D128" si="169">MOD($E5+D$120,$E$1)</f>
        <v>4</v>
      </c>
      <c r="E121" s="84"/>
      <c r="F121" s="30">
        <f t="shared" ref="F121:F128" si="170">MOD($E5+F$120,$E$1)</f>
        <v>4</v>
      </c>
      <c r="G121">
        <f t="shared" ref="G121:G128" si="171">IF(E121=MIN(E$121:E$128),1,0)</f>
        <v>0</v>
      </c>
      <c r="H121">
        <f t="shared" ref="H121:H128" si="172">IF(COUNT(E121)=1,IF(E121=MIN(E$121:E$128),G121*$E$2,0),0)</f>
        <v>0</v>
      </c>
      <c r="I121" s="30">
        <f t="shared" ref="I121:I128" si="173">MOD(F121+H121,$E$1)</f>
        <v>4</v>
      </c>
      <c r="J121" s="84"/>
      <c r="K121" s="30">
        <f t="shared" ref="K121:K128" si="174">MOD($E5+K$120,$E$1)</f>
        <v>4</v>
      </c>
      <c r="L121">
        <f>IF(J121=MIN(J$121:J$128),G121+1,0)</f>
        <v>1</v>
      </c>
      <c r="M121">
        <f t="shared" ref="M121:M128" si="175">IF(COUNT(J121)=1,IF(J121=MIN(J$121:J$128),L121*$E$2,0),0)</f>
        <v>0</v>
      </c>
      <c r="N121" s="63">
        <f t="shared" ref="N121:N128" si="176">MOD(K121+M121,$E$1)</f>
        <v>4</v>
      </c>
      <c r="O121" s="84"/>
      <c r="P121" s="30">
        <f t="shared" ref="P121:P128" si="177">MOD($E5+P$120,$E$1)</f>
        <v>4</v>
      </c>
      <c r="Q121">
        <f>IF(O121=MIN(O$121:O$128),L121+1,0)</f>
        <v>2</v>
      </c>
      <c r="R121">
        <f t="shared" ref="R121:R128" si="178">IF(COUNT(O121)=1,IF(O121=MIN(O$121:O$128),Q121*$E$2,0),0)</f>
        <v>0</v>
      </c>
      <c r="S121" s="63">
        <f t="shared" ref="S121:S128" si="179">MOD(P121+R121,$E$1)</f>
        <v>4</v>
      </c>
      <c r="T121" s="84"/>
      <c r="U121" s="30">
        <f t="shared" ref="U121:U128" si="180">MOD($E5+U$120,$E$1)</f>
        <v>4</v>
      </c>
      <c r="V121">
        <f>IF(T121=MIN(T$121:T$128),Q121+1,0)</f>
        <v>3</v>
      </c>
      <c r="W121">
        <f t="shared" ref="W121:W128" si="181">IF(COUNT(T121)=1,IF(T121=MIN(T$121:T$128),V121*$E$2,0),0)</f>
        <v>0</v>
      </c>
      <c r="X121" s="63">
        <f t="shared" ref="X121:X128" si="182">MOD(U121+W121,$E$1)</f>
        <v>4</v>
      </c>
      <c r="Y121" s="84"/>
      <c r="Z121" s="30">
        <f t="shared" ref="Z121:Z128" si="183">MOD($E5+Z$120,$E$1)</f>
        <v>4</v>
      </c>
      <c r="AB121" s="30">
        <f t="shared" ref="AB121:AB128" si="184">MOD($E5+AB$120,$E$1)</f>
        <v>4</v>
      </c>
      <c r="AD121" s="30">
        <f t="shared" ref="AD121:AD128" si="185">MOD($E5+AD$120,$E$1)</f>
        <v>4</v>
      </c>
    </row>
    <row r="122" spans="1:30" x14ac:dyDescent="0.45">
      <c r="A122" s="274"/>
      <c r="B122" s="1">
        <v>2</v>
      </c>
      <c r="C122">
        <f t="shared" ref="C122:C128" si="186">IF(B122=MIN(B$51:B$58),1,0)</f>
        <v>0</v>
      </c>
      <c r="D122" s="30">
        <f t="shared" si="169"/>
        <v>0</v>
      </c>
      <c r="E122" s="84"/>
      <c r="F122" s="30">
        <f t="shared" si="170"/>
        <v>0</v>
      </c>
      <c r="G122">
        <f t="shared" si="171"/>
        <v>0</v>
      </c>
      <c r="H122">
        <f t="shared" si="172"/>
        <v>0</v>
      </c>
      <c r="I122" s="30">
        <f t="shared" si="173"/>
        <v>0</v>
      </c>
      <c r="J122" s="84"/>
      <c r="K122" s="30">
        <f t="shared" si="174"/>
        <v>0</v>
      </c>
      <c r="L122">
        <f t="shared" ref="L122:L128" si="187">IF(J122=MIN(J$121:J$128),G122+1,0)</f>
        <v>1</v>
      </c>
      <c r="M122">
        <f t="shared" si="175"/>
        <v>0</v>
      </c>
      <c r="N122" s="30">
        <f t="shared" si="176"/>
        <v>0</v>
      </c>
      <c r="O122" s="84"/>
      <c r="P122" s="30">
        <f t="shared" si="177"/>
        <v>0</v>
      </c>
      <c r="Q122">
        <f t="shared" ref="Q122:Q128" si="188">IF(O122=MIN(O$121:O$128),L122+1,0)</f>
        <v>2</v>
      </c>
      <c r="R122">
        <f t="shared" si="178"/>
        <v>0</v>
      </c>
      <c r="S122" s="30">
        <f t="shared" si="179"/>
        <v>0</v>
      </c>
      <c r="T122" s="84"/>
      <c r="U122" s="30">
        <f t="shared" si="180"/>
        <v>0</v>
      </c>
      <c r="V122">
        <f t="shared" ref="V122:V128" si="189">IF(T122=MIN(T$121:T$128),Q122+1,0)</f>
        <v>3</v>
      </c>
      <c r="W122">
        <f t="shared" si="181"/>
        <v>0</v>
      </c>
      <c r="X122" s="30">
        <f t="shared" si="182"/>
        <v>0</v>
      </c>
      <c r="Y122" s="84"/>
      <c r="Z122" s="30">
        <f t="shared" si="183"/>
        <v>0</v>
      </c>
      <c r="AB122" s="30">
        <f t="shared" si="184"/>
        <v>0</v>
      </c>
      <c r="AD122" s="30">
        <f t="shared" si="185"/>
        <v>0</v>
      </c>
    </row>
    <row r="123" spans="1:30" x14ac:dyDescent="0.45">
      <c r="A123" s="274"/>
      <c r="B123" s="1">
        <v>3</v>
      </c>
      <c r="C123">
        <f t="shared" si="186"/>
        <v>0</v>
      </c>
      <c r="D123" s="30">
        <f t="shared" si="169"/>
        <v>11</v>
      </c>
      <c r="E123" s="84"/>
      <c r="F123" s="30">
        <f t="shared" si="170"/>
        <v>11</v>
      </c>
      <c r="G123">
        <f t="shared" si="171"/>
        <v>0</v>
      </c>
      <c r="H123">
        <f t="shared" si="172"/>
        <v>0</v>
      </c>
      <c r="I123" s="30">
        <f t="shared" si="173"/>
        <v>11</v>
      </c>
      <c r="J123" s="84"/>
      <c r="K123" s="30">
        <f t="shared" si="174"/>
        <v>11</v>
      </c>
      <c r="L123">
        <f t="shared" si="187"/>
        <v>1</v>
      </c>
      <c r="M123">
        <f t="shared" si="175"/>
        <v>0</v>
      </c>
      <c r="N123" s="76">
        <f t="shared" si="176"/>
        <v>11</v>
      </c>
      <c r="O123" s="84"/>
      <c r="P123" s="30">
        <f t="shared" si="177"/>
        <v>11</v>
      </c>
      <c r="Q123">
        <f t="shared" si="188"/>
        <v>2</v>
      </c>
      <c r="R123">
        <f t="shared" si="178"/>
        <v>0</v>
      </c>
      <c r="S123" s="76">
        <f t="shared" si="179"/>
        <v>11</v>
      </c>
      <c r="T123" s="84"/>
      <c r="U123" s="30">
        <f t="shared" si="180"/>
        <v>11</v>
      </c>
      <c r="V123">
        <f t="shared" si="189"/>
        <v>3</v>
      </c>
      <c r="W123">
        <f t="shared" si="181"/>
        <v>0</v>
      </c>
      <c r="X123" s="76">
        <f t="shared" si="182"/>
        <v>11</v>
      </c>
      <c r="Y123" s="84"/>
      <c r="Z123" s="30">
        <f t="shared" si="183"/>
        <v>11</v>
      </c>
      <c r="AB123" s="30">
        <f t="shared" si="184"/>
        <v>11</v>
      </c>
      <c r="AD123" s="30">
        <f t="shared" si="185"/>
        <v>11</v>
      </c>
    </row>
    <row r="124" spans="1:30" x14ac:dyDescent="0.45">
      <c r="A124" s="274"/>
      <c r="B124" s="1">
        <v>4</v>
      </c>
      <c r="C124">
        <f t="shared" si="186"/>
        <v>0</v>
      </c>
      <c r="D124" s="30">
        <f t="shared" si="169"/>
        <v>7</v>
      </c>
      <c r="E124" s="84">
        <v>4</v>
      </c>
      <c r="F124" s="30">
        <f t="shared" si="170"/>
        <v>7</v>
      </c>
      <c r="G124">
        <f t="shared" si="171"/>
        <v>0</v>
      </c>
      <c r="H124">
        <f t="shared" si="172"/>
        <v>0</v>
      </c>
      <c r="I124" s="30">
        <f t="shared" si="173"/>
        <v>7</v>
      </c>
      <c r="J124" s="84"/>
      <c r="K124" s="30">
        <f t="shared" si="174"/>
        <v>7</v>
      </c>
      <c r="L124">
        <f t="shared" si="187"/>
        <v>1</v>
      </c>
      <c r="M124">
        <f t="shared" si="175"/>
        <v>0</v>
      </c>
      <c r="N124" s="30">
        <f t="shared" si="176"/>
        <v>7</v>
      </c>
      <c r="O124" s="84"/>
      <c r="P124" s="30">
        <f t="shared" si="177"/>
        <v>7</v>
      </c>
      <c r="Q124">
        <f t="shared" si="188"/>
        <v>2</v>
      </c>
      <c r="R124">
        <f t="shared" si="178"/>
        <v>0</v>
      </c>
      <c r="S124" s="30">
        <f t="shared" si="179"/>
        <v>7</v>
      </c>
      <c r="T124" s="84"/>
      <c r="U124" s="30">
        <f t="shared" si="180"/>
        <v>7</v>
      </c>
      <c r="V124">
        <f t="shared" si="189"/>
        <v>3</v>
      </c>
      <c r="W124">
        <f t="shared" si="181"/>
        <v>0</v>
      </c>
      <c r="X124" s="30">
        <f t="shared" si="182"/>
        <v>7</v>
      </c>
      <c r="Y124" s="84"/>
      <c r="Z124" s="30">
        <f t="shared" si="183"/>
        <v>7</v>
      </c>
      <c r="AB124" s="30">
        <f t="shared" si="184"/>
        <v>7</v>
      </c>
      <c r="AD124" s="30">
        <f t="shared" si="185"/>
        <v>7</v>
      </c>
    </row>
    <row r="125" spans="1:30" x14ac:dyDescent="0.45">
      <c r="A125" s="274"/>
      <c r="B125" s="1">
        <v>5</v>
      </c>
      <c r="C125">
        <f t="shared" si="186"/>
        <v>0</v>
      </c>
      <c r="D125" s="30">
        <f t="shared" si="169"/>
        <v>1</v>
      </c>
      <c r="E125" s="84"/>
      <c r="F125" s="30">
        <f t="shared" si="170"/>
        <v>1</v>
      </c>
      <c r="G125">
        <f t="shared" si="171"/>
        <v>0</v>
      </c>
      <c r="H125">
        <f t="shared" si="172"/>
        <v>0</v>
      </c>
      <c r="I125" s="30">
        <f t="shared" si="173"/>
        <v>1</v>
      </c>
      <c r="J125" s="84"/>
      <c r="K125" s="30">
        <f t="shared" si="174"/>
        <v>1</v>
      </c>
      <c r="L125">
        <f t="shared" si="187"/>
        <v>1</v>
      </c>
      <c r="M125">
        <f t="shared" si="175"/>
        <v>0</v>
      </c>
      <c r="N125" s="30">
        <f t="shared" si="176"/>
        <v>1</v>
      </c>
      <c r="O125" s="84"/>
      <c r="P125" s="30">
        <f t="shared" si="177"/>
        <v>1</v>
      </c>
      <c r="Q125">
        <f t="shared" si="188"/>
        <v>2</v>
      </c>
      <c r="R125">
        <f t="shared" si="178"/>
        <v>0</v>
      </c>
      <c r="S125" s="30">
        <f t="shared" si="179"/>
        <v>1</v>
      </c>
      <c r="T125" s="84"/>
      <c r="U125" s="30">
        <f t="shared" si="180"/>
        <v>1</v>
      </c>
      <c r="V125">
        <f t="shared" si="189"/>
        <v>3</v>
      </c>
      <c r="W125">
        <f t="shared" si="181"/>
        <v>0</v>
      </c>
      <c r="X125" s="30">
        <f t="shared" si="182"/>
        <v>1</v>
      </c>
      <c r="Y125" s="84"/>
      <c r="Z125" s="30">
        <f t="shared" si="183"/>
        <v>1</v>
      </c>
      <c r="AB125" s="30">
        <f t="shared" si="184"/>
        <v>1</v>
      </c>
      <c r="AD125" s="30">
        <f t="shared" si="185"/>
        <v>1</v>
      </c>
    </row>
    <row r="126" spans="1:30" x14ac:dyDescent="0.45">
      <c r="A126" s="274"/>
      <c r="B126" s="1">
        <v>6</v>
      </c>
      <c r="C126">
        <f t="shared" si="186"/>
        <v>0</v>
      </c>
      <c r="D126" s="30">
        <f t="shared" si="169"/>
        <v>13</v>
      </c>
      <c r="E126" s="84"/>
      <c r="F126" s="30">
        <f t="shared" si="170"/>
        <v>13</v>
      </c>
      <c r="G126">
        <f t="shared" si="171"/>
        <v>0</v>
      </c>
      <c r="H126">
        <f t="shared" si="172"/>
        <v>0</v>
      </c>
      <c r="I126" s="30">
        <f t="shared" si="173"/>
        <v>13</v>
      </c>
      <c r="J126" s="84"/>
      <c r="K126" s="30">
        <f t="shared" si="174"/>
        <v>13</v>
      </c>
      <c r="L126">
        <f t="shared" si="187"/>
        <v>1</v>
      </c>
      <c r="M126">
        <f t="shared" si="175"/>
        <v>0</v>
      </c>
      <c r="N126" s="30">
        <f t="shared" si="176"/>
        <v>13</v>
      </c>
      <c r="O126" s="84"/>
      <c r="P126" s="30">
        <f t="shared" si="177"/>
        <v>13</v>
      </c>
      <c r="Q126">
        <f t="shared" si="188"/>
        <v>2</v>
      </c>
      <c r="R126">
        <f t="shared" si="178"/>
        <v>0</v>
      </c>
      <c r="S126" s="30">
        <f t="shared" si="179"/>
        <v>13</v>
      </c>
      <c r="T126" s="84"/>
      <c r="U126" s="30">
        <f t="shared" si="180"/>
        <v>13</v>
      </c>
      <c r="V126">
        <f t="shared" si="189"/>
        <v>3</v>
      </c>
      <c r="W126">
        <f t="shared" si="181"/>
        <v>0</v>
      </c>
      <c r="X126" s="30">
        <f t="shared" si="182"/>
        <v>13</v>
      </c>
      <c r="Y126" s="84"/>
      <c r="Z126" s="30">
        <f t="shared" si="183"/>
        <v>13</v>
      </c>
      <c r="AB126" s="30">
        <f t="shared" si="184"/>
        <v>13</v>
      </c>
      <c r="AD126" s="30">
        <f t="shared" si="185"/>
        <v>13</v>
      </c>
    </row>
    <row r="127" spans="1:30" x14ac:dyDescent="0.45">
      <c r="A127" s="274"/>
      <c r="B127" s="1">
        <v>7</v>
      </c>
      <c r="C127">
        <f t="shared" si="186"/>
        <v>0</v>
      </c>
      <c r="D127" s="30">
        <f t="shared" si="169"/>
        <v>10</v>
      </c>
      <c r="E127" s="84"/>
      <c r="F127" s="30">
        <f t="shared" si="170"/>
        <v>10</v>
      </c>
      <c r="G127">
        <f t="shared" si="171"/>
        <v>0</v>
      </c>
      <c r="H127">
        <f t="shared" si="172"/>
        <v>0</v>
      </c>
      <c r="I127" s="63">
        <f t="shared" si="173"/>
        <v>10</v>
      </c>
      <c r="J127" s="84"/>
      <c r="K127" s="30">
        <f t="shared" si="174"/>
        <v>10</v>
      </c>
      <c r="L127">
        <f t="shared" si="187"/>
        <v>1</v>
      </c>
      <c r="M127">
        <f t="shared" si="175"/>
        <v>0</v>
      </c>
      <c r="N127" s="30">
        <f t="shared" si="176"/>
        <v>10</v>
      </c>
      <c r="O127" s="84"/>
      <c r="P127" s="30">
        <f t="shared" si="177"/>
        <v>10</v>
      </c>
      <c r="Q127">
        <f t="shared" si="188"/>
        <v>2</v>
      </c>
      <c r="R127">
        <f t="shared" si="178"/>
        <v>0</v>
      </c>
      <c r="S127" s="30">
        <f t="shared" si="179"/>
        <v>10</v>
      </c>
      <c r="T127" s="84"/>
      <c r="U127" s="30">
        <f t="shared" si="180"/>
        <v>10</v>
      </c>
      <c r="V127">
        <f t="shared" si="189"/>
        <v>3</v>
      </c>
      <c r="W127">
        <f t="shared" si="181"/>
        <v>0</v>
      </c>
      <c r="X127" s="30">
        <f t="shared" si="182"/>
        <v>10</v>
      </c>
      <c r="Y127" s="84"/>
      <c r="Z127" s="30">
        <f t="shared" si="183"/>
        <v>10</v>
      </c>
      <c r="AB127" s="30">
        <f t="shared" si="184"/>
        <v>10</v>
      </c>
      <c r="AD127" s="30">
        <f t="shared" si="185"/>
        <v>10</v>
      </c>
    </row>
    <row r="128" spans="1:30" x14ac:dyDescent="0.45">
      <c r="A128" s="275"/>
      <c r="B128" s="1">
        <v>8</v>
      </c>
      <c r="C128">
        <f t="shared" si="186"/>
        <v>0</v>
      </c>
      <c r="D128" s="30">
        <f t="shared" si="169"/>
        <v>6</v>
      </c>
      <c r="E128" s="84">
        <v>3</v>
      </c>
      <c r="F128" s="30">
        <f t="shared" si="170"/>
        <v>6</v>
      </c>
      <c r="G128">
        <f t="shared" si="171"/>
        <v>1</v>
      </c>
      <c r="H128">
        <f t="shared" si="172"/>
        <v>5</v>
      </c>
      <c r="I128" s="30">
        <f t="shared" si="173"/>
        <v>11</v>
      </c>
      <c r="J128" s="84"/>
      <c r="K128" s="30">
        <f t="shared" si="174"/>
        <v>6</v>
      </c>
      <c r="L128">
        <f t="shared" si="187"/>
        <v>2</v>
      </c>
      <c r="M128">
        <f t="shared" si="175"/>
        <v>0</v>
      </c>
      <c r="N128" s="30">
        <f t="shared" si="176"/>
        <v>6</v>
      </c>
      <c r="O128" s="84"/>
      <c r="P128" s="30">
        <f t="shared" si="177"/>
        <v>6</v>
      </c>
      <c r="Q128">
        <f t="shared" si="188"/>
        <v>3</v>
      </c>
      <c r="R128">
        <f t="shared" si="178"/>
        <v>0</v>
      </c>
      <c r="S128" s="30">
        <f t="shared" si="179"/>
        <v>6</v>
      </c>
      <c r="T128" s="84"/>
      <c r="U128" s="30">
        <f t="shared" si="180"/>
        <v>6</v>
      </c>
      <c r="V128">
        <f t="shared" si="189"/>
        <v>4</v>
      </c>
      <c r="W128">
        <f t="shared" si="181"/>
        <v>0</v>
      </c>
      <c r="X128" s="30">
        <f t="shared" si="182"/>
        <v>6</v>
      </c>
      <c r="Y128" s="84"/>
      <c r="Z128" s="30">
        <f t="shared" si="183"/>
        <v>6</v>
      </c>
      <c r="AB128" s="30">
        <f t="shared" si="184"/>
        <v>6</v>
      </c>
      <c r="AD128" s="30">
        <f t="shared" si="185"/>
        <v>6</v>
      </c>
    </row>
    <row r="129" spans="1:13" x14ac:dyDescent="0.45">
      <c r="A129" s="272"/>
      <c r="B129" s="272"/>
      <c r="C129" s="272"/>
      <c r="D129" s="272"/>
      <c r="H129" s="83"/>
      <c r="M129" s="83"/>
    </row>
  </sheetData>
  <mergeCells count="13">
    <mergeCell ref="A120:A128"/>
    <mergeCell ref="A129:D129"/>
    <mergeCell ref="A60:A68"/>
    <mergeCell ref="A70:A78"/>
    <mergeCell ref="A80:A88"/>
    <mergeCell ref="A90:A98"/>
    <mergeCell ref="A100:A108"/>
    <mergeCell ref="A110:A118"/>
    <mergeCell ref="A50:A58"/>
    <mergeCell ref="A1:D1"/>
    <mergeCell ref="A3:E3"/>
    <mergeCell ref="A26:A33"/>
    <mergeCell ref="A35:A42"/>
  </mergeCells>
  <phoneticPr fontId="2" type="noConversion"/>
  <pageMargins left="0.7" right="0.7" top="0.75" bottom="0.75" header="0.3" footer="0.3"/>
  <pageSetup paperSize="9" scale="93" orientation="portrait" horizontalDpi="300" verticalDpi="300" r:id="rId1"/>
  <rowBreaks count="1" manualBreakCount="1">
    <brk id="69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102"/>
  <sheetViews>
    <sheetView topLeftCell="A10" zoomScaleNormal="100" workbookViewId="0">
      <selection activeCell="M21" sqref="M21"/>
    </sheetView>
  </sheetViews>
  <sheetFormatPr defaultRowHeight="21" x14ac:dyDescent="0.45"/>
  <cols>
    <col min="2" max="2" width="9" customWidth="1"/>
    <col min="3" max="3" width="9.33203125" bestFit="1" customWidth="1"/>
    <col min="4" max="4" width="9.33203125" customWidth="1"/>
    <col min="5" max="5" width="12.5" customWidth="1"/>
    <col min="6" max="6" width="12.33203125" customWidth="1"/>
    <col min="9" max="9" width="11.58203125" bestFit="1" customWidth="1"/>
    <col min="10" max="10" width="9" customWidth="1"/>
    <col min="11" max="11" width="21.08203125" customWidth="1"/>
    <col min="13" max="13" width="9.75" customWidth="1"/>
    <col min="14" max="14" width="15.25" customWidth="1"/>
    <col min="15" max="15" width="9" customWidth="1"/>
    <col min="16" max="16" width="8.83203125" customWidth="1"/>
    <col min="20" max="20" width="12.08203125" style="138" customWidth="1"/>
    <col min="25" max="25" width="9" customWidth="1"/>
    <col min="28" max="28" width="9" style="138"/>
    <col min="34" max="34" width="9" style="138"/>
    <col min="40" max="40" width="9" style="138"/>
    <col min="68" max="68" width="9" style="138"/>
    <col min="74" max="74" width="9" style="138"/>
    <col min="80" max="80" width="9" style="138"/>
  </cols>
  <sheetData>
    <row r="1" spans="1:81" x14ac:dyDescent="0.45">
      <c r="A1" s="270" t="s">
        <v>150</v>
      </c>
      <c r="B1" s="270"/>
      <c r="C1" s="270"/>
      <c r="D1" s="270"/>
      <c r="E1" s="270"/>
      <c r="F1" s="5">
        <v>16</v>
      </c>
      <c r="G1" s="5"/>
      <c r="H1" s="5"/>
    </row>
    <row r="2" spans="1:81" x14ac:dyDescent="0.45">
      <c r="A2" s="6" t="s">
        <v>151</v>
      </c>
      <c r="B2" s="6"/>
      <c r="C2" s="6"/>
      <c r="D2" s="6"/>
      <c r="E2" s="6"/>
      <c r="F2" s="5">
        <v>8</v>
      </c>
      <c r="G2" s="6" t="s">
        <v>151</v>
      </c>
      <c r="H2" s="6"/>
      <c r="T2" s="154"/>
      <c r="AA2" s="6"/>
      <c r="AG2" s="6"/>
      <c r="AM2" s="6"/>
    </row>
    <row r="3" spans="1:81" x14ac:dyDescent="0.45">
      <c r="A3" s="270" t="s">
        <v>30</v>
      </c>
      <c r="B3" s="270"/>
      <c r="C3" s="270"/>
      <c r="D3" s="270"/>
      <c r="E3" s="270"/>
      <c r="F3" s="270"/>
      <c r="G3" s="6"/>
      <c r="H3" s="6"/>
    </row>
    <row r="4" spans="1:81" x14ac:dyDescent="0.45">
      <c r="B4" s="9"/>
      <c r="C4" s="9" t="s">
        <v>24</v>
      </c>
      <c r="D4" s="10"/>
      <c r="E4" s="10" t="s">
        <v>3</v>
      </c>
      <c r="F4" s="11" t="s">
        <v>28</v>
      </c>
      <c r="G4" s="33"/>
      <c r="H4" s="172"/>
      <c r="K4" s="9"/>
      <c r="L4" s="20" t="s">
        <v>26</v>
      </c>
      <c r="M4" s="21"/>
      <c r="N4" s="10" t="s">
        <v>27</v>
      </c>
      <c r="O4" s="24" t="s">
        <v>6</v>
      </c>
    </row>
    <row r="5" spans="1:81" x14ac:dyDescent="0.45">
      <c r="B5" s="12" t="s">
        <v>9</v>
      </c>
      <c r="C5" s="7" t="s">
        <v>33</v>
      </c>
      <c r="D5" s="7"/>
      <c r="E5" s="7" t="s">
        <v>2</v>
      </c>
      <c r="F5" s="13">
        <f>HEX2DEC(E5)</f>
        <v>975202823</v>
      </c>
      <c r="G5" s="67">
        <f t="shared" ref="G5:G12" si="0">MOD(F5,$F$1)</f>
        <v>7</v>
      </c>
      <c r="H5" s="173"/>
      <c r="K5" s="12" t="s">
        <v>9</v>
      </c>
      <c r="L5" s="17" t="s">
        <v>107</v>
      </c>
      <c r="M5" s="7"/>
      <c r="N5" s="7">
        <v>1694767713</v>
      </c>
      <c r="O5" s="22">
        <f t="shared" ref="O5:O12" si="1">MOD(N5,$F$1)</f>
        <v>1</v>
      </c>
    </row>
    <row r="6" spans="1:81" x14ac:dyDescent="0.45">
      <c r="B6" s="12" t="s">
        <v>8</v>
      </c>
      <c r="C6" s="8" t="s">
        <v>34</v>
      </c>
      <c r="D6" s="8"/>
      <c r="E6" s="8" t="s">
        <v>1</v>
      </c>
      <c r="F6" s="13">
        <f t="shared" ref="F6:F12" si="2">HEX2DEC(E6)</f>
        <v>2369628931</v>
      </c>
      <c r="G6" s="67">
        <f t="shared" si="0"/>
        <v>3</v>
      </c>
      <c r="H6" s="173"/>
      <c r="K6" s="12" t="s">
        <v>8</v>
      </c>
      <c r="L6" s="17" t="s">
        <v>113</v>
      </c>
      <c r="M6" s="7"/>
      <c r="N6" s="7">
        <v>1695027404</v>
      </c>
      <c r="O6" s="22">
        <f t="shared" si="1"/>
        <v>12</v>
      </c>
    </row>
    <row r="7" spans="1:81" x14ac:dyDescent="0.45">
      <c r="B7" s="12" t="s">
        <v>7</v>
      </c>
      <c r="C7" s="8" t="s">
        <v>35</v>
      </c>
      <c r="D7" s="8"/>
      <c r="E7" s="8" t="s">
        <v>0</v>
      </c>
      <c r="F7" s="13">
        <f t="shared" si="2"/>
        <v>1411115022</v>
      </c>
      <c r="G7" s="67">
        <f t="shared" si="0"/>
        <v>14</v>
      </c>
      <c r="H7" s="173"/>
      <c r="K7" s="12" t="s">
        <v>7</v>
      </c>
      <c r="L7" s="17" t="s">
        <v>114</v>
      </c>
      <c r="M7" s="7"/>
      <c r="N7" s="7">
        <v>1695027407</v>
      </c>
      <c r="O7" s="22">
        <f t="shared" si="1"/>
        <v>15</v>
      </c>
    </row>
    <row r="8" spans="1:81" x14ac:dyDescent="0.45">
      <c r="B8" s="12" t="s">
        <v>19</v>
      </c>
      <c r="C8" s="8" t="s">
        <v>36</v>
      </c>
      <c r="D8" s="8"/>
      <c r="E8" s="8" t="s">
        <v>12</v>
      </c>
      <c r="F8" s="13">
        <f t="shared" si="2"/>
        <v>3808831754</v>
      </c>
      <c r="G8" s="67">
        <f t="shared" si="0"/>
        <v>10</v>
      </c>
      <c r="H8" s="173"/>
      <c r="K8" s="12" t="s">
        <v>19</v>
      </c>
      <c r="L8" s="17" t="s">
        <v>115</v>
      </c>
      <c r="M8" s="7"/>
      <c r="N8" s="7">
        <v>1695027046</v>
      </c>
      <c r="O8" s="22">
        <f t="shared" si="1"/>
        <v>6</v>
      </c>
    </row>
    <row r="9" spans="1:81" x14ac:dyDescent="0.45">
      <c r="B9" s="12" t="s">
        <v>20</v>
      </c>
      <c r="C9" s="8" t="s">
        <v>37</v>
      </c>
      <c r="D9" s="8"/>
      <c r="E9" s="8" t="s">
        <v>14</v>
      </c>
      <c r="F9" s="13">
        <f t="shared" si="2"/>
        <v>3864423956</v>
      </c>
      <c r="G9" s="67">
        <f t="shared" si="0"/>
        <v>4</v>
      </c>
      <c r="H9" s="173"/>
      <c r="K9" s="12" t="s">
        <v>20</v>
      </c>
      <c r="L9" s="17" t="s">
        <v>112</v>
      </c>
      <c r="M9" s="7"/>
      <c r="N9" s="7">
        <v>1694956842</v>
      </c>
      <c r="O9" s="22">
        <f t="shared" si="1"/>
        <v>10</v>
      </c>
    </row>
    <row r="10" spans="1:81" x14ac:dyDescent="0.45">
      <c r="B10" s="12" t="s">
        <v>21</v>
      </c>
      <c r="C10" s="8" t="s">
        <v>38</v>
      </c>
      <c r="D10" s="8"/>
      <c r="E10" s="8" t="s">
        <v>15</v>
      </c>
      <c r="F10" s="13">
        <f t="shared" si="2"/>
        <v>1363914512</v>
      </c>
      <c r="G10" s="67">
        <f t="shared" si="0"/>
        <v>0</v>
      </c>
      <c r="H10" s="173"/>
      <c r="K10" s="12" t="s">
        <v>21</v>
      </c>
      <c r="L10" s="17" t="s">
        <v>111</v>
      </c>
      <c r="M10" s="7"/>
      <c r="N10" s="7">
        <v>1694870435</v>
      </c>
      <c r="O10" s="22">
        <f t="shared" si="1"/>
        <v>3</v>
      </c>
    </row>
    <row r="11" spans="1:81" x14ac:dyDescent="0.45">
      <c r="B11" s="12" t="s">
        <v>22</v>
      </c>
      <c r="C11" s="8" t="s">
        <v>39</v>
      </c>
      <c r="D11" s="8"/>
      <c r="E11" s="8" t="s">
        <v>16</v>
      </c>
      <c r="F11" s="13">
        <f t="shared" si="2"/>
        <v>2288905245</v>
      </c>
      <c r="G11" s="67">
        <f t="shared" si="0"/>
        <v>13</v>
      </c>
      <c r="H11" s="173"/>
      <c r="K11" s="12" t="s">
        <v>22</v>
      </c>
      <c r="L11" s="17" t="s">
        <v>110</v>
      </c>
      <c r="M11" s="7"/>
      <c r="N11" s="7">
        <v>1694866776</v>
      </c>
      <c r="O11" s="22">
        <f t="shared" si="1"/>
        <v>8</v>
      </c>
    </row>
    <row r="12" spans="1:81" x14ac:dyDescent="0.45">
      <c r="B12" s="14" t="s">
        <v>23</v>
      </c>
      <c r="C12" s="15" t="s">
        <v>40</v>
      </c>
      <c r="D12" s="15"/>
      <c r="E12" s="15" t="s">
        <v>17</v>
      </c>
      <c r="F12" s="16">
        <f t="shared" si="2"/>
        <v>1064316185</v>
      </c>
      <c r="G12" s="68">
        <f t="shared" si="0"/>
        <v>9</v>
      </c>
      <c r="H12" s="173"/>
      <c r="K12" s="14" t="s">
        <v>23</v>
      </c>
      <c r="L12" s="18" t="s">
        <v>109</v>
      </c>
      <c r="M12" s="19"/>
      <c r="N12" s="19">
        <v>1694780381</v>
      </c>
      <c r="O12" s="23">
        <f t="shared" si="1"/>
        <v>13</v>
      </c>
    </row>
    <row r="14" spans="1:81" x14ac:dyDescent="0.45">
      <c r="A14" s="1" t="s">
        <v>171</v>
      </c>
      <c r="B14" s="83"/>
    </row>
    <row r="15" spans="1:81" ht="21.5" thickBot="1" x14ac:dyDescent="0.5">
      <c r="A15" s="83" t="s">
        <v>172</v>
      </c>
      <c r="B15" s="83"/>
      <c r="AR15" s="169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</row>
    <row r="16" spans="1:81" ht="37.5" customHeight="1" thickBot="1" x14ac:dyDescent="0.5">
      <c r="A16" s="289" t="s">
        <v>164</v>
      </c>
      <c r="B16" s="290"/>
      <c r="C16" s="290"/>
      <c r="D16" s="290"/>
      <c r="E16" s="290"/>
      <c r="F16" s="291"/>
      <c r="G16" t="s">
        <v>169</v>
      </c>
      <c r="I16" s="289" t="s">
        <v>166</v>
      </c>
      <c r="J16" s="290"/>
      <c r="K16" s="290"/>
      <c r="L16" s="290"/>
      <c r="M16" s="290"/>
      <c r="N16" s="290"/>
      <c r="O16" s="290"/>
      <c r="P16" s="290"/>
      <c r="Q16" s="290"/>
      <c r="R16" s="290"/>
      <c r="S16" s="290"/>
      <c r="T16" s="291"/>
      <c r="U16" t="s">
        <v>169</v>
      </c>
      <c r="W16" s="289" t="s">
        <v>167</v>
      </c>
      <c r="X16" s="290"/>
      <c r="Y16" s="290"/>
      <c r="Z16" s="290"/>
      <c r="AA16" s="290"/>
      <c r="AB16" s="290"/>
      <c r="AC16" s="290"/>
      <c r="AD16" s="290"/>
      <c r="AE16" s="290"/>
      <c r="AF16" s="290"/>
      <c r="AG16" s="290"/>
      <c r="AH16" s="290"/>
      <c r="AI16" s="290"/>
      <c r="AJ16" s="290"/>
      <c r="AK16" s="290"/>
      <c r="AL16" s="290"/>
      <c r="AM16" s="290"/>
      <c r="AN16" s="291"/>
      <c r="AO16" t="s">
        <v>169</v>
      </c>
      <c r="AQ16" s="289" t="s">
        <v>168</v>
      </c>
      <c r="AR16" s="290"/>
      <c r="AS16" s="290"/>
      <c r="AT16" s="290"/>
      <c r="AU16" s="290"/>
      <c r="AV16" s="290"/>
      <c r="AW16" s="290"/>
      <c r="AX16" s="290"/>
      <c r="AY16" s="290"/>
      <c r="AZ16" s="290"/>
      <c r="BA16" s="290"/>
      <c r="BB16" s="290"/>
      <c r="BC16" s="290"/>
      <c r="BD16" s="290"/>
      <c r="BE16" s="290"/>
      <c r="BF16" s="290"/>
      <c r="BG16" s="290"/>
      <c r="BH16" s="291"/>
      <c r="BI16" t="s">
        <v>169</v>
      </c>
      <c r="BK16" s="289" t="s">
        <v>170</v>
      </c>
      <c r="BL16" s="290"/>
      <c r="BM16" s="290"/>
      <c r="BN16" s="290"/>
      <c r="BO16" s="290"/>
      <c r="BP16" s="290"/>
      <c r="BQ16" s="290"/>
      <c r="BR16" s="290"/>
      <c r="BS16" s="290"/>
      <c r="BT16" s="290"/>
      <c r="BU16" s="290"/>
      <c r="BV16" s="290"/>
      <c r="BW16" s="290"/>
      <c r="BX16" s="290"/>
      <c r="BY16" s="290"/>
      <c r="BZ16" s="290"/>
      <c r="CA16" s="290"/>
      <c r="CB16" s="291"/>
      <c r="CC16" t="s">
        <v>169</v>
      </c>
    </row>
    <row r="17" spans="1:88" ht="21" hidden="1" customHeight="1" thickBot="1" x14ac:dyDescent="0.5"/>
    <row r="18" spans="1:88" s="138" customFormat="1" ht="20.25" customHeight="1" thickBot="1" x14ac:dyDescent="0.5">
      <c r="A18" s="175" t="s">
        <v>165</v>
      </c>
      <c r="B18" s="292"/>
      <c r="C18" s="292"/>
      <c r="D18" s="292"/>
      <c r="E18" s="292"/>
      <c r="F18" s="137">
        <f>COUNT(F19:F98)/2</f>
        <v>8</v>
      </c>
      <c r="G18" s="168">
        <f>SUM(G19:G98)</f>
        <v>8</v>
      </c>
      <c r="H18" s="168"/>
      <c r="I18" s="175" t="s">
        <v>165</v>
      </c>
      <c r="J18" s="139"/>
      <c r="K18" s="140"/>
      <c r="L18" s="140"/>
      <c r="M18" s="140"/>
      <c r="N18" s="140">
        <f>COUNT(N19:N98)/2</f>
        <v>5</v>
      </c>
      <c r="O18" s="138" t="s">
        <v>165</v>
      </c>
      <c r="P18" s="140"/>
      <c r="Q18" s="140"/>
      <c r="R18" s="140"/>
      <c r="S18" s="140"/>
      <c r="T18" s="137">
        <f>COUNT(T19:T98)/2</f>
        <v>5</v>
      </c>
      <c r="U18" s="168">
        <f>SUM(U19:U98)</f>
        <v>10</v>
      </c>
      <c r="V18" s="168"/>
      <c r="W18" s="175" t="s">
        <v>165</v>
      </c>
      <c r="X18" s="142"/>
      <c r="Y18" s="142"/>
      <c r="Z18" s="142"/>
      <c r="AA18" s="142"/>
      <c r="AB18" s="137">
        <f>COUNT(AB19:AB98)/2</f>
        <v>4</v>
      </c>
      <c r="AC18" s="136" t="s">
        <v>165</v>
      </c>
      <c r="AD18" s="136"/>
      <c r="AE18" s="141"/>
      <c r="AF18" s="141"/>
      <c r="AG18" s="141"/>
      <c r="AH18" s="137">
        <f>COUNT(AH19:AH98)/2</f>
        <v>5</v>
      </c>
      <c r="AI18" s="136" t="s">
        <v>165</v>
      </c>
      <c r="AJ18" s="142"/>
      <c r="AK18" s="142"/>
      <c r="AL18" s="142"/>
      <c r="AM18" s="142"/>
      <c r="AN18" s="137">
        <f>COUNT(AN19:AN98)/2</f>
        <v>4</v>
      </c>
      <c r="AO18" s="168">
        <f>SUM(AO19:AO98)</f>
        <v>13</v>
      </c>
      <c r="AP18" s="168"/>
      <c r="AQ18" s="175" t="s">
        <v>165</v>
      </c>
      <c r="AR18" s="143"/>
      <c r="AS18" s="143"/>
      <c r="AT18" s="143"/>
      <c r="AU18" s="143"/>
      <c r="AV18" s="145">
        <f>COUNT(AV19:AV98)/2</f>
        <v>7</v>
      </c>
      <c r="AW18" s="146" t="s">
        <v>165</v>
      </c>
      <c r="AX18" s="143"/>
      <c r="AY18" s="143"/>
      <c r="AZ18" s="143"/>
      <c r="BA18" s="143"/>
      <c r="BB18" s="145">
        <f>COUNT(BB19:BB98)/2</f>
        <v>3</v>
      </c>
      <c r="BC18" s="146" t="s">
        <v>165</v>
      </c>
      <c r="BD18" s="143"/>
      <c r="BE18" s="143"/>
      <c r="BF18" s="143"/>
      <c r="BG18" s="143"/>
      <c r="BH18" s="145">
        <f>COUNT(BH19:BH98)/2</f>
        <v>4</v>
      </c>
      <c r="BI18" s="168">
        <f>SUM(BI19:BI98)</f>
        <v>14</v>
      </c>
      <c r="BJ18" s="168"/>
      <c r="BK18" s="175" t="s">
        <v>165</v>
      </c>
      <c r="BL18" s="142"/>
      <c r="BM18" s="142"/>
      <c r="BN18" s="142"/>
      <c r="BO18" s="142"/>
      <c r="BP18" s="137">
        <f>COUNT(BP19:BP98)/2</f>
        <v>4</v>
      </c>
      <c r="BQ18" s="146" t="s">
        <v>165</v>
      </c>
      <c r="BR18" s="142"/>
      <c r="BS18" s="142"/>
      <c r="BT18" s="142"/>
      <c r="BU18" s="142"/>
      <c r="BV18" s="137">
        <f>COUNT(BV19:BV98)/2</f>
        <v>5</v>
      </c>
      <c r="BW18" s="146" t="s">
        <v>165</v>
      </c>
      <c r="BX18" s="142"/>
      <c r="BY18" s="142"/>
      <c r="BZ18" s="142"/>
      <c r="CA18" s="142"/>
      <c r="CB18" s="137">
        <f>COUNT(CB19:CB98)/2</f>
        <v>3</v>
      </c>
      <c r="CC18" s="168">
        <f>SUM(CC19:CC98)</f>
        <v>12</v>
      </c>
      <c r="CD18"/>
      <c r="CE18"/>
      <c r="CF18"/>
      <c r="CG18"/>
      <c r="CH18"/>
      <c r="CI18"/>
    </row>
    <row r="19" spans="1:88" x14ac:dyDescent="0.45">
      <c r="A19" s="279">
        <v>1</v>
      </c>
      <c r="B19" s="91">
        <f>O5</f>
        <v>1</v>
      </c>
      <c r="C19" s="87" t="s">
        <v>154</v>
      </c>
      <c r="D19" s="10" t="s">
        <v>158</v>
      </c>
      <c r="E19" s="88" t="s">
        <v>152</v>
      </c>
      <c r="F19" s="147" t="s">
        <v>153</v>
      </c>
      <c r="G19" s="287">
        <f>IF(COUNT(F20:F28) &gt;0, COUNT(F20:F28)/2,"")</f>
        <v>1</v>
      </c>
      <c r="H19" s="174"/>
      <c r="I19" s="279">
        <v>1</v>
      </c>
      <c r="J19" s="104"/>
      <c r="K19" s="105" t="s">
        <v>154</v>
      </c>
      <c r="L19" s="104" t="s">
        <v>158</v>
      </c>
      <c r="M19" s="103" t="s">
        <v>152</v>
      </c>
      <c r="N19" s="147" t="s">
        <v>153</v>
      </c>
      <c r="O19" s="283">
        <v>1</v>
      </c>
      <c r="P19" s="132"/>
      <c r="Q19" s="133" t="s">
        <v>154</v>
      </c>
      <c r="R19" s="132" t="s">
        <v>158</v>
      </c>
      <c r="S19" s="134" t="s">
        <v>152</v>
      </c>
      <c r="T19" s="155" t="s">
        <v>153</v>
      </c>
      <c r="U19" s="287">
        <f>IF(COUNT(N20:N28,T20:T28) &gt;0, COUNT(N20:N28,T20:T28)/2,"")</f>
        <v>2</v>
      </c>
      <c r="V19" s="174"/>
      <c r="W19" s="279">
        <v>1</v>
      </c>
      <c r="X19" s="10"/>
      <c r="Y19" s="87" t="s">
        <v>154</v>
      </c>
      <c r="Z19" s="10" t="s">
        <v>158</v>
      </c>
      <c r="AA19" s="88" t="s">
        <v>152</v>
      </c>
      <c r="AB19" s="152" t="s">
        <v>153</v>
      </c>
      <c r="AC19" s="283">
        <v>1</v>
      </c>
      <c r="AD19" s="10"/>
      <c r="AE19" s="87" t="s">
        <v>154</v>
      </c>
      <c r="AF19" s="10" t="s">
        <v>158</v>
      </c>
      <c r="AG19" s="88" t="s">
        <v>152</v>
      </c>
      <c r="AH19" s="152" t="s">
        <v>153</v>
      </c>
      <c r="AI19" s="283">
        <v>1</v>
      </c>
      <c r="AJ19" s="10"/>
      <c r="AK19" s="87" t="s">
        <v>154</v>
      </c>
      <c r="AL19" s="10" t="s">
        <v>158</v>
      </c>
      <c r="AM19" s="88" t="s">
        <v>152</v>
      </c>
      <c r="AN19" s="152" t="s">
        <v>153</v>
      </c>
      <c r="AO19" s="287">
        <f>IF(COUNT(AB20:AB28,AH20:AH28,AN20:AN28) &gt;0, COUNT(AB20:AB28,AH20:AH28,AN20:AN28) /2,"")</f>
        <v>3</v>
      </c>
      <c r="AP19" s="174"/>
      <c r="AQ19" s="279">
        <v>1</v>
      </c>
      <c r="AS19" s="144" t="s">
        <v>154</v>
      </c>
      <c r="AT19" t="s">
        <v>158</v>
      </c>
      <c r="AU19" s="3" t="s">
        <v>152</v>
      </c>
      <c r="AV19" s="96" t="s">
        <v>153</v>
      </c>
      <c r="AW19" s="283">
        <v>1</v>
      </c>
      <c r="AY19" s="144" t="s">
        <v>154</v>
      </c>
      <c r="AZ19" t="s">
        <v>158</v>
      </c>
      <c r="BA19" s="3" t="s">
        <v>152</v>
      </c>
      <c r="BB19" s="96" t="s">
        <v>153</v>
      </c>
      <c r="BC19" s="283">
        <v>1</v>
      </c>
      <c r="BE19" s="144" t="s">
        <v>154</v>
      </c>
      <c r="BF19" t="s">
        <v>158</v>
      </c>
      <c r="BG19" s="3" t="s">
        <v>152</v>
      </c>
      <c r="BH19" s="96" t="s">
        <v>153</v>
      </c>
      <c r="BI19" s="287">
        <f>IF(COUNT(AV20:AV28,BB20:BB28,BH20:BH28) &gt;0, COUNT(AV20:AV28,BB20:BB28,BH20:BH28) /2,"")</f>
        <v>2</v>
      </c>
      <c r="BJ19" s="171"/>
      <c r="BK19" s="279">
        <v>1</v>
      </c>
      <c r="BL19" s="10"/>
      <c r="BM19" s="87" t="s">
        <v>154</v>
      </c>
      <c r="BN19" s="10" t="s">
        <v>158</v>
      </c>
      <c r="BO19" s="88" t="s">
        <v>152</v>
      </c>
      <c r="BP19" s="96" t="s">
        <v>153</v>
      </c>
      <c r="BQ19" s="283">
        <v>1</v>
      </c>
      <c r="BR19" s="10"/>
      <c r="BS19" s="87" t="s">
        <v>154</v>
      </c>
      <c r="BT19" s="10" t="s">
        <v>158</v>
      </c>
      <c r="BU19" s="88" t="s">
        <v>152</v>
      </c>
      <c r="BV19" s="96" t="s">
        <v>153</v>
      </c>
      <c r="BW19" s="283">
        <v>1</v>
      </c>
      <c r="BX19" s="10"/>
      <c r="BY19" s="87" t="s">
        <v>154</v>
      </c>
      <c r="BZ19" s="10" t="s">
        <v>158</v>
      </c>
      <c r="CA19" s="88" t="s">
        <v>152</v>
      </c>
      <c r="CB19" s="96" t="s">
        <v>153</v>
      </c>
      <c r="CC19" s="287">
        <f>IF(COUNT(BP20:BP28,BV20:BV28,CB20:CB28) &gt;0, COUNT(BP20:BP28,BV20:BV28,CB20:CB28) /2,"")</f>
        <v>2</v>
      </c>
    </row>
    <row r="20" spans="1:88" ht="27.75" customHeight="1" x14ac:dyDescent="0.45">
      <c r="A20" s="280"/>
      <c r="B20" s="92" t="s">
        <v>162</v>
      </c>
      <c r="C20" s="102" t="s">
        <v>156</v>
      </c>
      <c r="D20" s="89" t="s">
        <v>157</v>
      </c>
      <c r="E20" s="86" t="s">
        <v>160</v>
      </c>
      <c r="F20" s="148"/>
      <c r="G20" s="287"/>
      <c r="H20" s="174"/>
      <c r="I20" s="280"/>
      <c r="J20" s="92" t="s">
        <v>162</v>
      </c>
      <c r="K20" s="90" t="s">
        <v>155</v>
      </c>
      <c r="L20" s="89" t="s">
        <v>157</v>
      </c>
      <c r="M20" s="86" t="s">
        <v>160</v>
      </c>
      <c r="N20" s="148"/>
      <c r="O20" s="284"/>
      <c r="P20" s="92" t="s">
        <v>162</v>
      </c>
      <c r="Q20" s="90" t="s">
        <v>155</v>
      </c>
      <c r="R20" s="89" t="s">
        <v>157</v>
      </c>
      <c r="S20" s="86" t="s">
        <v>159</v>
      </c>
      <c r="T20" s="156"/>
      <c r="U20" s="287"/>
      <c r="V20" s="174"/>
      <c r="W20" s="280"/>
      <c r="X20" s="92" t="s">
        <v>162</v>
      </c>
      <c r="Y20" s="90" t="s">
        <v>155</v>
      </c>
      <c r="Z20" s="89" t="s">
        <v>157</v>
      </c>
      <c r="AA20" s="86" t="s">
        <v>159</v>
      </c>
      <c r="AB20" s="148"/>
      <c r="AC20" s="284"/>
      <c r="AD20" s="92" t="s">
        <v>162</v>
      </c>
      <c r="AE20" s="90" t="s">
        <v>155</v>
      </c>
      <c r="AF20" s="89" t="s">
        <v>157</v>
      </c>
      <c r="AG20" s="86" t="s">
        <v>159</v>
      </c>
      <c r="AH20" s="148"/>
      <c r="AI20" s="284"/>
      <c r="AJ20" s="92" t="s">
        <v>162</v>
      </c>
      <c r="AK20" s="90" t="s">
        <v>155</v>
      </c>
      <c r="AL20" s="89" t="s">
        <v>157</v>
      </c>
      <c r="AM20" s="86" t="s">
        <v>159</v>
      </c>
      <c r="AN20" s="148"/>
      <c r="AO20" s="287"/>
      <c r="AP20" s="174"/>
      <c r="AQ20" s="280"/>
      <c r="AR20" s="92" t="s">
        <v>162</v>
      </c>
      <c r="AS20" s="90" t="s">
        <v>155</v>
      </c>
      <c r="AT20" s="89" t="s">
        <v>157</v>
      </c>
      <c r="AU20" s="86" t="s">
        <v>159</v>
      </c>
      <c r="AV20" s="95"/>
      <c r="AW20" s="284"/>
      <c r="AX20" s="92" t="s">
        <v>162</v>
      </c>
      <c r="AY20" s="90" t="s">
        <v>155</v>
      </c>
      <c r="AZ20" s="89" t="s">
        <v>157</v>
      </c>
      <c r="BA20" s="86" t="s">
        <v>159</v>
      </c>
      <c r="BB20" s="95"/>
      <c r="BC20" s="284"/>
      <c r="BD20" s="92" t="s">
        <v>162</v>
      </c>
      <c r="BE20" s="90" t="s">
        <v>155</v>
      </c>
      <c r="BF20" s="89" t="s">
        <v>157</v>
      </c>
      <c r="BG20" s="86" t="s">
        <v>159</v>
      </c>
      <c r="BH20" s="95"/>
      <c r="BI20" s="287"/>
      <c r="BJ20" s="171"/>
      <c r="BK20" s="280"/>
      <c r="BL20" s="92" t="s">
        <v>162</v>
      </c>
      <c r="BM20" s="90" t="s">
        <v>155</v>
      </c>
      <c r="BN20" s="89" t="s">
        <v>157</v>
      </c>
      <c r="BO20" s="86" t="s">
        <v>159</v>
      </c>
      <c r="BP20" s="148"/>
      <c r="BQ20" s="284"/>
      <c r="BR20" s="92" t="s">
        <v>162</v>
      </c>
      <c r="BS20" s="90" t="s">
        <v>155</v>
      </c>
      <c r="BT20" s="89" t="s">
        <v>157</v>
      </c>
      <c r="BU20" s="86" t="s">
        <v>159</v>
      </c>
      <c r="BV20" s="148"/>
      <c r="BW20" s="284"/>
      <c r="BX20" s="92" t="s">
        <v>162</v>
      </c>
      <c r="BY20" s="90" t="s">
        <v>155</v>
      </c>
      <c r="BZ20" s="89" t="s">
        <v>157</v>
      </c>
      <c r="CA20" s="86" t="s">
        <v>159</v>
      </c>
      <c r="CB20" s="148"/>
      <c r="CC20" s="287"/>
    </row>
    <row r="21" spans="1:88" x14ac:dyDescent="0.45">
      <c r="A21" s="280"/>
      <c r="B21" s="62">
        <v>1</v>
      </c>
      <c r="C21">
        <v>0</v>
      </c>
      <c r="D21">
        <v>0</v>
      </c>
      <c r="E21" s="63">
        <f>MOD($F5+D21+$B$19,$F$1)</f>
        <v>8</v>
      </c>
      <c r="F21" s="149">
        <v>1</v>
      </c>
      <c r="G21" s="287"/>
      <c r="H21" s="174"/>
      <c r="I21" s="280"/>
      <c r="J21" s="62">
        <v>1</v>
      </c>
      <c r="K21">
        <f>IF(F21="",C21,IF(F21=MIN(F$21:F$28),C21+1,0))</f>
        <v>1</v>
      </c>
      <c r="L21">
        <f>K21*$F$2</f>
        <v>8</v>
      </c>
      <c r="M21" s="63">
        <f>MOD($F5+L21+$B$19,$F$1)</f>
        <v>0</v>
      </c>
      <c r="N21" s="149">
        <v>1</v>
      </c>
      <c r="O21" s="284"/>
      <c r="P21" s="62">
        <v>1</v>
      </c>
      <c r="Q21">
        <f>IF(N21="",K21,IF(N21=MIN(N$21:N$28),K21+1,0))</f>
        <v>2</v>
      </c>
      <c r="R21">
        <f>Q21*$F$2</f>
        <v>16</v>
      </c>
      <c r="S21" s="63">
        <f t="shared" ref="S21:S28" si="3">MOD($F5+R21+$B$19,$F$1)</f>
        <v>8</v>
      </c>
      <c r="T21" s="157">
        <v>11</v>
      </c>
      <c r="U21" s="287"/>
      <c r="V21" s="174"/>
      <c r="W21" s="280"/>
      <c r="X21" s="62">
        <v>1</v>
      </c>
      <c r="Y21">
        <f>IF(T21="",Q21,IF(T21=MIN(T$21:T$28),Q21+1,0))</f>
        <v>3</v>
      </c>
      <c r="Z21">
        <f>Y21*$F$2</f>
        <v>24</v>
      </c>
      <c r="AA21" s="63">
        <f t="shared" ref="AA21:AA28" si="4">MOD($F5+Z21+$B$19,$F$1)</f>
        <v>0</v>
      </c>
      <c r="AB21" s="149">
        <v>1</v>
      </c>
      <c r="AC21" s="284"/>
      <c r="AD21" s="62">
        <v>1</v>
      </c>
      <c r="AE21">
        <f>IF(AB21="",Y21,IF(AB21=MIN(AB$21:AB$28),Y21+1,0))</f>
        <v>4</v>
      </c>
      <c r="AF21">
        <f>AE21*$F$2</f>
        <v>32</v>
      </c>
      <c r="AG21" s="63">
        <f t="shared" ref="AG21:AG28" si="5">MOD($F5+AF21+$B$19,$F$1)</f>
        <v>8</v>
      </c>
      <c r="AH21" s="149">
        <v>9</v>
      </c>
      <c r="AI21" s="284"/>
      <c r="AJ21" s="62">
        <v>1</v>
      </c>
      <c r="AK21">
        <f>IF(AH21="",AE21,IF(AH21=MIN(AH$21:AH$28),AE21+1,0))</f>
        <v>5</v>
      </c>
      <c r="AL21">
        <f>AK21*$F$2</f>
        <v>40</v>
      </c>
      <c r="AM21" s="63">
        <f t="shared" ref="AM21:AM28" si="6">MOD($F5+AL21+$B$19,$F$1)</f>
        <v>0</v>
      </c>
      <c r="AN21" s="149">
        <v>19</v>
      </c>
      <c r="AO21" s="287"/>
      <c r="AP21" s="174"/>
      <c r="AQ21" s="280"/>
      <c r="AR21" s="62">
        <v>1</v>
      </c>
      <c r="AS21">
        <f t="shared" ref="AS21:AS28" si="7">IF(AN21="",AK21,IF(AN21=MIN(AN$21:AN$28),AK21+1,0))</f>
        <v>6</v>
      </c>
      <c r="AT21">
        <f>AS21*$F$2</f>
        <v>48</v>
      </c>
      <c r="AU21" s="63">
        <f>MOD($F5+AT21+$B$19,$F$1)</f>
        <v>8</v>
      </c>
      <c r="AV21" s="98">
        <v>1</v>
      </c>
      <c r="AW21" s="284"/>
      <c r="AX21" s="62">
        <v>1</v>
      </c>
      <c r="AY21">
        <f>IF(AV21="",AS21,IF(AV21=MIN(AV$21:AV$28),AS21+1,0))</f>
        <v>7</v>
      </c>
      <c r="AZ21">
        <f>AY21*$F$2</f>
        <v>56</v>
      </c>
      <c r="BA21" s="63">
        <f t="shared" ref="BA21:BA28" si="8">MOD($F5+AZ21+$B$19,$F$1)</f>
        <v>0</v>
      </c>
      <c r="BB21" s="98"/>
      <c r="BC21" s="284"/>
      <c r="BD21" s="62">
        <v>1</v>
      </c>
      <c r="BE21">
        <f>IF(BB21="",AY21,IF(BB21=MIN(BB$21:BB$28),AY21+1,0))</f>
        <v>7</v>
      </c>
      <c r="BF21">
        <f>BE21*$F$2</f>
        <v>56</v>
      </c>
      <c r="BG21" s="63">
        <f t="shared" ref="BG21:BG28" si="9">MOD($F5+BF21+$B$19,$F$1)</f>
        <v>0</v>
      </c>
      <c r="BH21" s="98">
        <v>21</v>
      </c>
      <c r="BI21" s="287"/>
      <c r="BJ21" s="171"/>
      <c r="BK21" s="280"/>
      <c r="BL21" s="62">
        <v>1</v>
      </c>
      <c r="BM21">
        <f>IF(BH21="",BE21,IF(BH21=MIN(BH$21:BH$28),BE21+1,0))</f>
        <v>8</v>
      </c>
      <c r="BN21">
        <f>BM21*$F$2</f>
        <v>64</v>
      </c>
      <c r="BO21" s="63">
        <f t="shared" ref="BO21:BO28" si="10">MOD($F5+BN21+$B$19,$F$1)</f>
        <v>8</v>
      </c>
      <c r="BP21" s="149">
        <v>1</v>
      </c>
      <c r="BQ21" s="284"/>
      <c r="BR21" s="62">
        <v>1</v>
      </c>
      <c r="BS21">
        <f>IF(BP21="",BM21,IF(BP21=MIN(BP$21:BP$28),BM21+1,0))</f>
        <v>9</v>
      </c>
      <c r="BT21">
        <f>BS21*$F$2</f>
        <v>72</v>
      </c>
      <c r="BU21" s="63">
        <f t="shared" ref="BU21:BU28" si="11">MOD($F5+BT21+$B$19,$F$1)</f>
        <v>0</v>
      </c>
      <c r="BV21" s="149">
        <v>9</v>
      </c>
      <c r="BW21" s="284"/>
      <c r="BX21" s="62">
        <v>1</v>
      </c>
      <c r="BY21">
        <f>IF(BV21="",BS21,IF(BV21=MIN(BV$21:BV$28),BS21+1,0))</f>
        <v>10</v>
      </c>
      <c r="BZ21">
        <f>BY21*$F$2</f>
        <v>80</v>
      </c>
      <c r="CA21" s="63">
        <f t="shared" ref="CA21:CA28" si="12">MOD($F5+BZ21+$B$19,$F$1)</f>
        <v>8</v>
      </c>
      <c r="CB21" s="149"/>
      <c r="CC21" s="287"/>
    </row>
    <row r="22" spans="1:88" x14ac:dyDescent="0.45">
      <c r="A22" s="280"/>
      <c r="B22" s="1">
        <v>2</v>
      </c>
      <c r="C22">
        <f t="shared" ref="C22:C28" si="13">IF(B22=MIN(B$21:B$28),1,0)</f>
        <v>0</v>
      </c>
      <c r="D22">
        <v>0</v>
      </c>
      <c r="E22" s="30">
        <f t="shared" ref="E22:E28" si="14">MOD($F6+D22+$B$19,$F$1)</f>
        <v>4</v>
      </c>
      <c r="F22" s="150"/>
      <c r="G22" s="287"/>
      <c r="H22" s="174"/>
      <c r="I22" s="280"/>
      <c r="J22" s="1">
        <v>2</v>
      </c>
      <c r="K22">
        <f>IF(F22="",C22,IF(F22=MIN(F$21:F$28),C22+1,0))</f>
        <v>0</v>
      </c>
      <c r="L22">
        <f t="shared" ref="L22:L28" si="15">K22*$F$2</f>
        <v>0</v>
      </c>
      <c r="M22" s="30">
        <f t="shared" ref="M22:M28" si="16">MOD($F6+L22+$B$19,$F$1)</f>
        <v>4</v>
      </c>
      <c r="N22" s="150"/>
      <c r="O22" s="284"/>
      <c r="P22" s="1">
        <v>2</v>
      </c>
      <c r="Q22">
        <f>IF(N22="",K22,IF(N22=MIN(N$21:N$28),K22+1,0))</f>
        <v>0</v>
      </c>
      <c r="R22">
        <f t="shared" ref="R22:R28" si="17">Q22*$F$2</f>
        <v>0</v>
      </c>
      <c r="S22" s="30">
        <f t="shared" si="3"/>
        <v>4</v>
      </c>
      <c r="T22" s="158"/>
      <c r="U22" s="287"/>
      <c r="V22" s="174"/>
      <c r="W22" s="280"/>
      <c r="X22" s="1">
        <v>2</v>
      </c>
      <c r="Y22">
        <f>IF(T22="",Q22,IF(T22=MIN(T$21:T$28),Q22+1,0))</f>
        <v>0</v>
      </c>
      <c r="Z22">
        <f t="shared" ref="Z22:Z28" si="18">Y22*$F$2</f>
        <v>0</v>
      </c>
      <c r="AA22" s="30">
        <f t="shared" si="4"/>
        <v>4</v>
      </c>
      <c r="AB22" s="150"/>
      <c r="AC22" s="284"/>
      <c r="AD22" s="1">
        <v>2</v>
      </c>
      <c r="AE22">
        <f>IF(AB22="",Y22,IF(AB22=MIN(AB$21:AB$28),Y22+1,0))</f>
        <v>0</v>
      </c>
      <c r="AF22">
        <f t="shared" ref="AF22:AF28" si="19">AE22*$F$2</f>
        <v>0</v>
      </c>
      <c r="AG22" s="30">
        <f t="shared" si="5"/>
        <v>4</v>
      </c>
      <c r="AH22" s="150"/>
      <c r="AI22" s="284"/>
      <c r="AJ22" s="1">
        <v>2</v>
      </c>
      <c r="AK22">
        <f t="shared" ref="AK22:AK85" si="20">IF(AH22="",AE22,IF(AH22=MIN(AH$21:AH$28),AE22+1,0))</f>
        <v>0</v>
      </c>
      <c r="AL22">
        <f t="shared" ref="AL22:AL28" si="21">AK22*$F$2</f>
        <v>0</v>
      </c>
      <c r="AM22" s="30">
        <f t="shared" si="6"/>
        <v>4</v>
      </c>
      <c r="AN22" s="150"/>
      <c r="AO22" s="287"/>
      <c r="AP22" s="174"/>
      <c r="AQ22" s="280"/>
      <c r="AR22" s="1">
        <v>2</v>
      </c>
      <c r="AS22">
        <f t="shared" si="7"/>
        <v>0</v>
      </c>
      <c r="AT22">
        <f t="shared" ref="AT22:AT28" si="22">AS22*$F$2</f>
        <v>0</v>
      </c>
      <c r="AU22" s="30">
        <f t="shared" ref="AU22:AU28" si="23">MOD($F6+AT22+$B$19,$F$1)</f>
        <v>4</v>
      </c>
      <c r="AV22" s="96"/>
      <c r="AW22" s="284"/>
      <c r="AX22" s="1">
        <v>2</v>
      </c>
      <c r="AY22">
        <f>IF(AV22="",AS22,IF(AV22=MIN(AV$21:AV$28),AS22+1,0))</f>
        <v>0</v>
      </c>
      <c r="AZ22">
        <f t="shared" ref="AZ22:AZ28" si="24">AY22*$F$2</f>
        <v>0</v>
      </c>
      <c r="BA22" s="30">
        <f t="shared" si="8"/>
        <v>4</v>
      </c>
      <c r="BB22" s="96"/>
      <c r="BC22" s="284"/>
      <c r="BD22" s="1">
        <v>2</v>
      </c>
      <c r="BE22">
        <f>IF(BB22="",AY22,IF(BB22=MIN(BB$21:BB$28),AY22+1,0))</f>
        <v>0</v>
      </c>
      <c r="BF22">
        <f t="shared" ref="BF22:BF26" si="25">BE22*$F$2</f>
        <v>0</v>
      </c>
      <c r="BG22" s="30">
        <f t="shared" si="9"/>
        <v>4</v>
      </c>
      <c r="BH22" s="96"/>
      <c r="BI22" s="287"/>
      <c r="BJ22" s="171"/>
      <c r="BK22" s="280"/>
      <c r="BL22" s="1">
        <v>2</v>
      </c>
      <c r="BM22">
        <f t="shared" ref="BM22:BM28" si="26">IF(BH22="",BE22,IF(BH22=MIN(BH$21:BH$28),BE22+1,0))</f>
        <v>0</v>
      </c>
      <c r="BN22">
        <f t="shared" ref="BN22:BN28" si="27">BM22*$F$2</f>
        <v>0</v>
      </c>
      <c r="BO22" s="30">
        <f t="shared" si="10"/>
        <v>4</v>
      </c>
      <c r="BP22" s="150"/>
      <c r="BQ22" s="284"/>
      <c r="BR22" s="1">
        <v>2</v>
      </c>
      <c r="BS22">
        <f>IF(BP22="",BM22,IF(BP22=MIN(BP$21:BP$28),BM22+1,0))</f>
        <v>0</v>
      </c>
      <c r="BT22">
        <f t="shared" ref="BT22:BT28" si="28">BS22*$F$2</f>
        <v>0</v>
      </c>
      <c r="BU22" s="30">
        <f t="shared" si="11"/>
        <v>4</v>
      </c>
      <c r="BV22" s="150"/>
      <c r="BW22" s="284"/>
      <c r="BX22" s="1">
        <v>2</v>
      </c>
      <c r="BY22">
        <f>IF(BV22="",BS22,IF(BV22=MIN(BV$21:BV$28),BS22+1,0))</f>
        <v>0</v>
      </c>
      <c r="BZ22">
        <f t="shared" ref="BZ22:BZ28" si="29">BY22*$F$2</f>
        <v>0</v>
      </c>
      <c r="CA22" s="30">
        <f t="shared" si="12"/>
        <v>4</v>
      </c>
      <c r="CB22" s="150"/>
      <c r="CC22" s="287"/>
    </row>
    <row r="23" spans="1:88" s="77" customFormat="1" x14ac:dyDescent="0.45">
      <c r="A23" s="280"/>
      <c r="B23" s="75">
        <v>3</v>
      </c>
      <c r="C23">
        <f t="shared" si="13"/>
        <v>0</v>
      </c>
      <c r="D23">
        <v>0</v>
      </c>
      <c r="E23" s="30">
        <f t="shared" si="14"/>
        <v>15</v>
      </c>
      <c r="F23" s="150"/>
      <c r="G23" s="287"/>
      <c r="H23" s="174"/>
      <c r="I23" s="280"/>
      <c r="J23" s="75">
        <v>3</v>
      </c>
      <c r="K23">
        <f t="shared" ref="K23:K28" si="30">IF(F23="",C23,IF(F23=MIN(F$21:F$28),C23+1,0))</f>
        <v>0</v>
      </c>
      <c r="L23">
        <f t="shared" si="15"/>
        <v>0</v>
      </c>
      <c r="M23" s="30">
        <f t="shared" si="16"/>
        <v>15</v>
      </c>
      <c r="N23" s="150"/>
      <c r="O23" s="284"/>
      <c r="P23" s="75">
        <v>3</v>
      </c>
      <c r="Q23">
        <f t="shared" ref="Q23:Q28" si="31">IF(N23="",K23,IF(N23=MIN(N$21:N$28),K23+1,0))</f>
        <v>0</v>
      </c>
      <c r="R23">
        <f t="shared" si="17"/>
        <v>0</v>
      </c>
      <c r="S23" s="30">
        <f t="shared" si="3"/>
        <v>15</v>
      </c>
      <c r="T23" s="158"/>
      <c r="U23" s="287"/>
      <c r="V23" s="174"/>
      <c r="W23" s="280"/>
      <c r="X23" s="75">
        <v>3</v>
      </c>
      <c r="Y23">
        <f t="shared" ref="Y23:Y28" si="32">IF(T23="",Q23,IF(T23=MIN(T$21:T$28),Q23+1,0))</f>
        <v>0</v>
      </c>
      <c r="Z23">
        <f t="shared" si="18"/>
        <v>0</v>
      </c>
      <c r="AA23" s="30">
        <f t="shared" si="4"/>
        <v>15</v>
      </c>
      <c r="AB23" s="150"/>
      <c r="AC23" s="284"/>
      <c r="AD23" s="75">
        <v>3</v>
      </c>
      <c r="AE23">
        <f t="shared" ref="AE23:AE28" si="33">IF(AB23="",Y23,IF(AB23=MIN(AB$21:AB$28),Y23+1,0))</f>
        <v>0</v>
      </c>
      <c r="AF23">
        <f t="shared" si="19"/>
        <v>0</v>
      </c>
      <c r="AG23" s="30">
        <f t="shared" si="5"/>
        <v>15</v>
      </c>
      <c r="AH23" s="150"/>
      <c r="AI23" s="284"/>
      <c r="AJ23" s="75">
        <v>3</v>
      </c>
      <c r="AK23">
        <f t="shared" si="20"/>
        <v>0</v>
      </c>
      <c r="AL23">
        <f t="shared" si="21"/>
        <v>0</v>
      </c>
      <c r="AM23" s="30">
        <f t="shared" si="6"/>
        <v>15</v>
      </c>
      <c r="AN23" s="150"/>
      <c r="AO23" s="287"/>
      <c r="AP23" s="174"/>
      <c r="AQ23" s="280"/>
      <c r="AR23" s="75">
        <v>3</v>
      </c>
      <c r="AS23">
        <f t="shared" si="7"/>
        <v>0</v>
      </c>
      <c r="AT23">
        <f t="shared" si="22"/>
        <v>0</v>
      </c>
      <c r="AU23" s="30">
        <f t="shared" si="23"/>
        <v>15</v>
      </c>
      <c r="AV23" s="96"/>
      <c r="AW23" s="284"/>
      <c r="AX23" s="75">
        <v>3</v>
      </c>
      <c r="AY23">
        <f t="shared" ref="AY23:AY28" si="34">IF(AV23="",AS23,IF(AV23=MIN(AV$21:AV$28),AS23+1,0))</f>
        <v>0</v>
      </c>
      <c r="AZ23">
        <f t="shared" si="24"/>
        <v>0</v>
      </c>
      <c r="BA23" s="30">
        <f t="shared" si="8"/>
        <v>15</v>
      </c>
      <c r="BB23" s="96"/>
      <c r="BC23" s="284"/>
      <c r="BD23" s="75">
        <v>3</v>
      </c>
      <c r="BE23">
        <f t="shared" ref="BE23:BE26" si="35">IF(BB23="",AY23,IF(BB23=MIN(BB$21:BB$28),AY23+1,0))</f>
        <v>0</v>
      </c>
      <c r="BF23">
        <f t="shared" si="25"/>
        <v>0</v>
      </c>
      <c r="BG23" s="30">
        <f t="shared" si="9"/>
        <v>15</v>
      </c>
      <c r="BH23" s="96"/>
      <c r="BI23" s="287"/>
      <c r="BJ23" s="171"/>
      <c r="BK23" s="280"/>
      <c r="BL23" s="75">
        <v>3</v>
      </c>
      <c r="BM23">
        <f t="shared" si="26"/>
        <v>0</v>
      </c>
      <c r="BN23">
        <f t="shared" si="27"/>
        <v>0</v>
      </c>
      <c r="BO23" s="30">
        <f t="shared" si="10"/>
        <v>15</v>
      </c>
      <c r="BP23" s="150"/>
      <c r="BQ23" s="284"/>
      <c r="BR23" s="75">
        <v>3</v>
      </c>
      <c r="BS23">
        <f t="shared" ref="BS23:BS28" si="36">IF(BP23="",BM23,IF(BP23=MIN(BP$21:BP$28),BM23+1,0))</f>
        <v>0</v>
      </c>
      <c r="BT23">
        <f t="shared" si="28"/>
        <v>0</v>
      </c>
      <c r="BU23" s="30">
        <f t="shared" si="11"/>
        <v>15</v>
      </c>
      <c r="BV23" s="150"/>
      <c r="BW23" s="284"/>
      <c r="BX23" s="75">
        <v>3</v>
      </c>
      <c r="BY23">
        <f t="shared" ref="BY23:BY28" si="37">IF(BV23="",BS23,IF(BV23=MIN(BV$21:BV$28),BS23+1,0))</f>
        <v>0</v>
      </c>
      <c r="BZ23">
        <f t="shared" si="29"/>
        <v>0</v>
      </c>
      <c r="CA23" s="30">
        <f t="shared" si="12"/>
        <v>15</v>
      </c>
      <c r="CB23" s="150"/>
      <c r="CC23" s="287"/>
      <c r="CD23"/>
      <c r="CE23"/>
      <c r="CF23"/>
      <c r="CG23"/>
      <c r="CH23"/>
      <c r="CI23"/>
      <c r="CJ23"/>
    </row>
    <row r="24" spans="1:88" x14ac:dyDescent="0.45">
      <c r="A24" s="280"/>
      <c r="B24" s="1">
        <v>4</v>
      </c>
      <c r="C24">
        <f t="shared" si="13"/>
        <v>0</v>
      </c>
      <c r="D24">
        <v>0</v>
      </c>
      <c r="E24" s="30">
        <f t="shared" si="14"/>
        <v>11</v>
      </c>
      <c r="F24" s="150"/>
      <c r="G24" s="287"/>
      <c r="H24" s="174"/>
      <c r="I24" s="280"/>
      <c r="J24" s="1">
        <v>4</v>
      </c>
      <c r="K24">
        <f t="shared" si="30"/>
        <v>0</v>
      </c>
      <c r="L24">
        <f t="shared" si="15"/>
        <v>0</v>
      </c>
      <c r="M24" s="30">
        <f t="shared" si="16"/>
        <v>11</v>
      </c>
      <c r="N24" s="150"/>
      <c r="O24" s="284"/>
      <c r="P24" s="1">
        <v>4</v>
      </c>
      <c r="Q24">
        <f t="shared" si="31"/>
        <v>0</v>
      </c>
      <c r="R24">
        <f t="shared" si="17"/>
        <v>0</v>
      </c>
      <c r="S24" s="30">
        <f t="shared" si="3"/>
        <v>11</v>
      </c>
      <c r="T24" s="158"/>
      <c r="U24" s="287"/>
      <c r="V24" s="174"/>
      <c r="W24" s="280"/>
      <c r="X24" s="1">
        <v>4</v>
      </c>
      <c r="Y24">
        <f t="shared" si="32"/>
        <v>0</v>
      </c>
      <c r="Z24">
        <f t="shared" si="18"/>
        <v>0</v>
      </c>
      <c r="AA24" s="30">
        <f t="shared" si="4"/>
        <v>11</v>
      </c>
      <c r="AB24" s="150"/>
      <c r="AC24" s="284"/>
      <c r="AD24" s="1">
        <v>4</v>
      </c>
      <c r="AE24">
        <f t="shared" si="33"/>
        <v>0</v>
      </c>
      <c r="AF24">
        <f t="shared" si="19"/>
        <v>0</v>
      </c>
      <c r="AG24" s="30">
        <f t="shared" si="5"/>
        <v>11</v>
      </c>
      <c r="AH24" s="150"/>
      <c r="AI24" s="284"/>
      <c r="AJ24" s="1">
        <v>4</v>
      </c>
      <c r="AK24">
        <f t="shared" si="20"/>
        <v>0</v>
      </c>
      <c r="AL24">
        <f t="shared" si="21"/>
        <v>0</v>
      </c>
      <c r="AM24" s="30">
        <f t="shared" si="6"/>
        <v>11</v>
      </c>
      <c r="AN24" s="150"/>
      <c r="AO24" s="287"/>
      <c r="AP24" s="174"/>
      <c r="AQ24" s="280"/>
      <c r="AR24" s="1">
        <v>4</v>
      </c>
      <c r="AS24">
        <f t="shared" si="7"/>
        <v>0</v>
      </c>
      <c r="AT24">
        <f t="shared" si="22"/>
        <v>0</v>
      </c>
      <c r="AU24" s="30">
        <f t="shared" si="23"/>
        <v>11</v>
      </c>
      <c r="AV24" s="96"/>
      <c r="AW24" s="284"/>
      <c r="AX24" s="1">
        <v>4</v>
      </c>
      <c r="AY24">
        <f t="shared" si="34"/>
        <v>0</v>
      </c>
      <c r="AZ24">
        <f t="shared" si="24"/>
        <v>0</v>
      </c>
      <c r="BA24" s="30">
        <f t="shared" si="8"/>
        <v>11</v>
      </c>
      <c r="BB24" s="96"/>
      <c r="BC24" s="284"/>
      <c r="BD24" s="1">
        <v>4</v>
      </c>
      <c r="BE24">
        <f t="shared" si="35"/>
        <v>0</v>
      </c>
      <c r="BF24">
        <f t="shared" si="25"/>
        <v>0</v>
      </c>
      <c r="BG24" s="30">
        <f t="shared" si="9"/>
        <v>11</v>
      </c>
      <c r="BH24" s="96"/>
      <c r="BI24" s="287"/>
      <c r="BJ24" s="171"/>
      <c r="BK24" s="280"/>
      <c r="BL24" s="1">
        <v>4</v>
      </c>
      <c r="BM24">
        <f t="shared" si="26"/>
        <v>0</v>
      </c>
      <c r="BN24">
        <f t="shared" si="27"/>
        <v>0</v>
      </c>
      <c r="BO24" s="30">
        <f t="shared" si="10"/>
        <v>11</v>
      </c>
      <c r="BP24" s="150"/>
      <c r="BQ24" s="284"/>
      <c r="BR24" s="1">
        <v>4</v>
      </c>
      <c r="BS24">
        <f t="shared" si="36"/>
        <v>0</v>
      </c>
      <c r="BT24">
        <f t="shared" si="28"/>
        <v>0</v>
      </c>
      <c r="BU24" s="30">
        <f t="shared" si="11"/>
        <v>11</v>
      </c>
      <c r="BV24" s="150"/>
      <c r="BW24" s="284"/>
      <c r="BX24" s="1">
        <v>4</v>
      </c>
      <c r="BY24">
        <f t="shared" si="37"/>
        <v>0</v>
      </c>
      <c r="BZ24">
        <f t="shared" si="29"/>
        <v>0</v>
      </c>
      <c r="CA24" s="30">
        <f t="shared" si="12"/>
        <v>11</v>
      </c>
      <c r="CB24" s="150"/>
      <c r="CC24" s="287"/>
    </row>
    <row r="25" spans="1:88" x14ac:dyDescent="0.45">
      <c r="A25" s="280"/>
      <c r="B25" s="1">
        <v>5</v>
      </c>
      <c r="C25">
        <f t="shared" si="13"/>
        <v>0</v>
      </c>
      <c r="D25">
        <v>0</v>
      </c>
      <c r="E25" s="30">
        <f t="shared" si="14"/>
        <v>5</v>
      </c>
      <c r="F25" s="150"/>
      <c r="G25" s="287"/>
      <c r="H25" s="174"/>
      <c r="I25" s="280"/>
      <c r="J25" s="1">
        <v>5</v>
      </c>
      <c r="K25">
        <f t="shared" si="30"/>
        <v>0</v>
      </c>
      <c r="L25">
        <f t="shared" si="15"/>
        <v>0</v>
      </c>
      <c r="M25" s="30">
        <f t="shared" si="16"/>
        <v>5</v>
      </c>
      <c r="N25" s="150"/>
      <c r="O25" s="284"/>
      <c r="P25" s="1">
        <v>5</v>
      </c>
      <c r="Q25">
        <f t="shared" si="31"/>
        <v>0</v>
      </c>
      <c r="R25">
        <f t="shared" si="17"/>
        <v>0</v>
      </c>
      <c r="S25" s="30">
        <f t="shared" si="3"/>
        <v>5</v>
      </c>
      <c r="T25" s="158"/>
      <c r="U25" s="287"/>
      <c r="V25" s="174"/>
      <c r="W25" s="280"/>
      <c r="X25" s="1">
        <v>5</v>
      </c>
      <c r="Y25">
        <f t="shared" si="32"/>
        <v>0</v>
      </c>
      <c r="Z25">
        <f t="shared" si="18"/>
        <v>0</v>
      </c>
      <c r="AA25" s="30">
        <f t="shared" si="4"/>
        <v>5</v>
      </c>
      <c r="AB25" s="150"/>
      <c r="AC25" s="284"/>
      <c r="AD25" s="1">
        <v>5</v>
      </c>
      <c r="AE25">
        <f t="shared" si="33"/>
        <v>0</v>
      </c>
      <c r="AF25">
        <f t="shared" si="19"/>
        <v>0</v>
      </c>
      <c r="AG25" s="30">
        <f t="shared" si="5"/>
        <v>5</v>
      </c>
      <c r="AH25" s="150"/>
      <c r="AI25" s="284"/>
      <c r="AJ25" s="1">
        <v>5</v>
      </c>
      <c r="AK25">
        <f t="shared" si="20"/>
        <v>0</v>
      </c>
      <c r="AL25">
        <f t="shared" si="21"/>
        <v>0</v>
      </c>
      <c r="AM25" s="30">
        <f t="shared" si="6"/>
        <v>5</v>
      </c>
      <c r="AN25" s="150"/>
      <c r="AO25" s="287"/>
      <c r="AP25" s="174"/>
      <c r="AQ25" s="280"/>
      <c r="AR25" s="1">
        <v>5</v>
      </c>
      <c r="AS25">
        <f t="shared" si="7"/>
        <v>0</v>
      </c>
      <c r="AT25">
        <f t="shared" si="22"/>
        <v>0</v>
      </c>
      <c r="AU25" s="30">
        <f t="shared" si="23"/>
        <v>5</v>
      </c>
      <c r="AV25" s="96"/>
      <c r="AW25" s="284"/>
      <c r="AX25" s="1">
        <v>5</v>
      </c>
      <c r="AY25">
        <f t="shared" si="34"/>
        <v>0</v>
      </c>
      <c r="AZ25">
        <f t="shared" si="24"/>
        <v>0</v>
      </c>
      <c r="BA25" s="30">
        <f t="shared" si="8"/>
        <v>5</v>
      </c>
      <c r="BB25" s="96"/>
      <c r="BC25" s="284"/>
      <c r="BD25" s="1">
        <v>5</v>
      </c>
      <c r="BE25">
        <f t="shared" si="35"/>
        <v>0</v>
      </c>
      <c r="BF25">
        <f t="shared" si="25"/>
        <v>0</v>
      </c>
      <c r="BG25" s="30">
        <f t="shared" si="9"/>
        <v>5</v>
      </c>
      <c r="BH25" s="96"/>
      <c r="BI25" s="287"/>
      <c r="BJ25" s="171"/>
      <c r="BK25" s="280"/>
      <c r="BL25" s="1">
        <v>5</v>
      </c>
      <c r="BM25">
        <f t="shared" si="26"/>
        <v>0</v>
      </c>
      <c r="BN25">
        <f t="shared" si="27"/>
        <v>0</v>
      </c>
      <c r="BO25" s="30">
        <f t="shared" si="10"/>
        <v>5</v>
      </c>
      <c r="BP25" s="150"/>
      <c r="BQ25" s="284"/>
      <c r="BR25" s="1">
        <v>5</v>
      </c>
      <c r="BS25">
        <f t="shared" si="36"/>
        <v>0</v>
      </c>
      <c r="BT25">
        <f t="shared" si="28"/>
        <v>0</v>
      </c>
      <c r="BU25" s="30">
        <f t="shared" si="11"/>
        <v>5</v>
      </c>
      <c r="BV25" s="150"/>
      <c r="BW25" s="284"/>
      <c r="BX25" s="1">
        <v>5</v>
      </c>
      <c r="BY25">
        <f t="shared" si="37"/>
        <v>0</v>
      </c>
      <c r="BZ25">
        <f t="shared" si="29"/>
        <v>0</v>
      </c>
      <c r="CA25" s="30">
        <f t="shared" si="12"/>
        <v>5</v>
      </c>
      <c r="CB25" s="150"/>
      <c r="CC25" s="287"/>
    </row>
    <row r="26" spans="1:88" x14ac:dyDescent="0.45">
      <c r="A26" s="280"/>
      <c r="B26" s="1">
        <v>6</v>
      </c>
      <c r="C26">
        <f t="shared" si="13"/>
        <v>0</v>
      </c>
      <c r="D26">
        <v>0</v>
      </c>
      <c r="E26" s="30">
        <f t="shared" si="14"/>
        <v>1</v>
      </c>
      <c r="F26" s="150"/>
      <c r="G26" s="287"/>
      <c r="H26" s="174"/>
      <c r="I26" s="280"/>
      <c r="J26" s="1">
        <v>6</v>
      </c>
      <c r="K26">
        <f t="shared" si="30"/>
        <v>0</v>
      </c>
      <c r="L26">
        <f t="shared" si="15"/>
        <v>0</v>
      </c>
      <c r="M26" s="30">
        <f t="shared" si="16"/>
        <v>1</v>
      </c>
      <c r="N26" s="150">
        <v>2</v>
      </c>
      <c r="O26" s="284"/>
      <c r="P26" s="1">
        <v>6</v>
      </c>
      <c r="Q26">
        <f t="shared" si="31"/>
        <v>0</v>
      </c>
      <c r="R26">
        <f t="shared" si="17"/>
        <v>0</v>
      </c>
      <c r="S26" s="30">
        <f t="shared" si="3"/>
        <v>1</v>
      </c>
      <c r="T26" s="158"/>
      <c r="U26" s="287"/>
      <c r="V26" s="174"/>
      <c r="W26" s="280"/>
      <c r="X26" s="1">
        <v>6</v>
      </c>
      <c r="Y26">
        <f>IF(T26="",Q26,IF(T26=MIN(T$21:T$28),Q26+1,0))</f>
        <v>0</v>
      </c>
      <c r="Z26">
        <f t="shared" si="18"/>
        <v>0</v>
      </c>
      <c r="AA26" s="30">
        <f t="shared" si="4"/>
        <v>1</v>
      </c>
      <c r="AB26" s="150">
        <v>2</v>
      </c>
      <c r="AC26" s="284"/>
      <c r="AD26" s="1">
        <v>6</v>
      </c>
      <c r="AE26">
        <f t="shared" si="33"/>
        <v>0</v>
      </c>
      <c r="AF26">
        <f t="shared" si="19"/>
        <v>0</v>
      </c>
      <c r="AG26" s="30">
        <f t="shared" si="5"/>
        <v>1</v>
      </c>
      <c r="AH26" s="150"/>
      <c r="AI26" s="284"/>
      <c r="AJ26" s="1">
        <v>6</v>
      </c>
      <c r="AK26">
        <f t="shared" si="20"/>
        <v>0</v>
      </c>
      <c r="AL26">
        <f t="shared" si="21"/>
        <v>0</v>
      </c>
      <c r="AM26" s="30">
        <f t="shared" si="6"/>
        <v>1</v>
      </c>
      <c r="AN26" s="150">
        <v>20</v>
      </c>
      <c r="AO26" s="287"/>
      <c r="AP26" s="174"/>
      <c r="AQ26" s="280"/>
      <c r="AR26" s="1">
        <v>6</v>
      </c>
      <c r="AS26">
        <f t="shared" si="7"/>
        <v>0</v>
      </c>
      <c r="AT26">
        <f t="shared" si="22"/>
        <v>0</v>
      </c>
      <c r="AU26" s="30">
        <f t="shared" si="23"/>
        <v>1</v>
      </c>
      <c r="AV26" s="96"/>
      <c r="AW26" s="284"/>
      <c r="AX26" s="1">
        <v>6</v>
      </c>
      <c r="AY26">
        <f t="shared" si="34"/>
        <v>0</v>
      </c>
      <c r="AZ26">
        <f t="shared" si="24"/>
        <v>0</v>
      </c>
      <c r="BA26" s="30">
        <f t="shared" si="8"/>
        <v>1</v>
      </c>
      <c r="BB26" s="96"/>
      <c r="BC26" s="284"/>
      <c r="BD26" s="1">
        <v>6</v>
      </c>
      <c r="BE26">
        <f t="shared" si="35"/>
        <v>0</v>
      </c>
      <c r="BF26">
        <f t="shared" si="25"/>
        <v>0</v>
      </c>
      <c r="BG26" s="30">
        <f t="shared" si="9"/>
        <v>1</v>
      </c>
      <c r="BH26" s="96">
        <v>22</v>
      </c>
      <c r="BI26" s="287"/>
      <c r="BJ26" s="171"/>
      <c r="BK26" s="280"/>
      <c r="BL26" s="1">
        <v>6</v>
      </c>
      <c r="BM26">
        <f t="shared" si="26"/>
        <v>0</v>
      </c>
      <c r="BN26">
        <f t="shared" si="27"/>
        <v>0</v>
      </c>
      <c r="BO26" s="30">
        <f t="shared" si="10"/>
        <v>1</v>
      </c>
      <c r="BP26" s="150"/>
      <c r="BQ26" s="284"/>
      <c r="BR26" s="1">
        <v>6</v>
      </c>
      <c r="BS26">
        <f t="shared" si="36"/>
        <v>0</v>
      </c>
      <c r="BT26">
        <f>BS26*$F$2</f>
        <v>0</v>
      </c>
      <c r="BU26" s="30">
        <f t="shared" si="11"/>
        <v>1</v>
      </c>
      <c r="BV26" s="150">
        <v>10</v>
      </c>
      <c r="BW26" s="284"/>
      <c r="BX26" s="1">
        <v>6</v>
      </c>
      <c r="BY26">
        <f t="shared" si="37"/>
        <v>0</v>
      </c>
      <c r="BZ26">
        <f t="shared" si="29"/>
        <v>0</v>
      </c>
      <c r="CA26" s="30">
        <f t="shared" si="12"/>
        <v>1</v>
      </c>
      <c r="CB26" s="150"/>
      <c r="CC26" s="287"/>
    </row>
    <row r="27" spans="1:88" x14ac:dyDescent="0.45">
      <c r="A27" s="280"/>
      <c r="B27" s="1">
        <v>7</v>
      </c>
      <c r="C27">
        <f t="shared" si="13"/>
        <v>0</v>
      </c>
      <c r="D27">
        <v>0</v>
      </c>
      <c r="E27" s="30">
        <f t="shared" si="14"/>
        <v>14</v>
      </c>
      <c r="F27" s="150"/>
      <c r="G27" s="287"/>
      <c r="H27" s="174"/>
      <c r="I27" s="280"/>
      <c r="J27" s="1">
        <v>7</v>
      </c>
      <c r="K27">
        <f t="shared" si="30"/>
        <v>0</v>
      </c>
      <c r="L27">
        <f t="shared" si="15"/>
        <v>0</v>
      </c>
      <c r="M27" s="30">
        <f t="shared" si="16"/>
        <v>14</v>
      </c>
      <c r="N27" s="150"/>
      <c r="O27" s="284"/>
      <c r="P27" s="1">
        <v>7</v>
      </c>
      <c r="Q27">
        <f t="shared" si="31"/>
        <v>0</v>
      </c>
      <c r="R27">
        <f t="shared" si="17"/>
        <v>0</v>
      </c>
      <c r="S27" s="30">
        <f t="shared" si="3"/>
        <v>14</v>
      </c>
      <c r="T27" s="158"/>
      <c r="U27" s="287"/>
      <c r="V27" s="174"/>
      <c r="W27" s="280"/>
      <c r="X27" s="1">
        <v>7</v>
      </c>
      <c r="Y27">
        <f t="shared" si="32"/>
        <v>0</v>
      </c>
      <c r="Z27">
        <f t="shared" si="18"/>
        <v>0</v>
      </c>
      <c r="AA27" s="30">
        <f t="shared" si="4"/>
        <v>14</v>
      </c>
      <c r="AB27" s="150"/>
      <c r="AC27" s="284"/>
      <c r="AD27" s="1">
        <v>7</v>
      </c>
      <c r="AE27">
        <f t="shared" si="33"/>
        <v>0</v>
      </c>
      <c r="AF27">
        <f t="shared" si="19"/>
        <v>0</v>
      </c>
      <c r="AG27" s="30">
        <f t="shared" si="5"/>
        <v>14</v>
      </c>
      <c r="AH27" s="150"/>
      <c r="AI27" s="284"/>
      <c r="AJ27" s="1">
        <v>7</v>
      </c>
      <c r="AK27">
        <f t="shared" si="20"/>
        <v>0</v>
      </c>
      <c r="AL27">
        <f t="shared" si="21"/>
        <v>0</v>
      </c>
      <c r="AM27" s="30">
        <f t="shared" si="6"/>
        <v>14</v>
      </c>
      <c r="AN27" s="150"/>
      <c r="AO27" s="287"/>
      <c r="AP27" s="174"/>
      <c r="AQ27" s="280"/>
      <c r="AR27" s="1">
        <v>7</v>
      </c>
      <c r="AS27">
        <f t="shared" si="7"/>
        <v>0</v>
      </c>
      <c r="AT27">
        <f t="shared" si="22"/>
        <v>0</v>
      </c>
      <c r="AU27" s="30">
        <f t="shared" si="23"/>
        <v>14</v>
      </c>
      <c r="AV27" s="96"/>
      <c r="AW27" s="284"/>
      <c r="AX27" s="1">
        <v>7</v>
      </c>
      <c r="AY27">
        <f>IF(AV27="",AS27,IF(AV27=MIN(AV$21:AV$28),AS27+1,0))</f>
        <v>0</v>
      </c>
      <c r="AZ27">
        <f>AY27*$F$2</f>
        <v>0</v>
      </c>
      <c r="BA27" s="30">
        <f t="shared" si="8"/>
        <v>14</v>
      </c>
      <c r="BB27" s="96"/>
      <c r="BC27" s="284"/>
      <c r="BD27" s="1">
        <v>7</v>
      </c>
      <c r="BE27">
        <f>IF(BB27="",AY27,IF(BB27=MIN(BB$21:BB$28),AY27+1,0))</f>
        <v>0</v>
      </c>
      <c r="BF27">
        <f>BE27*$F$2</f>
        <v>0</v>
      </c>
      <c r="BG27" s="30">
        <f t="shared" si="9"/>
        <v>14</v>
      </c>
      <c r="BH27" s="96"/>
      <c r="BI27" s="287"/>
      <c r="BJ27" s="171"/>
      <c r="BK27" s="280"/>
      <c r="BL27" s="1">
        <v>7</v>
      </c>
      <c r="BM27">
        <f>IF(BH27="",BE27,IF(BH27=MIN(BH$21:BH$28),BE27+1,0))</f>
        <v>0</v>
      </c>
      <c r="BN27">
        <f t="shared" si="27"/>
        <v>0</v>
      </c>
      <c r="BO27" s="30">
        <f t="shared" si="10"/>
        <v>14</v>
      </c>
      <c r="BP27" s="150"/>
      <c r="BQ27" s="284"/>
      <c r="BR27" s="1">
        <v>7</v>
      </c>
      <c r="BS27">
        <f>IF(BP27="",BM27,IF(BP27=MIN(BP$21:BP$28),BM27+1,0))</f>
        <v>0</v>
      </c>
      <c r="BT27">
        <f t="shared" si="28"/>
        <v>0</v>
      </c>
      <c r="BU27" s="30">
        <f t="shared" si="11"/>
        <v>14</v>
      </c>
      <c r="BV27" s="150"/>
      <c r="BW27" s="284"/>
      <c r="BX27" s="1">
        <v>7</v>
      </c>
      <c r="BY27">
        <f>IF(BV27="",BS27,IF(BV27=MIN(BV$21:BV$28),BS27+1,0))</f>
        <v>0</v>
      </c>
      <c r="BZ27">
        <f t="shared" si="29"/>
        <v>0</v>
      </c>
      <c r="CA27" s="30">
        <f t="shared" si="12"/>
        <v>14</v>
      </c>
      <c r="CB27" s="150"/>
      <c r="CC27" s="287"/>
    </row>
    <row r="28" spans="1:88" x14ac:dyDescent="0.45">
      <c r="A28" s="281"/>
      <c r="B28" s="51">
        <v>8</v>
      </c>
      <c r="C28" s="53">
        <f t="shared" si="13"/>
        <v>0</v>
      </c>
      <c r="D28" s="53">
        <v>0</v>
      </c>
      <c r="E28" s="54">
        <f t="shared" si="14"/>
        <v>10</v>
      </c>
      <c r="F28" s="151">
        <v>2</v>
      </c>
      <c r="G28" s="287"/>
      <c r="H28" s="174"/>
      <c r="I28" s="281"/>
      <c r="J28" s="51">
        <v>8</v>
      </c>
      <c r="K28">
        <f t="shared" si="30"/>
        <v>0</v>
      </c>
      <c r="L28" s="53">
        <f t="shared" si="15"/>
        <v>0</v>
      </c>
      <c r="M28" s="54">
        <f t="shared" si="16"/>
        <v>10</v>
      </c>
      <c r="N28" s="151"/>
      <c r="O28" s="285"/>
      <c r="P28" s="51">
        <v>8</v>
      </c>
      <c r="Q28">
        <f t="shared" si="31"/>
        <v>0</v>
      </c>
      <c r="R28" s="53">
        <f t="shared" si="17"/>
        <v>0</v>
      </c>
      <c r="S28" s="54">
        <f t="shared" si="3"/>
        <v>10</v>
      </c>
      <c r="T28" s="159">
        <v>12</v>
      </c>
      <c r="U28" s="287"/>
      <c r="V28" s="174"/>
      <c r="W28" s="281"/>
      <c r="X28" s="51">
        <v>8</v>
      </c>
      <c r="Y28">
        <f t="shared" si="32"/>
        <v>0</v>
      </c>
      <c r="Z28" s="53">
        <f t="shared" si="18"/>
        <v>0</v>
      </c>
      <c r="AA28" s="54">
        <f t="shared" si="4"/>
        <v>10</v>
      </c>
      <c r="AB28" s="151"/>
      <c r="AC28" s="285"/>
      <c r="AD28" s="51">
        <v>8</v>
      </c>
      <c r="AE28">
        <f t="shared" si="33"/>
        <v>0</v>
      </c>
      <c r="AF28" s="53">
        <f t="shared" si="19"/>
        <v>0</v>
      </c>
      <c r="AG28" s="54">
        <f t="shared" si="5"/>
        <v>10</v>
      </c>
      <c r="AH28" s="151">
        <v>10</v>
      </c>
      <c r="AI28" s="285"/>
      <c r="AJ28" s="51">
        <v>8</v>
      </c>
      <c r="AK28">
        <f t="shared" si="20"/>
        <v>0</v>
      </c>
      <c r="AL28" s="53">
        <f t="shared" si="21"/>
        <v>0</v>
      </c>
      <c r="AM28" s="54">
        <f t="shared" si="6"/>
        <v>10</v>
      </c>
      <c r="AN28" s="151"/>
      <c r="AO28" s="287"/>
      <c r="AP28" s="174"/>
      <c r="AQ28" s="281"/>
      <c r="AR28" s="51">
        <v>8</v>
      </c>
      <c r="AS28">
        <f t="shared" si="7"/>
        <v>0</v>
      </c>
      <c r="AT28">
        <f t="shared" si="22"/>
        <v>0</v>
      </c>
      <c r="AU28" s="54">
        <f t="shared" si="23"/>
        <v>10</v>
      </c>
      <c r="AV28" s="97">
        <v>2</v>
      </c>
      <c r="AW28" s="285"/>
      <c r="AX28" s="51">
        <v>8</v>
      </c>
      <c r="AY28">
        <f t="shared" si="34"/>
        <v>0</v>
      </c>
      <c r="AZ28">
        <f t="shared" si="24"/>
        <v>0</v>
      </c>
      <c r="BA28" s="54">
        <f t="shared" si="8"/>
        <v>10</v>
      </c>
      <c r="BB28" s="97"/>
      <c r="BC28" s="285"/>
      <c r="BD28" s="51">
        <v>8</v>
      </c>
      <c r="BE28">
        <f t="shared" ref="BE28" si="38">IF(BB28="",AY28,IF(BB28=MIN(BB$21:BB$28),AY28+1,0))</f>
        <v>0</v>
      </c>
      <c r="BF28">
        <f t="shared" ref="BF28" si="39">BE28*$F$2</f>
        <v>0</v>
      </c>
      <c r="BG28" s="54">
        <f t="shared" si="9"/>
        <v>10</v>
      </c>
      <c r="BH28" s="97"/>
      <c r="BI28" s="287"/>
      <c r="BJ28" s="171"/>
      <c r="BK28" s="281"/>
      <c r="BL28" s="51">
        <v>8</v>
      </c>
      <c r="BM28">
        <f t="shared" si="26"/>
        <v>0</v>
      </c>
      <c r="BN28" s="53">
        <f t="shared" si="27"/>
        <v>0</v>
      </c>
      <c r="BO28" s="54">
        <f t="shared" si="10"/>
        <v>10</v>
      </c>
      <c r="BP28" s="151">
        <v>2</v>
      </c>
      <c r="BQ28" s="285"/>
      <c r="BR28" s="51">
        <v>8</v>
      </c>
      <c r="BS28">
        <f t="shared" si="36"/>
        <v>0</v>
      </c>
      <c r="BT28" s="53">
        <f t="shared" si="28"/>
        <v>0</v>
      </c>
      <c r="BU28" s="54">
        <f t="shared" si="11"/>
        <v>10</v>
      </c>
      <c r="BV28" s="151"/>
      <c r="BW28" s="285"/>
      <c r="BX28" s="51">
        <v>8</v>
      </c>
      <c r="BY28">
        <f t="shared" si="37"/>
        <v>0</v>
      </c>
      <c r="BZ28" s="53">
        <f t="shared" si="29"/>
        <v>0</v>
      </c>
      <c r="CA28" s="54">
        <f t="shared" si="12"/>
        <v>10</v>
      </c>
      <c r="CB28" s="151"/>
      <c r="CC28" s="287"/>
    </row>
    <row r="29" spans="1:88" s="79" customFormat="1" x14ac:dyDescent="0.45">
      <c r="A29" s="279">
        <v>2</v>
      </c>
      <c r="B29" s="48">
        <f>O6</f>
        <v>12</v>
      </c>
      <c r="C29" s="87" t="s">
        <v>154</v>
      </c>
      <c r="D29" s="10" t="s">
        <v>158</v>
      </c>
      <c r="E29" s="88" t="s">
        <v>152</v>
      </c>
      <c r="F29" s="152"/>
      <c r="G29" s="287">
        <f>IF(COUNT(F30:F38) &gt;0, COUNT(F30:F38)/2,"")</f>
        <v>1</v>
      </c>
      <c r="H29" s="174"/>
      <c r="I29" s="279">
        <v>2</v>
      </c>
      <c r="K29" s="87" t="s">
        <v>154</v>
      </c>
      <c r="L29" s="10" t="s">
        <v>158</v>
      </c>
      <c r="M29" s="88" t="s">
        <v>152</v>
      </c>
      <c r="N29" s="152"/>
      <c r="O29" s="286">
        <v>2</v>
      </c>
      <c r="Q29" s="87" t="s">
        <v>154</v>
      </c>
      <c r="R29" s="10" t="s">
        <v>158</v>
      </c>
      <c r="S29" s="88" t="s">
        <v>152</v>
      </c>
      <c r="T29" s="152"/>
      <c r="U29" s="287">
        <f>IF(COUNT(N30:N38,T30:T38) &gt;0, COUNT(N30:N38,T30:T38)/2,"")</f>
        <v>1</v>
      </c>
      <c r="V29" s="174"/>
      <c r="W29" s="279">
        <v>2</v>
      </c>
      <c r="X29" s="106"/>
      <c r="Y29" s="87" t="s">
        <v>154</v>
      </c>
      <c r="Z29" s="107" t="s">
        <v>158</v>
      </c>
      <c r="AA29" s="108" t="s">
        <v>152</v>
      </c>
      <c r="AB29" s="163"/>
      <c r="AC29" s="286">
        <v>2</v>
      </c>
      <c r="AE29" s="87" t="s">
        <v>154</v>
      </c>
      <c r="AF29" s="10" t="s">
        <v>158</v>
      </c>
      <c r="AG29" s="88" t="s">
        <v>152</v>
      </c>
      <c r="AH29" s="152"/>
      <c r="AI29" s="286">
        <v>2</v>
      </c>
      <c r="AK29" t="str">
        <f t="shared" si="20"/>
        <v xml:space="preserve">CTR </v>
      </c>
      <c r="AL29" s="10" t="s">
        <v>158</v>
      </c>
      <c r="AM29" s="88" t="s">
        <v>152</v>
      </c>
      <c r="AN29" s="152"/>
      <c r="AO29" s="287">
        <f>IF(COUNT(AB30:AB38,AH30:AH38,AN30:AN38) &gt;0, COUNT(AB30:AB38,AH30:AH38,AN30:AN38) /2,"")</f>
        <v>2</v>
      </c>
      <c r="AP29" s="174"/>
      <c r="AQ29" s="279">
        <v>2</v>
      </c>
      <c r="AS29" s="87" t="s">
        <v>154</v>
      </c>
      <c r="AT29" s="10" t="s">
        <v>158</v>
      </c>
      <c r="AU29" s="88" t="s">
        <v>152</v>
      </c>
      <c r="AV29" s="94"/>
      <c r="AW29" s="286">
        <v>2</v>
      </c>
      <c r="AY29" s="87" t="s">
        <v>154</v>
      </c>
      <c r="AZ29" s="10" t="s">
        <v>158</v>
      </c>
      <c r="BA29" s="88" t="s">
        <v>152</v>
      </c>
      <c r="BB29" s="94"/>
      <c r="BC29" s="286">
        <v>2</v>
      </c>
      <c r="BE29" s="87" t="s">
        <v>154</v>
      </c>
      <c r="BF29" s="10" t="s">
        <v>158</v>
      </c>
      <c r="BG29" s="88" t="s">
        <v>152</v>
      </c>
      <c r="BH29" s="94"/>
      <c r="BI29" s="287">
        <f>IF(COUNT(AV30:AV38,BB30:BB38,BH30:BH38) &gt;0, COUNT(AV30:AV38,BB30:BB38,BH30:BH38) /2,"")</f>
        <v>2</v>
      </c>
      <c r="BJ29" s="171"/>
      <c r="BK29" s="279">
        <v>2</v>
      </c>
      <c r="BM29" s="87" t="s">
        <v>154</v>
      </c>
      <c r="BN29" s="10" t="s">
        <v>158</v>
      </c>
      <c r="BO29" s="88" t="s">
        <v>152</v>
      </c>
      <c r="BP29" s="152"/>
      <c r="BQ29" s="286">
        <v>2</v>
      </c>
      <c r="BS29" s="87" t="s">
        <v>154</v>
      </c>
      <c r="BT29" s="10" t="s">
        <v>158</v>
      </c>
      <c r="BU29" s="88" t="s">
        <v>152</v>
      </c>
      <c r="BV29" s="152"/>
      <c r="BW29" s="286">
        <v>2</v>
      </c>
      <c r="BY29" s="87" t="s">
        <v>154</v>
      </c>
      <c r="BZ29" s="10" t="s">
        <v>158</v>
      </c>
      <c r="CA29" s="88" t="s">
        <v>152</v>
      </c>
      <c r="CB29" s="152"/>
      <c r="CC29" s="287">
        <f>IF(COUNT(BP30:BP38,BV30:BV38,CB30:CB38) &gt;0, COUNT(BP30:BP38,BV30:BV38,CB30:CB38) /2,"")</f>
        <v>2</v>
      </c>
      <c r="CD29"/>
      <c r="CE29"/>
      <c r="CF29"/>
      <c r="CG29"/>
      <c r="CH29"/>
      <c r="CI29"/>
      <c r="CJ29" s="138"/>
    </row>
    <row r="30" spans="1:88" ht="46" x14ac:dyDescent="0.45">
      <c r="A30" s="280"/>
      <c r="B30" s="92" t="s">
        <v>162</v>
      </c>
      <c r="C30" s="102" t="s">
        <v>156</v>
      </c>
      <c r="D30" s="89" t="s">
        <v>157</v>
      </c>
      <c r="E30" s="86" t="s">
        <v>160</v>
      </c>
      <c r="F30" s="148"/>
      <c r="G30" s="287"/>
      <c r="H30" s="174"/>
      <c r="I30" s="280"/>
      <c r="J30" s="92" t="s">
        <v>162</v>
      </c>
      <c r="K30" s="90" t="s">
        <v>155</v>
      </c>
      <c r="L30" s="89" t="s">
        <v>157</v>
      </c>
      <c r="M30" s="86" t="s">
        <v>160</v>
      </c>
      <c r="N30" s="148"/>
      <c r="O30" s="284"/>
      <c r="P30" s="92" t="s">
        <v>162</v>
      </c>
      <c r="Q30" s="90" t="s">
        <v>155</v>
      </c>
      <c r="R30" s="89" t="s">
        <v>157</v>
      </c>
      <c r="S30" s="86" t="s">
        <v>159</v>
      </c>
      <c r="T30" s="148"/>
      <c r="U30" s="287"/>
      <c r="V30" s="174"/>
      <c r="W30" s="280"/>
      <c r="X30" s="109" t="s">
        <v>162</v>
      </c>
      <c r="Y30" s="90" t="s">
        <v>155</v>
      </c>
      <c r="Z30" s="110" t="s">
        <v>157</v>
      </c>
      <c r="AA30" s="111" t="s">
        <v>159</v>
      </c>
      <c r="AB30" s="164"/>
      <c r="AC30" s="284"/>
      <c r="AD30" s="92" t="s">
        <v>162</v>
      </c>
      <c r="AE30" s="90" t="s">
        <v>155</v>
      </c>
      <c r="AF30" s="89" t="s">
        <v>157</v>
      </c>
      <c r="AG30" s="86" t="s">
        <v>159</v>
      </c>
      <c r="AH30" s="148"/>
      <c r="AI30" s="284"/>
      <c r="AJ30" s="92" t="s">
        <v>162</v>
      </c>
      <c r="AK30" t="str">
        <f t="shared" si="20"/>
        <v>CTR=CTR+1</v>
      </c>
      <c r="AL30" s="89" t="s">
        <v>157</v>
      </c>
      <c r="AM30" s="86" t="s">
        <v>159</v>
      </c>
      <c r="AN30" s="148"/>
      <c r="AO30" s="287"/>
      <c r="AP30" s="174"/>
      <c r="AQ30" s="280"/>
      <c r="AR30" s="92" t="s">
        <v>162</v>
      </c>
      <c r="AS30" s="90" t="s">
        <v>155</v>
      </c>
      <c r="AT30" s="89" t="s">
        <v>157</v>
      </c>
      <c r="AU30" s="86" t="s">
        <v>159</v>
      </c>
      <c r="AV30" s="95"/>
      <c r="AW30" s="284"/>
      <c r="AX30" s="92" t="s">
        <v>162</v>
      </c>
      <c r="AY30" s="90" t="s">
        <v>155</v>
      </c>
      <c r="AZ30" s="89" t="s">
        <v>157</v>
      </c>
      <c r="BA30" s="86" t="s">
        <v>159</v>
      </c>
      <c r="BB30" s="95"/>
      <c r="BC30" s="284"/>
      <c r="BD30" s="92" t="s">
        <v>162</v>
      </c>
      <c r="BE30" s="90" t="s">
        <v>155</v>
      </c>
      <c r="BF30" s="89" t="s">
        <v>157</v>
      </c>
      <c r="BG30" s="86" t="s">
        <v>159</v>
      </c>
      <c r="BH30" s="95"/>
      <c r="BI30" s="287"/>
      <c r="BJ30" s="171"/>
      <c r="BK30" s="280"/>
      <c r="BL30" s="92" t="s">
        <v>162</v>
      </c>
      <c r="BM30" s="90" t="s">
        <v>155</v>
      </c>
      <c r="BN30" s="89" t="s">
        <v>157</v>
      </c>
      <c r="BO30" s="86" t="s">
        <v>159</v>
      </c>
      <c r="BP30" s="148"/>
      <c r="BQ30" s="284"/>
      <c r="BR30" s="92" t="s">
        <v>162</v>
      </c>
      <c r="BS30" s="90" t="s">
        <v>155</v>
      </c>
      <c r="BT30" s="89" t="s">
        <v>157</v>
      </c>
      <c r="BU30" s="86" t="s">
        <v>159</v>
      </c>
      <c r="BV30" s="148"/>
      <c r="BW30" s="284"/>
      <c r="BX30" s="92" t="s">
        <v>162</v>
      </c>
      <c r="BY30" s="90" t="s">
        <v>155</v>
      </c>
      <c r="BZ30" s="89" t="s">
        <v>157</v>
      </c>
      <c r="CA30" s="86" t="s">
        <v>159</v>
      </c>
      <c r="CB30" s="148"/>
      <c r="CC30" s="287"/>
    </row>
    <row r="31" spans="1:88" x14ac:dyDescent="0.45">
      <c r="A31" s="280"/>
      <c r="B31" s="62">
        <v>1</v>
      </c>
      <c r="C31">
        <v>0</v>
      </c>
      <c r="D31">
        <v>0</v>
      </c>
      <c r="E31" s="63">
        <f>MOD($F5+D31+$B$29,$F$1)</f>
        <v>3</v>
      </c>
      <c r="F31" s="149"/>
      <c r="G31" s="287"/>
      <c r="H31" s="174"/>
      <c r="I31" s="280"/>
      <c r="J31" s="62">
        <v>1</v>
      </c>
      <c r="K31">
        <f>IF(F31="", C31,IF(F31=MIN(F$31:F$38),C31+1,0))</f>
        <v>0</v>
      </c>
      <c r="L31">
        <f>K31*$F$2</f>
        <v>0</v>
      </c>
      <c r="M31" s="63">
        <f t="shared" ref="M31:M38" si="40">MOD($F5+L31+$B$29,$F$1)</f>
        <v>3</v>
      </c>
      <c r="N31" s="149"/>
      <c r="O31" s="284"/>
      <c r="P31" s="62">
        <v>1</v>
      </c>
      <c r="Q31">
        <f t="shared" ref="Q31" si="41">IF(N31="", K31,IF(N31=MIN(N$31:N$38),K31+1,0))</f>
        <v>0</v>
      </c>
      <c r="R31">
        <f>Q31*$F$2</f>
        <v>0</v>
      </c>
      <c r="S31" s="63">
        <f t="shared" ref="S31:S38" si="42">MOD($F5+R31+$B$29,$F$1)</f>
        <v>3</v>
      </c>
      <c r="T31" s="149"/>
      <c r="U31" s="287"/>
      <c r="V31" s="174"/>
      <c r="W31" s="280"/>
      <c r="X31" s="112">
        <v>1</v>
      </c>
      <c r="Y31">
        <f>IF(T31="", Q31,IF(T31=MIN(T$31:T$38),Q31+1,0))</f>
        <v>0</v>
      </c>
      <c r="Z31" s="113">
        <f>Y31*$F$2</f>
        <v>0</v>
      </c>
      <c r="AA31" s="114">
        <f t="shared" ref="AA31:AA38" si="43">MOD($F5+Z31+$B$29,$F$1)</f>
        <v>3</v>
      </c>
      <c r="AB31" s="165"/>
      <c r="AC31" s="284"/>
      <c r="AD31" s="62">
        <v>1</v>
      </c>
      <c r="AE31">
        <f t="shared" ref="AE31:AE38" si="44">IF(AB31="", Y31,IF(AB31=MIN(AB$31:AB$38),Y31+1,0))</f>
        <v>0</v>
      </c>
      <c r="AF31">
        <f>AE31*$F$2</f>
        <v>0</v>
      </c>
      <c r="AG31" s="63">
        <f t="shared" ref="AG31:AG38" si="45">MOD($F5+AF31+$B$29,$F$1)</f>
        <v>3</v>
      </c>
      <c r="AH31" s="149"/>
      <c r="AI31" s="284"/>
      <c r="AJ31" s="62">
        <v>1</v>
      </c>
      <c r="AK31">
        <f t="shared" si="20"/>
        <v>0</v>
      </c>
      <c r="AL31">
        <f>AK31*$F$2</f>
        <v>0</v>
      </c>
      <c r="AM31" s="63">
        <f t="shared" ref="AM31:AM38" si="46">MOD($F5+AL31+$B$29,$F$1)</f>
        <v>3</v>
      </c>
      <c r="AN31" s="149"/>
      <c r="AO31" s="287"/>
      <c r="AP31" s="174"/>
      <c r="AQ31" s="280"/>
      <c r="AR31" s="62">
        <v>1</v>
      </c>
      <c r="AS31">
        <f t="shared" ref="AS31:AS38" si="47">IF(AN31="", AK31,IF(AN31=MIN(AN$31:AN$38),AK31+1,0))</f>
        <v>0</v>
      </c>
      <c r="AT31">
        <f>AS31*$F$2</f>
        <v>0</v>
      </c>
      <c r="AU31" s="63">
        <f t="shared" ref="AU31:AU38" si="48">MOD($F5+AT31+$B$29,$F$1)</f>
        <v>3</v>
      </c>
      <c r="AV31" s="98"/>
      <c r="AW31" s="284"/>
      <c r="AX31" s="62">
        <v>1</v>
      </c>
      <c r="AY31">
        <f>IF(AV31="", AS31,IF(AV31=MIN(AV$31:AV$38),AS31+1,0))</f>
        <v>0</v>
      </c>
      <c r="AZ31">
        <f>AY31*$F$2</f>
        <v>0</v>
      </c>
      <c r="BA31" s="63">
        <f t="shared" ref="BA31:BA38" si="49">MOD($F5+AZ31+$B$29,$F$1)</f>
        <v>3</v>
      </c>
      <c r="BB31" s="98"/>
      <c r="BC31" s="284"/>
      <c r="BD31" s="62">
        <v>1</v>
      </c>
      <c r="BE31">
        <f>IF(BB31="", AY31,IF(BB31=MIN(BB$31:BB$38),AY31+1,0))</f>
        <v>0</v>
      </c>
      <c r="BF31">
        <f>BE31*$F$2</f>
        <v>0</v>
      </c>
      <c r="BG31" s="63">
        <f t="shared" ref="BG31:BG38" si="50">MOD($F5+BF31+$B$29,$F$1)</f>
        <v>3</v>
      </c>
      <c r="BH31" s="98"/>
      <c r="BI31" s="287"/>
      <c r="BJ31" s="171"/>
      <c r="BK31" s="280"/>
      <c r="BL31" s="62">
        <v>1</v>
      </c>
      <c r="BM31">
        <f>IF(BH31="", BE31,IF(BH31=MIN(BH$31:BH$38),BE31+1,0))</f>
        <v>0</v>
      </c>
      <c r="BN31">
        <f>BM31*$F$2</f>
        <v>0</v>
      </c>
      <c r="BO31" s="63">
        <f t="shared" ref="BO31:BO38" si="51">MOD($F5+BN31+$B$29,$F$1)</f>
        <v>3</v>
      </c>
      <c r="BP31" s="149"/>
      <c r="BQ31" s="284"/>
      <c r="BR31" s="62">
        <v>1</v>
      </c>
      <c r="BS31">
        <f>IF(BP31="", BM31,IF(BP31=MIN(BP$31:BP$38),BM31+1,0))</f>
        <v>0</v>
      </c>
      <c r="BT31">
        <f>BS31*$F$2</f>
        <v>0</v>
      </c>
      <c r="BU31" s="63">
        <f t="shared" ref="BU31:BU38" si="52">MOD($F5+BT31+$B$29,$F$1)</f>
        <v>3</v>
      </c>
      <c r="BV31" s="149"/>
      <c r="BW31" s="284"/>
      <c r="BX31" s="62">
        <v>1</v>
      </c>
      <c r="BY31">
        <f>IF(BV31="", BS31,IF(BV31=MIN(BV$31:BV$38),BS31+1,0))</f>
        <v>0</v>
      </c>
      <c r="BZ31">
        <f>BY31*$F$2</f>
        <v>0</v>
      </c>
      <c r="CA31" s="63">
        <f t="shared" ref="CA31:CA38" si="53">MOD($F5+BZ31+$B$29,$F$1)</f>
        <v>3</v>
      </c>
      <c r="CB31" s="149"/>
      <c r="CC31" s="287"/>
    </row>
    <row r="32" spans="1:88" x14ac:dyDescent="0.45">
      <c r="A32" s="280"/>
      <c r="B32" s="1">
        <v>2</v>
      </c>
      <c r="C32">
        <f t="shared" ref="C32:C38" si="54">IF(B32=MIN(B$21:B$28),1,0)</f>
        <v>0</v>
      </c>
      <c r="D32">
        <v>0</v>
      </c>
      <c r="E32" s="30">
        <f t="shared" ref="E32:E38" si="55">MOD($F6+D32+$B$29,$F$1)</f>
        <v>15</v>
      </c>
      <c r="F32" s="150">
        <v>13</v>
      </c>
      <c r="G32" s="287"/>
      <c r="H32" s="174"/>
      <c r="I32" s="280"/>
      <c r="J32" s="1">
        <v>2</v>
      </c>
      <c r="K32">
        <f t="shared" ref="K32:K38" si="56">IF(F32="", C32,IF(F32=MIN(F$31:F$38),C32+1,0))</f>
        <v>1</v>
      </c>
      <c r="L32">
        <f>K32*$F$2</f>
        <v>8</v>
      </c>
      <c r="M32" s="30">
        <f t="shared" si="40"/>
        <v>7</v>
      </c>
      <c r="N32" s="150">
        <v>7</v>
      </c>
      <c r="O32" s="284"/>
      <c r="P32" s="1">
        <v>2</v>
      </c>
      <c r="Q32">
        <f>IF(N32="", K32,IF(N32=MIN(N$31:N$38),K32+1,0))</f>
        <v>2</v>
      </c>
      <c r="R32">
        <f t="shared" ref="R32:R38" si="57">Q32*$F$2</f>
        <v>16</v>
      </c>
      <c r="S32" s="30">
        <f t="shared" si="42"/>
        <v>15</v>
      </c>
      <c r="T32" s="150"/>
      <c r="U32" s="287"/>
      <c r="V32" s="174"/>
      <c r="W32" s="280"/>
      <c r="X32" s="115">
        <v>2</v>
      </c>
      <c r="Y32">
        <f t="shared" ref="Y32:Y38" si="58">IF(T32="", Q32,IF(T32=MIN(T$31:T$38),Q32+1,0))</f>
        <v>2</v>
      </c>
      <c r="Z32" s="113">
        <f t="shared" ref="Z32:Z38" si="59">Y32*$F$2</f>
        <v>16</v>
      </c>
      <c r="AA32" s="116">
        <f t="shared" si="43"/>
        <v>15</v>
      </c>
      <c r="AB32" s="166">
        <v>5</v>
      </c>
      <c r="AC32" s="284"/>
      <c r="AD32" s="1">
        <v>2</v>
      </c>
      <c r="AE32">
        <f>IF(AB32="", Y32,IF(AB32=MIN(AB$31:AB$38),Y32+1,0))</f>
        <v>3</v>
      </c>
      <c r="AF32">
        <f t="shared" ref="AF32:AF38" si="60">AE32*$F$2</f>
        <v>24</v>
      </c>
      <c r="AG32" s="30">
        <f t="shared" si="45"/>
        <v>7</v>
      </c>
      <c r="AH32" s="150">
        <v>13</v>
      </c>
      <c r="AI32" s="284"/>
      <c r="AJ32" s="1">
        <v>2</v>
      </c>
      <c r="AK32">
        <f t="shared" si="20"/>
        <v>0</v>
      </c>
      <c r="AL32">
        <f t="shared" ref="AL32:AL38" si="61">AK32*$F$2</f>
        <v>0</v>
      </c>
      <c r="AM32" s="30">
        <f t="shared" si="46"/>
        <v>15</v>
      </c>
      <c r="AN32" s="150"/>
      <c r="AO32" s="287"/>
      <c r="AP32" s="174"/>
      <c r="AQ32" s="280"/>
      <c r="AR32" s="1">
        <v>2</v>
      </c>
      <c r="AS32">
        <f t="shared" si="47"/>
        <v>0</v>
      </c>
      <c r="AT32">
        <f t="shared" ref="AT32:AT38" si="62">AS32*$F$2</f>
        <v>0</v>
      </c>
      <c r="AU32" s="30">
        <f t="shared" si="48"/>
        <v>15</v>
      </c>
      <c r="AV32" s="96">
        <v>5</v>
      </c>
      <c r="AW32" s="284"/>
      <c r="AX32" s="1">
        <v>2</v>
      </c>
      <c r="AY32">
        <f>IF(AV32="", AS32,IF(AV32=MIN(AV$31:AV$38),AS32+1,0))</f>
        <v>1</v>
      </c>
      <c r="AZ32">
        <f t="shared" ref="AZ32:AZ38" si="63">AY32*$F$2</f>
        <v>8</v>
      </c>
      <c r="BA32" s="30">
        <f t="shared" si="49"/>
        <v>7</v>
      </c>
      <c r="BB32" s="96">
        <v>15</v>
      </c>
      <c r="BC32" s="284"/>
      <c r="BD32" s="1">
        <v>2</v>
      </c>
      <c r="BE32">
        <f>IF(BB32="", AY32,IF(BB32=MIN(BB$31:BB$38),AY32+1,0))</f>
        <v>2</v>
      </c>
      <c r="BF32">
        <f t="shared" ref="BF32:BF38" si="64">BE32*$F$2</f>
        <v>16</v>
      </c>
      <c r="BG32" s="30">
        <f t="shared" si="50"/>
        <v>15</v>
      </c>
      <c r="BH32" s="96"/>
      <c r="BI32" s="287"/>
      <c r="BJ32" s="171"/>
      <c r="BK32" s="280"/>
      <c r="BL32" s="1">
        <v>2</v>
      </c>
      <c r="BM32">
        <f t="shared" ref="BM32:BM38" si="65">IF(BH32="", BE32,IF(BH32=MIN(BH$31:BH$38),BE32+1,0))</f>
        <v>2</v>
      </c>
      <c r="BN32">
        <f t="shared" ref="BN32:BN38" si="66">BM32*$F$2</f>
        <v>16</v>
      </c>
      <c r="BO32" s="30">
        <f t="shared" si="51"/>
        <v>15</v>
      </c>
      <c r="BP32" s="150">
        <v>5</v>
      </c>
      <c r="BQ32" s="284"/>
      <c r="BR32" s="1">
        <v>2</v>
      </c>
      <c r="BS32">
        <f>IF(BP32="", BM32,IF(BP32=MIN(BP$31:BP$38),BM32+1,0))</f>
        <v>3</v>
      </c>
      <c r="BT32">
        <f t="shared" ref="BT32:BT38" si="67">BS32*$F$2</f>
        <v>24</v>
      </c>
      <c r="BU32" s="30">
        <f t="shared" si="52"/>
        <v>7</v>
      </c>
      <c r="BV32" s="150">
        <v>13</v>
      </c>
      <c r="BW32" s="284"/>
      <c r="BX32" s="1">
        <v>2</v>
      </c>
      <c r="BY32">
        <f>IF(BV32="", BS32,IF(BV32=MIN(BV$31:BV$38),BS32+1,0))</f>
        <v>4</v>
      </c>
      <c r="BZ32">
        <f t="shared" ref="BZ32:BZ38" si="68">BY32*$F$2</f>
        <v>32</v>
      </c>
      <c r="CA32" s="30">
        <f t="shared" si="53"/>
        <v>15</v>
      </c>
      <c r="CB32" s="150"/>
      <c r="CC32" s="287"/>
    </row>
    <row r="33" spans="1:88" s="71" customFormat="1" x14ac:dyDescent="0.45">
      <c r="A33" s="280"/>
      <c r="B33" s="75">
        <v>3</v>
      </c>
      <c r="C33">
        <f t="shared" si="54"/>
        <v>0</v>
      </c>
      <c r="D33">
        <v>0</v>
      </c>
      <c r="E33" s="30">
        <f t="shared" si="55"/>
        <v>10</v>
      </c>
      <c r="F33" s="150"/>
      <c r="G33" s="287"/>
      <c r="H33" s="174"/>
      <c r="I33" s="280"/>
      <c r="J33" s="75">
        <v>3</v>
      </c>
      <c r="K33">
        <f t="shared" si="56"/>
        <v>0</v>
      </c>
      <c r="L33">
        <f t="shared" ref="L33:L38" si="69">K33*$F$2</f>
        <v>0</v>
      </c>
      <c r="M33" s="30">
        <f t="shared" si="40"/>
        <v>10</v>
      </c>
      <c r="N33" s="150"/>
      <c r="O33" s="284"/>
      <c r="P33" s="75">
        <v>3</v>
      </c>
      <c r="Q33">
        <f t="shared" ref="Q33:Q38" si="70">IF(N33="", K33,IF(N33=MIN(N$31:N$38),K33+1,0))</f>
        <v>0</v>
      </c>
      <c r="R33">
        <f t="shared" si="57"/>
        <v>0</v>
      </c>
      <c r="S33" s="30">
        <f t="shared" si="42"/>
        <v>10</v>
      </c>
      <c r="T33" s="150"/>
      <c r="U33" s="287"/>
      <c r="V33" s="174"/>
      <c r="W33" s="280"/>
      <c r="X33" s="117">
        <v>3</v>
      </c>
      <c r="Y33">
        <f t="shared" si="58"/>
        <v>0</v>
      </c>
      <c r="Z33" s="113">
        <f t="shared" si="59"/>
        <v>0</v>
      </c>
      <c r="AA33" s="116">
        <f t="shared" si="43"/>
        <v>10</v>
      </c>
      <c r="AB33" s="166"/>
      <c r="AC33" s="284"/>
      <c r="AD33" s="75">
        <v>3</v>
      </c>
      <c r="AE33">
        <f t="shared" si="44"/>
        <v>0</v>
      </c>
      <c r="AF33">
        <f t="shared" si="60"/>
        <v>0</v>
      </c>
      <c r="AG33" s="30">
        <f t="shared" si="45"/>
        <v>10</v>
      </c>
      <c r="AH33" s="150"/>
      <c r="AI33" s="284"/>
      <c r="AJ33" s="75">
        <v>3</v>
      </c>
      <c r="AK33">
        <f t="shared" si="20"/>
        <v>0</v>
      </c>
      <c r="AL33">
        <f t="shared" si="61"/>
        <v>0</v>
      </c>
      <c r="AM33" s="30">
        <f t="shared" si="46"/>
        <v>10</v>
      </c>
      <c r="AN33" s="150"/>
      <c r="AO33" s="287"/>
      <c r="AP33" s="174"/>
      <c r="AQ33" s="280"/>
      <c r="AR33" s="75">
        <v>3</v>
      </c>
      <c r="AS33">
        <f t="shared" si="47"/>
        <v>0</v>
      </c>
      <c r="AT33">
        <f t="shared" si="62"/>
        <v>0</v>
      </c>
      <c r="AU33" s="30">
        <f t="shared" si="48"/>
        <v>10</v>
      </c>
      <c r="AV33" s="96"/>
      <c r="AW33" s="284"/>
      <c r="AX33" s="75">
        <v>3</v>
      </c>
      <c r="AY33">
        <f t="shared" ref="AY33:AY38" si="71">IF(AV33="", AS33,IF(AV33=MIN(AV$31:AV$38),AS33+1,0))</f>
        <v>0</v>
      </c>
      <c r="AZ33">
        <f t="shared" si="63"/>
        <v>0</v>
      </c>
      <c r="BA33" s="30">
        <f t="shared" si="49"/>
        <v>10</v>
      </c>
      <c r="BB33" s="96"/>
      <c r="BC33" s="284"/>
      <c r="BD33" s="75">
        <v>3</v>
      </c>
      <c r="BE33">
        <f t="shared" ref="BE33:BE38" si="72">IF(BB33="", AY33,IF(BB33=MIN(BB$31:BB$38),AY33+1,0))</f>
        <v>0</v>
      </c>
      <c r="BF33">
        <f t="shared" si="64"/>
        <v>0</v>
      </c>
      <c r="BG33" s="30">
        <f t="shared" si="50"/>
        <v>10</v>
      </c>
      <c r="BH33" s="96"/>
      <c r="BI33" s="287"/>
      <c r="BJ33" s="171"/>
      <c r="BK33" s="280"/>
      <c r="BL33" s="75">
        <v>3</v>
      </c>
      <c r="BM33">
        <f t="shared" si="65"/>
        <v>0</v>
      </c>
      <c r="BN33">
        <f t="shared" si="66"/>
        <v>0</v>
      </c>
      <c r="BO33" s="30">
        <f t="shared" si="51"/>
        <v>10</v>
      </c>
      <c r="BP33" s="150"/>
      <c r="BQ33" s="284"/>
      <c r="BR33" s="75">
        <v>3</v>
      </c>
      <c r="BS33">
        <f t="shared" ref="BS33:BS38" si="73">IF(BP33="", BM33,IF(BP33=MIN(BP$31:BP$38),BM33+1,0))</f>
        <v>0</v>
      </c>
      <c r="BT33">
        <f t="shared" si="67"/>
        <v>0</v>
      </c>
      <c r="BU33" s="30">
        <f t="shared" si="52"/>
        <v>10</v>
      </c>
      <c r="BV33" s="150"/>
      <c r="BW33" s="284"/>
      <c r="BX33" s="75">
        <v>3</v>
      </c>
      <c r="BY33">
        <f t="shared" ref="BY33:BY38" si="74">IF(BV33="", BS33,IF(BV33=MIN(BV$31:BV$38),BS33+1,0))</f>
        <v>0</v>
      </c>
      <c r="BZ33">
        <f t="shared" si="68"/>
        <v>0</v>
      </c>
      <c r="CA33" s="30">
        <f t="shared" si="53"/>
        <v>10</v>
      </c>
      <c r="CB33" s="150"/>
      <c r="CC33" s="287"/>
      <c r="CD33"/>
      <c r="CE33"/>
      <c r="CF33"/>
      <c r="CG33"/>
      <c r="CH33"/>
      <c r="CI33"/>
      <c r="CJ33"/>
    </row>
    <row r="34" spans="1:88" x14ac:dyDescent="0.45">
      <c r="A34" s="280"/>
      <c r="B34" s="1">
        <v>4</v>
      </c>
      <c r="C34">
        <f t="shared" si="54"/>
        <v>0</v>
      </c>
      <c r="D34">
        <v>0</v>
      </c>
      <c r="E34" s="30">
        <f t="shared" si="55"/>
        <v>6</v>
      </c>
      <c r="F34" s="150"/>
      <c r="G34" s="287"/>
      <c r="H34" s="174"/>
      <c r="I34" s="280"/>
      <c r="J34" s="1">
        <v>4</v>
      </c>
      <c r="K34">
        <f t="shared" si="56"/>
        <v>0</v>
      </c>
      <c r="L34">
        <f t="shared" si="69"/>
        <v>0</v>
      </c>
      <c r="M34" s="30">
        <f t="shared" si="40"/>
        <v>6</v>
      </c>
      <c r="N34" s="150"/>
      <c r="O34" s="284"/>
      <c r="P34" s="1">
        <v>4</v>
      </c>
      <c r="Q34">
        <f t="shared" si="70"/>
        <v>0</v>
      </c>
      <c r="R34">
        <f t="shared" si="57"/>
        <v>0</v>
      </c>
      <c r="S34" s="30">
        <f t="shared" si="42"/>
        <v>6</v>
      </c>
      <c r="T34" s="150"/>
      <c r="U34" s="287"/>
      <c r="V34" s="174"/>
      <c r="W34" s="280"/>
      <c r="X34" s="115">
        <v>4</v>
      </c>
      <c r="Y34">
        <f t="shared" si="58"/>
        <v>0</v>
      </c>
      <c r="Z34" s="113">
        <f t="shared" si="59"/>
        <v>0</v>
      </c>
      <c r="AA34" s="116">
        <f t="shared" si="43"/>
        <v>6</v>
      </c>
      <c r="AB34" s="166"/>
      <c r="AC34" s="284"/>
      <c r="AD34" s="1">
        <v>4</v>
      </c>
      <c r="AE34">
        <f t="shared" si="44"/>
        <v>0</v>
      </c>
      <c r="AF34">
        <f t="shared" si="60"/>
        <v>0</v>
      </c>
      <c r="AG34" s="30">
        <f t="shared" si="45"/>
        <v>6</v>
      </c>
      <c r="AH34" s="150"/>
      <c r="AI34" s="284"/>
      <c r="AJ34" s="1">
        <v>4</v>
      </c>
      <c r="AK34">
        <f t="shared" si="20"/>
        <v>0</v>
      </c>
      <c r="AL34">
        <f t="shared" si="61"/>
        <v>0</v>
      </c>
      <c r="AM34" s="30">
        <f t="shared" si="46"/>
        <v>6</v>
      </c>
      <c r="AN34" s="150"/>
      <c r="AO34" s="287"/>
      <c r="AP34" s="174"/>
      <c r="AQ34" s="280"/>
      <c r="AR34" s="1">
        <v>4</v>
      </c>
      <c r="AS34">
        <f t="shared" si="47"/>
        <v>0</v>
      </c>
      <c r="AT34">
        <f t="shared" si="62"/>
        <v>0</v>
      </c>
      <c r="AU34" s="30">
        <f t="shared" si="48"/>
        <v>6</v>
      </c>
      <c r="AV34" s="96"/>
      <c r="AW34" s="284"/>
      <c r="AX34" s="1">
        <v>4</v>
      </c>
      <c r="AY34">
        <f t="shared" si="71"/>
        <v>0</v>
      </c>
      <c r="AZ34">
        <f t="shared" si="63"/>
        <v>0</v>
      </c>
      <c r="BA34" s="30">
        <f t="shared" si="49"/>
        <v>6</v>
      </c>
      <c r="BB34" s="96"/>
      <c r="BC34" s="284"/>
      <c r="BD34" s="1">
        <v>4</v>
      </c>
      <c r="BE34">
        <f t="shared" si="72"/>
        <v>0</v>
      </c>
      <c r="BF34">
        <f t="shared" si="64"/>
        <v>0</v>
      </c>
      <c r="BG34" s="30">
        <f t="shared" si="50"/>
        <v>6</v>
      </c>
      <c r="BH34" s="96"/>
      <c r="BI34" s="287"/>
      <c r="BJ34" s="171"/>
      <c r="BK34" s="280"/>
      <c r="BL34" s="1">
        <v>4</v>
      </c>
      <c r="BM34">
        <f t="shared" si="65"/>
        <v>0</v>
      </c>
      <c r="BN34">
        <f t="shared" si="66"/>
        <v>0</v>
      </c>
      <c r="BO34" s="30">
        <f t="shared" si="51"/>
        <v>6</v>
      </c>
      <c r="BP34" s="150"/>
      <c r="BQ34" s="284"/>
      <c r="BR34" s="1">
        <v>4</v>
      </c>
      <c r="BS34">
        <f t="shared" si="73"/>
        <v>0</v>
      </c>
      <c r="BT34">
        <f t="shared" si="67"/>
        <v>0</v>
      </c>
      <c r="BU34" s="30">
        <f t="shared" si="52"/>
        <v>6</v>
      </c>
      <c r="BV34" s="150"/>
      <c r="BW34" s="284"/>
      <c r="BX34" s="1">
        <v>4</v>
      </c>
      <c r="BY34">
        <f t="shared" si="74"/>
        <v>0</v>
      </c>
      <c r="BZ34">
        <f t="shared" si="68"/>
        <v>0</v>
      </c>
      <c r="CA34" s="30">
        <f t="shared" si="53"/>
        <v>6</v>
      </c>
      <c r="CB34" s="150"/>
      <c r="CC34" s="287"/>
    </row>
    <row r="35" spans="1:88" x14ac:dyDescent="0.45">
      <c r="A35" s="280"/>
      <c r="B35" s="1">
        <v>5</v>
      </c>
      <c r="C35">
        <f t="shared" si="54"/>
        <v>0</v>
      </c>
      <c r="D35">
        <v>0</v>
      </c>
      <c r="E35" s="30">
        <f t="shared" si="55"/>
        <v>0</v>
      </c>
      <c r="F35" s="150">
        <v>14</v>
      </c>
      <c r="G35" s="287"/>
      <c r="H35" s="174"/>
      <c r="I35" s="280"/>
      <c r="J35" s="1">
        <v>5</v>
      </c>
      <c r="K35">
        <f t="shared" si="56"/>
        <v>0</v>
      </c>
      <c r="L35">
        <f t="shared" si="69"/>
        <v>0</v>
      </c>
      <c r="M35" s="30">
        <f t="shared" si="40"/>
        <v>0</v>
      </c>
      <c r="N35" s="150"/>
      <c r="O35" s="284"/>
      <c r="P35" s="1">
        <v>5</v>
      </c>
      <c r="Q35">
        <f t="shared" si="70"/>
        <v>0</v>
      </c>
      <c r="R35">
        <f t="shared" si="57"/>
        <v>0</v>
      </c>
      <c r="S35" s="30">
        <f t="shared" si="42"/>
        <v>0</v>
      </c>
      <c r="T35" s="150"/>
      <c r="U35" s="287"/>
      <c r="V35" s="174"/>
      <c r="W35" s="280"/>
      <c r="X35" s="115">
        <v>5</v>
      </c>
      <c r="Y35">
        <f t="shared" si="58"/>
        <v>0</v>
      </c>
      <c r="Z35" s="113">
        <f t="shared" si="59"/>
        <v>0</v>
      </c>
      <c r="AA35" s="116">
        <f t="shared" si="43"/>
        <v>0</v>
      </c>
      <c r="AB35" s="166">
        <v>6</v>
      </c>
      <c r="AC35" s="284"/>
      <c r="AD35" s="1">
        <v>5</v>
      </c>
      <c r="AE35">
        <f t="shared" si="44"/>
        <v>0</v>
      </c>
      <c r="AF35">
        <f t="shared" si="60"/>
        <v>0</v>
      </c>
      <c r="AG35" s="30">
        <f t="shared" si="45"/>
        <v>0</v>
      </c>
      <c r="AH35" s="150"/>
      <c r="AI35" s="284"/>
      <c r="AJ35" s="1">
        <v>5</v>
      </c>
      <c r="AK35">
        <f t="shared" si="20"/>
        <v>0</v>
      </c>
      <c r="AL35">
        <f t="shared" si="61"/>
        <v>0</v>
      </c>
      <c r="AM35" s="30">
        <f t="shared" si="46"/>
        <v>0</v>
      </c>
      <c r="AN35" s="150"/>
      <c r="AO35" s="287"/>
      <c r="AP35" s="174"/>
      <c r="AQ35" s="280"/>
      <c r="AR35" s="1">
        <v>5</v>
      </c>
      <c r="AS35">
        <f t="shared" si="47"/>
        <v>0</v>
      </c>
      <c r="AT35">
        <f t="shared" si="62"/>
        <v>0</v>
      </c>
      <c r="AU35" s="30">
        <f t="shared" si="48"/>
        <v>0</v>
      </c>
      <c r="AV35" s="96">
        <v>6</v>
      </c>
      <c r="AW35" s="284"/>
      <c r="AX35" s="1">
        <v>5</v>
      </c>
      <c r="AY35">
        <f t="shared" si="71"/>
        <v>0</v>
      </c>
      <c r="AZ35">
        <f t="shared" si="63"/>
        <v>0</v>
      </c>
      <c r="BA35" s="30">
        <f t="shared" si="49"/>
        <v>0</v>
      </c>
      <c r="BB35" s="96"/>
      <c r="BC35" s="284"/>
      <c r="BD35" s="1">
        <v>5</v>
      </c>
      <c r="BE35">
        <f t="shared" si="72"/>
        <v>0</v>
      </c>
      <c r="BF35">
        <f t="shared" si="64"/>
        <v>0</v>
      </c>
      <c r="BG35" s="30">
        <f t="shared" si="50"/>
        <v>0</v>
      </c>
      <c r="BH35" s="96"/>
      <c r="BI35" s="287"/>
      <c r="BJ35" s="171"/>
      <c r="BK35" s="280"/>
      <c r="BL35" s="1">
        <v>5</v>
      </c>
      <c r="BM35">
        <f t="shared" si="65"/>
        <v>0</v>
      </c>
      <c r="BN35">
        <f t="shared" si="66"/>
        <v>0</v>
      </c>
      <c r="BO35" s="30">
        <f t="shared" si="51"/>
        <v>0</v>
      </c>
      <c r="BP35" s="150">
        <v>6</v>
      </c>
      <c r="BQ35" s="284"/>
      <c r="BR35" s="1">
        <v>5</v>
      </c>
      <c r="BS35">
        <f t="shared" si="73"/>
        <v>0</v>
      </c>
      <c r="BT35">
        <f t="shared" si="67"/>
        <v>0</v>
      </c>
      <c r="BU35" s="30">
        <f t="shared" si="52"/>
        <v>0</v>
      </c>
      <c r="BV35" s="150"/>
      <c r="BW35" s="284"/>
      <c r="BX35" s="1">
        <v>5</v>
      </c>
      <c r="BY35">
        <f t="shared" si="74"/>
        <v>0</v>
      </c>
      <c r="BZ35">
        <f t="shared" si="68"/>
        <v>0</v>
      </c>
      <c r="CA35" s="30">
        <f t="shared" si="53"/>
        <v>0</v>
      </c>
      <c r="CB35" s="150"/>
      <c r="CC35" s="287"/>
    </row>
    <row r="36" spans="1:88" x14ac:dyDescent="0.45">
      <c r="A36" s="280"/>
      <c r="B36" s="1">
        <v>6</v>
      </c>
      <c r="C36">
        <f t="shared" si="54"/>
        <v>0</v>
      </c>
      <c r="D36">
        <v>0</v>
      </c>
      <c r="E36" s="30">
        <f t="shared" si="55"/>
        <v>12</v>
      </c>
      <c r="F36" s="150"/>
      <c r="G36" s="287"/>
      <c r="H36" s="174"/>
      <c r="I36" s="280"/>
      <c r="J36" s="1">
        <v>6</v>
      </c>
      <c r="K36">
        <f t="shared" si="56"/>
        <v>0</v>
      </c>
      <c r="L36">
        <f t="shared" si="69"/>
        <v>0</v>
      </c>
      <c r="M36" s="30">
        <f t="shared" si="40"/>
        <v>12</v>
      </c>
      <c r="N36" s="150"/>
      <c r="O36" s="284"/>
      <c r="P36" s="1">
        <v>6</v>
      </c>
      <c r="Q36">
        <f t="shared" si="70"/>
        <v>0</v>
      </c>
      <c r="R36">
        <f t="shared" si="57"/>
        <v>0</v>
      </c>
      <c r="S36" s="30">
        <f t="shared" si="42"/>
        <v>12</v>
      </c>
      <c r="T36" s="150"/>
      <c r="U36" s="287"/>
      <c r="V36" s="174"/>
      <c r="W36" s="280"/>
      <c r="X36" s="115">
        <v>6</v>
      </c>
      <c r="Y36">
        <f t="shared" si="58"/>
        <v>0</v>
      </c>
      <c r="Z36" s="113">
        <f t="shared" si="59"/>
        <v>0</v>
      </c>
      <c r="AA36" s="116">
        <f t="shared" si="43"/>
        <v>12</v>
      </c>
      <c r="AB36" s="166"/>
      <c r="AC36" s="284"/>
      <c r="AD36" s="1">
        <v>6</v>
      </c>
      <c r="AE36">
        <f t="shared" si="44"/>
        <v>0</v>
      </c>
      <c r="AF36">
        <f t="shared" si="60"/>
        <v>0</v>
      </c>
      <c r="AG36" s="30">
        <f t="shared" si="45"/>
        <v>12</v>
      </c>
      <c r="AH36" s="150"/>
      <c r="AI36" s="284"/>
      <c r="AJ36" s="1">
        <v>6</v>
      </c>
      <c r="AK36">
        <f t="shared" si="20"/>
        <v>0</v>
      </c>
      <c r="AL36">
        <f t="shared" si="61"/>
        <v>0</v>
      </c>
      <c r="AM36" s="30">
        <f t="shared" si="46"/>
        <v>12</v>
      </c>
      <c r="AN36" s="150"/>
      <c r="AO36" s="287"/>
      <c r="AP36" s="174"/>
      <c r="AQ36" s="280"/>
      <c r="AR36" s="1">
        <v>6</v>
      </c>
      <c r="AS36">
        <f t="shared" si="47"/>
        <v>0</v>
      </c>
      <c r="AT36">
        <f t="shared" si="62"/>
        <v>0</v>
      </c>
      <c r="AU36" s="30">
        <f t="shared" si="48"/>
        <v>12</v>
      </c>
      <c r="AV36" s="96"/>
      <c r="AW36" s="284"/>
      <c r="AX36" s="1">
        <v>6</v>
      </c>
      <c r="AY36">
        <f t="shared" si="71"/>
        <v>0</v>
      </c>
      <c r="AZ36">
        <f t="shared" si="63"/>
        <v>0</v>
      </c>
      <c r="BA36" s="30">
        <f t="shared" si="49"/>
        <v>12</v>
      </c>
      <c r="BB36" s="96"/>
      <c r="BC36" s="284"/>
      <c r="BD36" s="1">
        <v>6</v>
      </c>
      <c r="BE36">
        <f t="shared" si="72"/>
        <v>0</v>
      </c>
      <c r="BF36">
        <f t="shared" si="64"/>
        <v>0</v>
      </c>
      <c r="BG36" s="30">
        <f t="shared" si="50"/>
        <v>12</v>
      </c>
      <c r="BH36" s="96"/>
      <c r="BI36" s="287"/>
      <c r="BJ36" s="171"/>
      <c r="BK36" s="280"/>
      <c r="BL36" s="1">
        <v>6</v>
      </c>
      <c r="BM36">
        <f t="shared" si="65"/>
        <v>0</v>
      </c>
      <c r="BN36">
        <f t="shared" si="66"/>
        <v>0</v>
      </c>
      <c r="BO36" s="30">
        <f t="shared" si="51"/>
        <v>12</v>
      </c>
      <c r="BP36" s="150"/>
      <c r="BQ36" s="284"/>
      <c r="BR36" s="1">
        <v>6</v>
      </c>
      <c r="BS36">
        <f t="shared" si="73"/>
        <v>0</v>
      </c>
      <c r="BT36">
        <f t="shared" si="67"/>
        <v>0</v>
      </c>
      <c r="BU36" s="30">
        <f t="shared" si="52"/>
        <v>12</v>
      </c>
      <c r="BV36" s="150"/>
      <c r="BW36" s="284"/>
      <c r="BX36" s="1">
        <v>6</v>
      </c>
      <c r="BY36">
        <f t="shared" si="74"/>
        <v>0</v>
      </c>
      <c r="BZ36">
        <f t="shared" si="68"/>
        <v>0</v>
      </c>
      <c r="CA36" s="30">
        <f t="shared" si="53"/>
        <v>12</v>
      </c>
      <c r="CB36" s="150"/>
      <c r="CC36" s="287"/>
    </row>
    <row r="37" spans="1:88" x14ac:dyDescent="0.45">
      <c r="A37" s="280"/>
      <c r="B37" s="1">
        <v>7</v>
      </c>
      <c r="C37">
        <f t="shared" si="54"/>
        <v>0</v>
      </c>
      <c r="D37">
        <v>0</v>
      </c>
      <c r="E37" s="30">
        <f t="shared" si="55"/>
        <v>9</v>
      </c>
      <c r="F37" s="150"/>
      <c r="G37" s="287"/>
      <c r="H37" s="174"/>
      <c r="I37" s="280"/>
      <c r="J37" s="1">
        <v>7</v>
      </c>
      <c r="K37">
        <f t="shared" si="56"/>
        <v>0</v>
      </c>
      <c r="L37">
        <f t="shared" si="69"/>
        <v>0</v>
      </c>
      <c r="M37" s="30">
        <f t="shared" si="40"/>
        <v>9</v>
      </c>
      <c r="N37" s="150">
        <v>8</v>
      </c>
      <c r="O37" s="284"/>
      <c r="P37" s="1">
        <v>7</v>
      </c>
      <c r="Q37">
        <f t="shared" si="70"/>
        <v>0</v>
      </c>
      <c r="R37">
        <f t="shared" si="57"/>
        <v>0</v>
      </c>
      <c r="S37" s="30">
        <f t="shared" si="42"/>
        <v>9</v>
      </c>
      <c r="T37" s="150"/>
      <c r="U37" s="287"/>
      <c r="V37" s="174"/>
      <c r="W37" s="280"/>
      <c r="X37" s="115">
        <v>7</v>
      </c>
      <c r="Y37">
        <f t="shared" si="58"/>
        <v>0</v>
      </c>
      <c r="Z37" s="113">
        <f t="shared" si="59"/>
        <v>0</v>
      </c>
      <c r="AA37" s="116">
        <f t="shared" si="43"/>
        <v>9</v>
      </c>
      <c r="AB37" s="166"/>
      <c r="AC37" s="284"/>
      <c r="AD37" s="1">
        <v>7</v>
      </c>
      <c r="AE37">
        <f t="shared" si="44"/>
        <v>0</v>
      </c>
      <c r="AF37">
        <f t="shared" si="60"/>
        <v>0</v>
      </c>
      <c r="AG37" s="30">
        <f t="shared" si="45"/>
        <v>9</v>
      </c>
      <c r="AH37" s="150">
        <v>14</v>
      </c>
      <c r="AI37" s="284"/>
      <c r="AJ37" s="1">
        <v>7</v>
      </c>
      <c r="AK37">
        <f t="shared" si="20"/>
        <v>0</v>
      </c>
      <c r="AL37">
        <f t="shared" si="61"/>
        <v>0</v>
      </c>
      <c r="AM37" s="30">
        <f t="shared" si="46"/>
        <v>9</v>
      </c>
      <c r="AN37" s="150"/>
      <c r="AO37" s="287"/>
      <c r="AP37" s="174"/>
      <c r="AQ37" s="280"/>
      <c r="AR37" s="1">
        <v>7</v>
      </c>
      <c r="AS37">
        <f t="shared" si="47"/>
        <v>0</v>
      </c>
      <c r="AT37">
        <f t="shared" si="62"/>
        <v>0</v>
      </c>
      <c r="AU37" s="30">
        <f t="shared" si="48"/>
        <v>9</v>
      </c>
      <c r="AV37" s="96"/>
      <c r="AW37" s="284"/>
      <c r="AX37" s="1">
        <v>7</v>
      </c>
      <c r="AY37">
        <f t="shared" si="71"/>
        <v>0</v>
      </c>
      <c r="AZ37">
        <f t="shared" si="63"/>
        <v>0</v>
      </c>
      <c r="BA37" s="30">
        <f t="shared" si="49"/>
        <v>9</v>
      </c>
      <c r="BB37" s="96">
        <v>16</v>
      </c>
      <c r="BC37" s="284"/>
      <c r="BD37" s="1">
        <v>7</v>
      </c>
      <c r="BE37">
        <f t="shared" si="72"/>
        <v>0</v>
      </c>
      <c r="BF37">
        <f t="shared" si="64"/>
        <v>0</v>
      </c>
      <c r="BG37" s="30">
        <f t="shared" si="50"/>
        <v>9</v>
      </c>
      <c r="BH37" s="96"/>
      <c r="BI37" s="287"/>
      <c r="BJ37" s="171"/>
      <c r="BK37" s="280"/>
      <c r="BL37" s="1">
        <v>7</v>
      </c>
      <c r="BM37">
        <f t="shared" si="65"/>
        <v>0</v>
      </c>
      <c r="BN37">
        <f t="shared" si="66"/>
        <v>0</v>
      </c>
      <c r="BO37" s="30">
        <f t="shared" si="51"/>
        <v>9</v>
      </c>
      <c r="BP37" s="150"/>
      <c r="BQ37" s="284"/>
      <c r="BR37" s="1">
        <v>7</v>
      </c>
      <c r="BS37">
        <f t="shared" si="73"/>
        <v>0</v>
      </c>
      <c r="BT37">
        <f t="shared" si="67"/>
        <v>0</v>
      </c>
      <c r="BU37" s="30">
        <f t="shared" si="52"/>
        <v>9</v>
      </c>
      <c r="BV37" s="150">
        <v>14</v>
      </c>
      <c r="BW37" s="284"/>
      <c r="BX37" s="1">
        <v>7</v>
      </c>
      <c r="BY37">
        <f t="shared" si="74"/>
        <v>0</v>
      </c>
      <c r="BZ37">
        <f t="shared" si="68"/>
        <v>0</v>
      </c>
      <c r="CA37" s="30">
        <f t="shared" si="53"/>
        <v>9</v>
      </c>
      <c r="CB37" s="150"/>
      <c r="CC37" s="287"/>
    </row>
    <row r="38" spans="1:88" s="79" customFormat="1" x14ac:dyDescent="0.45">
      <c r="A38" s="281"/>
      <c r="B38" s="51">
        <v>8</v>
      </c>
      <c r="C38" s="53">
        <f t="shared" si="54"/>
        <v>0</v>
      </c>
      <c r="D38" s="53">
        <v>0</v>
      </c>
      <c r="E38" s="54">
        <f t="shared" si="55"/>
        <v>5</v>
      </c>
      <c r="F38" s="151"/>
      <c r="G38" s="287"/>
      <c r="H38" s="174"/>
      <c r="I38" s="281"/>
      <c r="J38" s="51">
        <v>8</v>
      </c>
      <c r="K38">
        <f t="shared" si="56"/>
        <v>0</v>
      </c>
      <c r="L38" s="53">
        <f t="shared" si="69"/>
        <v>0</v>
      </c>
      <c r="M38" s="54">
        <f t="shared" si="40"/>
        <v>5</v>
      </c>
      <c r="N38" s="151"/>
      <c r="O38" s="285"/>
      <c r="P38" s="51">
        <v>8</v>
      </c>
      <c r="Q38">
        <f t="shared" si="70"/>
        <v>0</v>
      </c>
      <c r="R38" s="53">
        <f t="shared" si="57"/>
        <v>0</v>
      </c>
      <c r="S38" s="54">
        <f t="shared" si="42"/>
        <v>5</v>
      </c>
      <c r="T38" s="151"/>
      <c r="U38" s="287"/>
      <c r="V38" s="174"/>
      <c r="W38" s="281"/>
      <c r="X38" s="118">
        <v>8</v>
      </c>
      <c r="Y38">
        <f t="shared" si="58"/>
        <v>0</v>
      </c>
      <c r="Z38" s="119">
        <f t="shared" si="59"/>
        <v>0</v>
      </c>
      <c r="AA38" s="120">
        <f t="shared" si="43"/>
        <v>5</v>
      </c>
      <c r="AB38" s="167"/>
      <c r="AC38" s="285"/>
      <c r="AD38" s="51">
        <v>8</v>
      </c>
      <c r="AE38">
        <f t="shared" si="44"/>
        <v>0</v>
      </c>
      <c r="AF38" s="53">
        <f t="shared" si="60"/>
        <v>0</v>
      </c>
      <c r="AG38" s="54">
        <f t="shared" si="45"/>
        <v>5</v>
      </c>
      <c r="AH38" s="151"/>
      <c r="AI38" s="285"/>
      <c r="AJ38" s="51">
        <v>8</v>
      </c>
      <c r="AK38">
        <f t="shared" si="20"/>
        <v>0</v>
      </c>
      <c r="AL38" s="53">
        <f t="shared" si="61"/>
        <v>0</v>
      </c>
      <c r="AM38" s="54">
        <f t="shared" si="46"/>
        <v>5</v>
      </c>
      <c r="AN38" s="151"/>
      <c r="AO38" s="287"/>
      <c r="AP38" s="174"/>
      <c r="AQ38" s="281"/>
      <c r="AR38" s="51">
        <v>8</v>
      </c>
      <c r="AS38">
        <f t="shared" si="47"/>
        <v>0</v>
      </c>
      <c r="AT38" s="53">
        <f t="shared" si="62"/>
        <v>0</v>
      </c>
      <c r="AU38" s="54">
        <f t="shared" si="48"/>
        <v>5</v>
      </c>
      <c r="AV38" s="97"/>
      <c r="AW38" s="285"/>
      <c r="AX38" s="51">
        <v>8</v>
      </c>
      <c r="AY38">
        <f t="shared" si="71"/>
        <v>0</v>
      </c>
      <c r="AZ38" s="53">
        <f t="shared" si="63"/>
        <v>0</v>
      </c>
      <c r="BA38" s="54">
        <f t="shared" si="49"/>
        <v>5</v>
      </c>
      <c r="BB38" s="97"/>
      <c r="BC38" s="285"/>
      <c r="BD38" s="51">
        <v>8</v>
      </c>
      <c r="BE38">
        <f t="shared" si="72"/>
        <v>0</v>
      </c>
      <c r="BF38" s="53">
        <f t="shared" si="64"/>
        <v>0</v>
      </c>
      <c r="BG38" s="54">
        <f t="shared" si="50"/>
        <v>5</v>
      </c>
      <c r="BH38" s="97"/>
      <c r="BI38" s="287"/>
      <c r="BJ38" s="171"/>
      <c r="BK38" s="281"/>
      <c r="BL38" s="51">
        <v>8</v>
      </c>
      <c r="BM38">
        <f t="shared" si="65"/>
        <v>0</v>
      </c>
      <c r="BN38" s="53">
        <f t="shared" si="66"/>
        <v>0</v>
      </c>
      <c r="BO38" s="54">
        <f t="shared" si="51"/>
        <v>5</v>
      </c>
      <c r="BP38" s="151"/>
      <c r="BQ38" s="285"/>
      <c r="BR38" s="51">
        <v>8</v>
      </c>
      <c r="BS38">
        <f t="shared" si="73"/>
        <v>0</v>
      </c>
      <c r="BT38" s="53">
        <f t="shared" si="67"/>
        <v>0</v>
      </c>
      <c r="BU38" s="54">
        <f t="shared" si="52"/>
        <v>5</v>
      </c>
      <c r="BV38" s="151"/>
      <c r="BW38" s="285"/>
      <c r="BX38" s="51">
        <v>8</v>
      </c>
      <c r="BY38">
        <f t="shared" si="74"/>
        <v>0</v>
      </c>
      <c r="BZ38" s="53">
        <f t="shared" si="68"/>
        <v>0</v>
      </c>
      <c r="CA38" s="54">
        <f t="shared" si="53"/>
        <v>5</v>
      </c>
      <c r="CB38" s="151"/>
      <c r="CC38" s="287"/>
      <c r="CD38"/>
      <c r="CE38"/>
      <c r="CF38"/>
      <c r="CG38"/>
      <c r="CH38"/>
      <c r="CI38"/>
      <c r="CJ38"/>
    </row>
    <row r="39" spans="1:88" s="79" customFormat="1" x14ac:dyDescent="0.45">
      <c r="A39" s="279">
        <v>3</v>
      </c>
      <c r="B39" s="48">
        <f>G7</f>
        <v>14</v>
      </c>
      <c r="C39" s="87" t="s">
        <v>154</v>
      </c>
      <c r="D39" s="10" t="s">
        <v>158</v>
      </c>
      <c r="E39" s="88" t="s">
        <v>152</v>
      </c>
      <c r="F39" s="152"/>
      <c r="G39" s="287">
        <f>IF(COUNT(F40:F48) &gt;0, COUNT(F40:F48)/2,"")</f>
        <v>1</v>
      </c>
      <c r="H39" s="174"/>
      <c r="I39" s="279">
        <v>3</v>
      </c>
      <c r="J39" s="93"/>
      <c r="K39" s="87" t="s">
        <v>154</v>
      </c>
      <c r="L39" s="10" t="s">
        <v>158</v>
      </c>
      <c r="M39" s="88" t="s">
        <v>152</v>
      </c>
      <c r="N39" s="152"/>
      <c r="O39" s="286">
        <v>3</v>
      </c>
      <c r="P39" s="93"/>
      <c r="Q39" s="87" t="s">
        <v>154</v>
      </c>
      <c r="R39" s="10" t="s">
        <v>158</v>
      </c>
      <c r="S39" s="88" t="s">
        <v>152</v>
      </c>
      <c r="T39" s="152"/>
      <c r="U39" s="287">
        <f>IF(COUNT(N40:N48,T40:T48) &gt;0, COUNT(N40:N48,T40:T48)/2,"")</f>
        <v>1</v>
      </c>
      <c r="V39" s="174"/>
      <c r="W39" s="279">
        <v>3</v>
      </c>
      <c r="X39" s="93"/>
      <c r="Y39" s="87" t="s">
        <v>154</v>
      </c>
      <c r="Z39" s="121" t="s">
        <v>158</v>
      </c>
      <c r="AA39" s="122" t="s">
        <v>152</v>
      </c>
      <c r="AB39" s="160"/>
      <c r="AC39" s="286">
        <v>3</v>
      </c>
      <c r="AD39" s="93"/>
      <c r="AE39" s="87" t="s">
        <v>154</v>
      </c>
      <c r="AF39" s="10" t="s">
        <v>158</v>
      </c>
      <c r="AG39" s="88" t="s">
        <v>152</v>
      </c>
      <c r="AH39" s="152"/>
      <c r="AI39" s="286">
        <v>3</v>
      </c>
      <c r="AJ39" s="93"/>
      <c r="AK39" t="str">
        <f t="shared" si="20"/>
        <v xml:space="preserve">CTR </v>
      </c>
      <c r="AL39" s="10" t="s">
        <v>158</v>
      </c>
      <c r="AM39" s="88" t="s">
        <v>152</v>
      </c>
      <c r="AN39" s="152"/>
      <c r="AO39" s="287">
        <f>IF(COUNT(AB40:AB48,AH40:AH48,AN40:AN48) &gt;0, COUNT(AB40:AB48,AH40:AH48,AN40:AN48) /2,"")</f>
        <v>1</v>
      </c>
      <c r="AP39" s="174"/>
      <c r="AQ39" s="279">
        <v>3</v>
      </c>
      <c r="AR39" s="93"/>
      <c r="AS39" s="87" t="s">
        <v>154</v>
      </c>
      <c r="AT39" s="10" t="s">
        <v>158</v>
      </c>
      <c r="AU39" s="88" t="s">
        <v>152</v>
      </c>
      <c r="AV39" s="94"/>
      <c r="AW39" s="286">
        <v>3</v>
      </c>
      <c r="AX39" s="93"/>
      <c r="AY39" s="87" t="s">
        <v>154</v>
      </c>
      <c r="AZ39" s="10" t="s">
        <v>158</v>
      </c>
      <c r="BA39" s="88" t="s">
        <v>152</v>
      </c>
      <c r="BB39" s="94"/>
      <c r="BC39" s="286">
        <v>3</v>
      </c>
      <c r="BD39" s="93"/>
      <c r="BE39" s="87" t="s">
        <v>154</v>
      </c>
      <c r="BF39" s="10" t="s">
        <v>158</v>
      </c>
      <c r="BG39" s="88" t="s">
        <v>152</v>
      </c>
      <c r="BH39" s="94"/>
      <c r="BI39" s="287">
        <f>IF(COUNT(AV40:AV48,BB40:BB48,BH40:BH48) &gt;0, COUNT(AV40:AV48,BB40:BB48,BH40:BH48) /2,"")</f>
        <v>2</v>
      </c>
      <c r="BJ39" s="171"/>
      <c r="BK39" s="279">
        <v>3</v>
      </c>
      <c r="BL39" s="93"/>
      <c r="BM39" s="87" t="s">
        <v>154</v>
      </c>
      <c r="BN39" s="10" t="s">
        <v>158</v>
      </c>
      <c r="BO39" s="88" t="s">
        <v>152</v>
      </c>
      <c r="BP39" s="152"/>
      <c r="BQ39" s="286">
        <v>3</v>
      </c>
      <c r="BR39" s="93"/>
      <c r="BS39" s="87" t="s">
        <v>154</v>
      </c>
      <c r="BT39" s="10" t="s">
        <v>158</v>
      </c>
      <c r="BU39" s="88" t="s">
        <v>152</v>
      </c>
      <c r="BV39" s="152"/>
      <c r="BW39" s="286">
        <v>3</v>
      </c>
      <c r="BX39" s="93"/>
      <c r="BY39" s="87" t="s">
        <v>154</v>
      </c>
      <c r="BZ39" s="10" t="s">
        <v>158</v>
      </c>
      <c r="CA39" s="88" t="s">
        <v>152</v>
      </c>
      <c r="CB39" s="152"/>
      <c r="CC39" s="287">
        <f>IF(COUNT(BP40:BP48,BV40:BV48,CB40:CB48) &gt;0, COUNT(BP40:BP48,BV40:BV48,CB40:CB48) /2,"")</f>
        <v>1</v>
      </c>
      <c r="CD39"/>
      <c r="CE39"/>
      <c r="CF39"/>
      <c r="CG39"/>
      <c r="CH39"/>
      <c r="CI39"/>
      <c r="CJ39"/>
    </row>
    <row r="40" spans="1:88" ht="46" x14ac:dyDescent="0.45">
      <c r="A40" s="280"/>
      <c r="B40" s="92" t="s">
        <v>162</v>
      </c>
      <c r="C40" s="102" t="s">
        <v>156</v>
      </c>
      <c r="D40" s="89" t="s">
        <v>157</v>
      </c>
      <c r="E40" s="86" t="s">
        <v>159</v>
      </c>
      <c r="F40" s="148"/>
      <c r="G40" s="287"/>
      <c r="H40" s="174"/>
      <c r="I40" s="280"/>
      <c r="J40" s="92" t="s">
        <v>162</v>
      </c>
      <c r="K40" s="90" t="s">
        <v>155</v>
      </c>
      <c r="L40" s="89" t="s">
        <v>157</v>
      </c>
      <c r="M40" s="86" t="s">
        <v>159</v>
      </c>
      <c r="N40" s="148"/>
      <c r="O40" s="284"/>
      <c r="P40" s="92" t="s">
        <v>162</v>
      </c>
      <c r="Q40" s="90" t="s">
        <v>155</v>
      </c>
      <c r="R40" s="89" t="s">
        <v>157</v>
      </c>
      <c r="S40" s="86" t="s">
        <v>159</v>
      </c>
      <c r="T40" s="148"/>
      <c r="U40" s="287"/>
      <c r="V40" s="174"/>
      <c r="W40" s="280"/>
      <c r="X40" s="92" t="s">
        <v>162</v>
      </c>
      <c r="Y40" s="90" t="s">
        <v>155</v>
      </c>
      <c r="Z40" s="123" t="s">
        <v>157</v>
      </c>
      <c r="AA40" s="86" t="s">
        <v>159</v>
      </c>
      <c r="AB40" s="156"/>
      <c r="AC40" s="284"/>
      <c r="AD40" s="92" t="s">
        <v>162</v>
      </c>
      <c r="AE40" s="90" t="s">
        <v>155</v>
      </c>
      <c r="AF40" s="89" t="s">
        <v>157</v>
      </c>
      <c r="AG40" s="86" t="s">
        <v>159</v>
      </c>
      <c r="AH40" s="148"/>
      <c r="AI40" s="284"/>
      <c r="AJ40" s="92" t="s">
        <v>162</v>
      </c>
      <c r="AK40" t="str">
        <f t="shared" si="20"/>
        <v>CTR=CTR+1</v>
      </c>
      <c r="AL40" s="89" t="s">
        <v>157</v>
      </c>
      <c r="AM40" s="86" t="s">
        <v>159</v>
      </c>
      <c r="AN40" s="148"/>
      <c r="AO40" s="287"/>
      <c r="AP40" s="174"/>
      <c r="AQ40" s="280"/>
      <c r="AR40" s="92" t="s">
        <v>162</v>
      </c>
      <c r="AS40" s="90" t="s">
        <v>155</v>
      </c>
      <c r="AT40" s="89" t="s">
        <v>157</v>
      </c>
      <c r="AU40" s="86" t="s">
        <v>159</v>
      </c>
      <c r="AV40" s="95"/>
      <c r="AW40" s="284"/>
      <c r="AX40" s="92" t="s">
        <v>162</v>
      </c>
      <c r="AY40" s="90" t="s">
        <v>155</v>
      </c>
      <c r="AZ40" s="89" t="s">
        <v>157</v>
      </c>
      <c r="BA40" s="86" t="s">
        <v>159</v>
      </c>
      <c r="BB40" s="95"/>
      <c r="BC40" s="284"/>
      <c r="BD40" s="92" t="s">
        <v>162</v>
      </c>
      <c r="BE40" s="90" t="s">
        <v>155</v>
      </c>
      <c r="BF40" s="89" t="s">
        <v>157</v>
      </c>
      <c r="BG40" s="86" t="s">
        <v>159</v>
      </c>
      <c r="BH40" s="95"/>
      <c r="BI40" s="287"/>
      <c r="BJ40" s="171"/>
      <c r="BK40" s="280"/>
      <c r="BL40" s="92" t="s">
        <v>162</v>
      </c>
      <c r="BM40" s="90" t="s">
        <v>155</v>
      </c>
      <c r="BN40" s="89" t="s">
        <v>157</v>
      </c>
      <c r="BO40" s="86" t="s">
        <v>159</v>
      </c>
      <c r="BP40" s="148"/>
      <c r="BQ40" s="284"/>
      <c r="BR40" s="92" t="s">
        <v>162</v>
      </c>
      <c r="BS40" s="90" t="s">
        <v>155</v>
      </c>
      <c r="BT40" s="89" t="s">
        <v>157</v>
      </c>
      <c r="BU40" s="86" t="s">
        <v>159</v>
      </c>
      <c r="BV40" s="148"/>
      <c r="BW40" s="284"/>
      <c r="BX40" s="92" t="s">
        <v>162</v>
      </c>
      <c r="BY40" s="90" t="s">
        <v>155</v>
      </c>
      <c r="BZ40" s="89" t="s">
        <v>157</v>
      </c>
      <c r="CA40" s="86" t="s">
        <v>159</v>
      </c>
      <c r="CB40" s="148"/>
      <c r="CC40" s="287"/>
      <c r="CJ40" s="138"/>
    </row>
    <row r="41" spans="1:88" x14ac:dyDescent="0.45">
      <c r="A41" s="280"/>
      <c r="B41" s="62">
        <v>1</v>
      </c>
      <c r="C41">
        <v>0</v>
      </c>
      <c r="D41">
        <v>0</v>
      </c>
      <c r="E41" s="63">
        <f>MOD($F5+D41+$B$39,$F$1)</f>
        <v>5</v>
      </c>
      <c r="F41" s="149"/>
      <c r="G41" s="287"/>
      <c r="H41" s="174"/>
      <c r="I41" s="280"/>
      <c r="J41" s="62">
        <v>1</v>
      </c>
      <c r="K41">
        <f t="shared" ref="K41:K48" si="75">IF(F41="", C41,IF(F41=MIN(F$41:F$48),C41+1,0))</f>
        <v>0</v>
      </c>
      <c r="L41">
        <f t="shared" ref="L41:L48" si="76">K41*$F$2</f>
        <v>0</v>
      </c>
      <c r="M41" s="63">
        <f t="shared" ref="M41:M48" si="77">MOD($F5+L41+$B$39,$F$1)</f>
        <v>5</v>
      </c>
      <c r="N41" s="149"/>
      <c r="O41" s="284"/>
      <c r="P41" s="62">
        <v>1</v>
      </c>
      <c r="Q41">
        <f t="shared" ref="Q41:Q48" si="78">IF(N41="", K41,IF(N41=MIN(N$41:N$48),K41+1,0))</f>
        <v>0</v>
      </c>
      <c r="R41">
        <f>Q41*$F$2</f>
        <v>0</v>
      </c>
      <c r="S41" s="63">
        <f t="shared" ref="S41:S48" si="79">MOD($F5+R41+$B$39,$F$1)</f>
        <v>5</v>
      </c>
      <c r="T41" s="149"/>
      <c r="U41" s="287"/>
      <c r="V41" s="174"/>
      <c r="W41" s="280"/>
      <c r="X41" s="124">
        <v>1</v>
      </c>
      <c r="Y41">
        <f t="shared" ref="Y41:Y48" si="80">IF(T41="", Q41,IF(T41=MIN(T$41:T$48),Q41+1,0))</f>
        <v>0</v>
      </c>
      <c r="Z41" s="125">
        <f>Y41*$F$2</f>
        <v>0</v>
      </c>
      <c r="AA41" s="126">
        <f t="shared" ref="AA41:AA48" si="81">MOD($F5+Z41+$B$39,$F$1)</f>
        <v>5</v>
      </c>
      <c r="AB41" s="157"/>
      <c r="AC41" s="284"/>
      <c r="AD41" s="62">
        <v>1</v>
      </c>
      <c r="AE41">
        <f t="shared" ref="AE41:AE48" si="82">IF(AB41="", Y41,IF(AB41=MIN(AB$41:AB$48),Y41+1,0))</f>
        <v>0</v>
      </c>
      <c r="AF41">
        <f>AE41*$F$2</f>
        <v>0</v>
      </c>
      <c r="AG41" s="63">
        <f t="shared" ref="AG41:AG48" si="83">MOD($F5+AF41+$B$39,$F$1)</f>
        <v>5</v>
      </c>
      <c r="AH41" s="149">
        <v>18</v>
      </c>
      <c r="AI41" s="284"/>
      <c r="AJ41" s="62">
        <v>1</v>
      </c>
      <c r="AK41">
        <f t="shared" si="20"/>
        <v>0</v>
      </c>
      <c r="AL41">
        <f>AK41*$F$2</f>
        <v>0</v>
      </c>
      <c r="AM41" s="63">
        <f t="shared" ref="AM41:AM48" si="84">MOD($F5+AL41+$B$39,$F$1)</f>
        <v>5</v>
      </c>
      <c r="AN41" s="149"/>
      <c r="AO41" s="287"/>
      <c r="AP41" s="174"/>
      <c r="AQ41" s="280"/>
      <c r="AR41" s="62">
        <v>1</v>
      </c>
      <c r="AS41">
        <f t="shared" ref="AS41:AS48" si="85">IF(AN41="", AK41,IF(AN41=MIN(AN$41:AN$48),AK41+1,0))</f>
        <v>0</v>
      </c>
      <c r="AT41">
        <f>AS41*$F$2</f>
        <v>0</v>
      </c>
      <c r="AU41" s="63">
        <f t="shared" ref="AU41:AU48" si="86">MOD($F5+AT41+$B$39,$F$1)</f>
        <v>5</v>
      </c>
      <c r="AV41" s="98"/>
      <c r="AW41" s="284"/>
      <c r="AX41" s="62">
        <v>1</v>
      </c>
      <c r="AY41">
        <f>IF(AV41="", AS41,IF(AV41=MIN(AV$41:AV$48),AS41+1,0))</f>
        <v>0</v>
      </c>
      <c r="AZ41">
        <f>AY41*$F$2</f>
        <v>0</v>
      </c>
      <c r="BA41" s="63">
        <f t="shared" ref="BA41:BA48" si="87">MOD($F5+AZ41+$B$39,$F$1)</f>
        <v>5</v>
      </c>
      <c r="BB41" s="98">
        <v>20</v>
      </c>
      <c r="BC41" s="284"/>
      <c r="BD41" s="62">
        <v>1</v>
      </c>
      <c r="BE41">
        <f>IF(BB41="", AY41,IF(BB41=MIN(BB$41:BB$48),AY41+1,0))</f>
        <v>0</v>
      </c>
      <c r="BF41">
        <f>BE41*$F$2</f>
        <v>0</v>
      </c>
      <c r="BG41" s="63">
        <f t="shared" ref="BG41:BG48" si="88">MOD($F5+BF41+$B$39,$F$1)</f>
        <v>5</v>
      </c>
      <c r="BH41" s="98"/>
      <c r="BI41" s="287"/>
      <c r="BJ41" s="171"/>
      <c r="BK41" s="280"/>
      <c r="BL41" s="62">
        <v>1</v>
      </c>
      <c r="BM41">
        <f>IF(BH41="", BE41,IF(BH41=MIN(BH$41:BH$48),BE41+1,0))</f>
        <v>0</v>
      </c>
      <c r="BN41">
        <f>BM41*$F$2</f>
        <v>0</v>
      </c>
      <c r="BO41" s="63">
        <f t="shared" ref="BO41:BO48" si="89">MOD($F5+BN41+$B$39,$F$1)</f>
        <v>5</v>
      </c>
      <c r="BP41" s="149"/>
      <c r="BQ41" s="284"/>
      <c r="BR41" s="62">
        <v>1</v>
      </c>
      <c r="BS41">
        <f>IF(BP41="", BM41,IF(BP41=MIN(BP$41:BP$48),BM41+1,0))</f>
        <v>0</v>
      </c>
      <c r="BT41">
        <f>BS41*$F$2</f>
        <v>0</v>
      </c>
      <c r="BU41" s="63">
        <f t="shared" ref="BU41:BU48" si="90">MOD($F5+BT41+$B$39,$F$1)</f>
        <v>5</v>
      </c>
      <c r="BV41" s="149"/>
      <c r="BW41" s="284"/>
      <c r="BX41" s="62">
        <v>1</v>
      </c>
      <c r="BY41">
        <f>IF(BV41="", BS41,IF(BV41=MIN(BV$41:BV$48),BS41+1,0))</f>
        <v>0</v>
      </c>
      <c r="BZ41">
        <f>BY41*$F$2</f>
        <v>0</v>
      </c>
      <c r="CA41" s="63">
        <f t="shared" ref="CA41:CA48" si="91">MOD($F5+BZ41+$B$39,$F$1)</f>
        <v>5</v>
      </c>
      <c r="CB41" s="149"/>
      <c r="CC41" s="287"/>
    </row>
    <row r="42" spans="1:88" x14ac:dyDescent="0.45">
      <c r="A42" s="280"/>
      <c r="B42" s="1">
        <v>2</v>
      </c>
      <c r="C42">
        <f t="shared" ref="C42:C48" si="92">IF(B42=MIN(B$21:B$28),1,0)</f>
        <v>0</v>
      </c>
      <c r="D42">
        <v>0</v>
      </c>
      <c r="E42" s="30">
        <f t="shared" ref="E42:E48" si="93">MOD($F6+D42+$B$39,$F$1)</f>
        <v>1</v>
      </c>
      <c r="F42" s="150"/>
      <c r="G42" s="287"/>
      <c r="H42" s="174"/>
      <c r="I42" s="280"/>
      <c r="J42" s="1">
        <v>2</v>
      </c>
      <c r="K42">
        <f t="shared" si="75"/>
        <v>0</v>
      </c>
      <c r="L42">
        <f t="shared" si="76"/>
        <v>0</v>
      </c>
      <c r="M42" s="30">
        <f t="shared" si="77"/>
        <v>1</v>
      </c>
      <c r="N42" s="150"/>
      <c r="O42" s="284"/>
      <c r="P42" s="1">
        <v>2</v>
      </c>
      <c r="Q42">
        <f t="shared" si="78"/>
        <v>0</v>
      </c>
      <c r="R42">
        <f t="shared" ref="R42:R48" si="94">Q42*$F$2</f>
        <v>0</v>
      </c>
      <c r="S42" s="30">
        <f t="shared" si="79"/>
        <v>1</v>
      </c>
      <c r="T42" s="150">
        <v>17</v>
      </c>
      <c r="U42" s="287"/>
      <c r="V42" s="174"/>
      <c r="W42" s="280"/>
      <c r="X42" s="127">
        <v>2</v>
      </c>
      <c r="Y42">
        <f t="shared" si="80"/>
        <v>1</v>
      </c>
      <c r="Z42" s="125">
        <f t="shared" ref="Z42:Z48" si="95">Y42*$F$2</f>
        <v>8</v>
      </c>
      <c r="AA42" s="128">
        <f t="shared" si="81"/>
        <v>9</v>
      </c>
      <c r="AB42" s="158"/>
      <c r="AC42" s="284"/>
      <c r="AD42" s="1">
        <v>2</v>
      </c>
      <c r="AE42">
        <f t="shared" si="82"/>
        <v>1</v>
      </c>
      <c r="AF42">
        <f t="shared" ref="AF42:AF48" si="96">AE42*$F$2</f>
        <v>8</v>
      </c>
      <c r="AG42" s="30">
        <f t="shared" si="83"/>
        <v>9</v>
      </c>
      <c r="AH42" s="150"/>
      <c r="AI42" s="284"/>
      <c r="AJ42" s="1">
        <v>2</v>
      </c>
      <c r="AK42">
        <f t="shared" si="20"/>
        <v>1</v>
      </c>
      <c r="AL42">
        <f t="shared" ref="AL42:AL48" si="97">AK42*$F$2</f>
        <v>8</v>
      </c>
      <c r="AM42" s="30">
        <f t="shared" si="84"/>
        <v>9</v>
      </c>
      <c r="AN42" s="150"/>
      <c r="AO42" s="287"/>
      <c r="AP42" s="174"/>
      <c r="AQ42" s="280"/>
      <c r="AR42" s="1">
        <v>2</v>
      </c>
      <c r="AS42">
        <f t="shared" si="85"/>
        <v>1</v>
      </c>
      <c r="AT42">
        <f t="shared" ref="AT42:AT48" si="98">AS42*$F$2</f>
        <v>8</v>
      </c>
      <c r="AU42" s="30">
        <f t="shared" si="86"/>
        <v>9</v>
      </c>
      <c r="AV42" s="96"/>
      <c r="AW42" s="284"/>
      <c r="AX42" s="1">
        <v>2</v>
      </c>
      <c r="AY42">
        <f>IF(AV42="", AS42,IF(AV42=MIN(AV$41:AV$48),AS42+1,0))</f>
        <v>1</v>
      </c>
      <c r="AZ42">
        <f t="shared" ref="AZ42:AZ48" si="99">AY42*$F$2</f>
        <v>8</v>
      </c>
      <c r="BA42" s="30">
        <f t="shared" si="87"/>
        <v>9</v>
      </c>
      <c r="BB42" s="96"/>
      <c r="BC42" s="284"/>
      <c r="BD42" s="1">
        <v>2</v>
      </c>
      <c r="BE42">
        <f>IF(BB42="", AY42,IF(BB42=MIN(BB$41:BB$48),AY42+1,0))</f>
        <v>1</v>
      </c>
      <c r="BF42">
        <f t="shared" ref="BF42:BF48" si="100">BE42*$F$2</f>
        <v>8</v>
      </c>
      <c r="BG42" s="30">
        <f t="shared" si="88"/>
        <v>9</v>
      </c>
      <c r="BH42" s="96"/>
      <c r="BI42" s="287"/>
      <c r="BJ42" s="171"/>
      <c r="BK42" s="280"/>
      <c r="BL42" s="1">
        <v>2</v>
      </c>
      <c r="BM42">
        <f t="shared" ref="BM42:BM48" si="101">IF(BH42="", BE42,IF(BH42=MIN(BH$41:BH$48),BE42+1,0))</f>
        <v>1</v>
      </c>
      <c r="BN42">
        <f t="shared" ref="BN42:BN48" si="102">BM42*$F$2</f>
        <v>8</v>
      </c>
      <c r="BO42" s="30">
        <f t="shared" si="89"/>
        <v>9</v>
      </c>
      <c r="BP42" s="150"/>
      <c r="BQ42" s="284"/>
      <c r="BR42" s="1">
        <v>2</v>
      </c>
      <c r="BS42">
        <f>IF(BP42="", BM42,IF(BP42=MIN(BP$41:BP$48),BM42+1,0))</f>
        <v>1</v>
      </c>
      <c r="BT42">
        <f t="shared" ref="BT42:BT48" si="103">BS42*$F$2</f>
        <v>8</v>
      </c>
      <c r="BU42" s="30">
        <f t="shared" si="90"/>
        <v>9</v>
      </c>
      <c r="BV42" s="150"/>
      <c r="BW42" s="284"/>
      <c r="BX42" s="1">
        <v>2</v>
      </c>
      <c r="BY42">
        <f>IF(BV42="", BS42,IF(BV42=MIN(BV$41:BV$48),BS42+1,0))</f>
        <v>1</v>
      </c>
      <c r="BZ42">
        <f t="shared" ref="BZ42:BZ48" si="104">BY42*$F$2</f>
        <v>8</v>
      </c>
      <c r="CA42" s="30">
        <f t="shared" si="91"/>
        <v>9</v>
      </c>
      <c r="CB42" s="150"/>
      <c r="CC42" s="287"/>
    </row>
    <row r="43" spans="1:88" x14ac:dyDescent="0.45">
      <c r="A43" s="280"/>
      <c r="B43" s="75">
        <v>3</v>
      </c>
      <c r="C43">
        <f t="shared" si="92"/>
        <v>0</v>
      </c>
      <c r="D43">
        <v>0</v>
      </c>
      <c r="E43" s="30">
        <f t="shared" si="93"/>
        <v>12</v>
      </c>
      <c r="F43" s="150">
        <v>9</v>
      </c>
      <c r="G43" s="287"/>
      <c r="H43" s="174"/>
      <c r="I43" s="280"/>
      <c r="J43" s="75">
        <v>3</v>
      </c>
      <c r="K43">
        <f t="shared" si="75"/>
        <v>1</v>
      </c>
      <c r="L43">
        <f t="shared" si="76"/>
        <v>8</v>
      </c>
      <c r="M43" s="30">
        <f t="shared" si="77"/>
        <v>4</v>
      </c>
      <c r="N43" s="150"/>
      <c r="O43" s="284"/>
      <c r="P43" s="75">
        <v>3</v>
      </c>
      <c r="Q43">
        <f t="shared" si="78"/>
        <v>1</v>
      </c>
      <c r="R43">
        <f t="shared" si="94"/>
        <v>8</v>
      </c>
      <c r="S43" s="30">
        <f t="shared" si="79"/>
        <v>4</v>
      </c>
      <c r="T43" s="150"/>
      <c r="U43" s="287"/>
      <c r="V43" s="174"/>
      <c r="W43" s="280"/>
      <c r="X43" s="75">
        <v>3</v>
      </c>
      <c r="Y43">
        <f t="shared" si="80"/>
        <v>1</v>
      </c>
      <c r="Z43" s="125">
        <f t="shared" si="95"/>
        <v>8</v>
      </c>
      <c r="AA43" s="128">
        <f t="shared" si="81"/>
        <v>4</v>
      </c>
      <c r="AB43" s="158"/>
      <c r="AC43" s="284"/>
      <c r="AD43" s="75">
        <v>3</v>
      </c>
      <c r="AE43">
        <f t="shared" si="82"/>
        <v>1</v>
      </c>
      <c r="AF43">
        <f t="shared" si="96"/>
        <v>8</v>
      </c>
      <c r="AG43" s="30">
        <f t="shared" si="83"/>
        <v>4</v>
      </c>
      <c r="AH43" s="150">
        <v>17</v>
      </c>
      <c r="AI43" s="284"/>
      <c r="AJ43" s="75">
        <v>3</v>
      </c>
      <c r="AK43">
        <f t="shared" si="20"/>
        <v>0</v>
      </c>
      <c r="AL43">
        <f t="shared" si="97"/>
        <v>0</v>
      </c>
      <c r="AM43" s="30">
        <f t="shared" si="84"/>
        <v>12</v>
      </c>
      <c r="AN43" s="150"/>
      <c r="AO43" s="287"/>
      <c r="AP43" s="174"/>
      <c r="AQ43" s="280"/>
      <c r="AR43" s="75">
        <v>3</v>
      </c>
      <c r="AS43">
        <f t="shared" si="85"/>
        <v>0</v>
      </c>
      <c r="AT43">
        <f t="shared" si="98"/>
        <v>0</v>
      </c>
      <c r="AU43" s="30">
        <f t="shared" si="86"/>
        <v>12</v>
      </c>
      <c r="AV43" s="96">
        <v>11</v>
      </c>
      <c r="AW43" s="284"/>
      <c r="AX43" s="75">
        <v>3</v>
      </c>
      <c r="AY43">
        <f>IF(AV43="", AS43,IF(AV43=MIN(AV$41:AV$48),AS43+1,0))</f>
        <v>1</v>
      </c>
      <c r="AZ43">
        <f t="shared" si="99"/>
        <v>8</v>
      </c>
      <c r="BA43" s="30">
        <f t="shared" si="87"/>
        <v>4</v>
      </c>
      <c r="BB43" s="96">
        <v>19</v>
      </c>
      <c r="BC43" s="284"/>
      <c r="BD43" s="75">
        <v>3</v>
      </c>
      <c r="BE43">
        <f>IF(BB43="", AY43,IF(BB43=MIN(BB$41:BB$48),AY43+1,0))</f>
        <v>2</v>
      </c>
      <c r="BF43">
        <f t="shared" si="100"/>
        <v>16</v>
      </c>
      <c r="BG43" s="30">
        <f t="shared" si="88"/>
        <v>12</v>
      </c>
      <c r="BH43" s="96"/>
      <c r="BI43" s="287"/>
      <c r="BJ43" s="171"/>
      <c r="BK43" s="280"/>
      <c r="BL43" s="75">
        <v>3</v>
      </c>
      <c r="BM43">
        <f t="shared" si="101"/>
        <v>2</v>
      </c>
      <c r="BN43">
        <f t="shared" si="102"/>
        <v>16</v>
      </c>
      <c r="BO43" s="30">
        <f t="shared" si="89"/>
        <v>12</v>
      </c>
      <c r="BP43" s="150"/>
      <c r="BQ43" s="284"/>
      <c r="BR43" s="75">
        <v>3</v>
      </c>
      <c r="BS43">
        <f>IF(BP43="", BM43,IF(BP43=MIN(BP$41:BP$48),BM43+1,0))</f>
        <v>2</v>
      </c>
      <c r="BT43">
        <f t="shared" si="103"/>
        <v>16</v>
      </c>
      <c r="BU43" s="30">
        <f t="shared" si="90"/>
        <v>12</v>
      </c>
      <c r="BV43" s="150">
        <v>17</v>
      </c>
      <c r="BW43" s="284"/>
      <c r="BX43" s="75">
        <v>3</v>
      </c>
      <c r="BY43">
        <f>IF(BV43="", BS43,IF(BV43=MIN(BV$41:BV$48),BS43+1,0))</f>
        <v>3</v>
      </c>
      <c r="BZ43">
        <f t="shared" si="104"/>
        <v>24</v>
      </c>
      <c r="CA43" s="30">
        <f t="shared" si="91"/>
        <v>4</v>
      </c>
      <c r="CB43" s="150"/>
      <c r="CC43" s="287"/>
    </row>
    <row r="44" spans="1:88" x14ac:dyDescent="0.45">
      <c r="A44" s="280"/>
      <c r="B44" s="1">
        <v>4</v>
      </c>
      <c r="C44">
        <f t="shared" si="92"/>
        <v>0</v>
      </c>
      <c r="D44">
        <v>0</v>
      </c>
      <c r="E44" s="30">
        <f t="shared" si="93"/>
        <v>8</v>
      </c>
      <c r="F44" s="150"/>
      <c r="G44" s="287"/>
      <c r="H44" s="174"/>
      <c r="I44" s="280"/>
      <c r="J44" s="1">
        <v>4</v>
      </c>
      <c r="K44">
        <f t="shared" si="75"/>
        <v>0</v>
      </c>
      <c r="L44">
        <f t="shared" si="76"/>
        <v>0</v>
      </c>
      <c r="M44" s="30">
        <f t="shared" si="77"/>
        <v>8</v>
      </c>
      <c r="N44" s="150"/>
      <c r="O44" s="284"/>
      <c r="P44" s="1">
        <v>4</v>
      </c>
      <c r="Q44">
        <f t="shared" si="78"/>
        <v>0</v>
      </c>
      <c r="R44">
        <f t="shared" si="94"/>
        <v>0</v>
      </c>
      <c r="S44" s="30">
        <f t="shared" si="79"/>
        <v>8</v>
      </c>
      <c r="T44" s="150"/>
      <c r="U44" s="287"/>
      <c r="V44" s="174"/>
      <c r="W44" s="280"/>
      <c r="X44" s="127">
        <v>4</v>
      </c>
      <c r="Y44">
        <f t="shared" si="80"/>
        <v>0</v>
      </c>
      <c r="Z44" s="125">
        <f t="shared" si="95"/>
        <v>0</v>
      </c>
      <c r="AA44" s="128">
        <f t="shared" si="81"/>
        <v>8</v>
      </c>
      <c r="AB44" s="158"/>
      <c r="AC44" s="284"/>
      <c r="AD44" s="1">
        <v>4</v>
      </c>
      <c r="AE44">
        <f t="shared" si="82"/>
        <v>0</v>
      </c>
      <c r="AF44">
        <f t="shared" si="96"/>
        <v>0</v>
      </c>
      <c r="AG44" s="30">
        <f t="shared" si="83"/>
        <v>8</v>
      </c>
      <c r="AH44" s="150"/>
      <c r="AI44" s="284"/>
      <c r="AJ44" s="1">
        <v>4</v>
      </c>
      <c r="AK44">
        <f t="shared" si="20"/>
        <v>0</v>
      </c>
      <c r="AL44">
        <f t="shared" si="97"/>
        <v>0</v>
      </c>
      <c r="AM44" s="30">
        <f t="shared" si="84"/>
        <v>8</v>
      </c>
      <c r="AN44" s="150"/>
      <c r="AO44" s="287"/>
      <c r="AP44" s="174"/>
      <c r="AQ44" s="280"/>
      <c r="AR44" s="1">
        <v>4</v>
      </c>
      <c r="AS44">
        <f t="shared" si="85"/>
        <v>0</v>
      </c>
      <c r="AT44">
        <f t="shared" si="98"/>
        <v>0</v>
      </c>
      <c r="AU44" s="30">
        <f t="shared" si="86"/>
        <v>8</v>
      </c>
      <c r="AV44" s="96"/>
      <c r="AW44" s="284"/>
      <c r="AX44" s="1">
        <v>4</v>
      </c>
      <c r="AY44">
        <f t="shared" ref="AY44:AY48" si="105">IF(AV44="", AS44,IF(AV44=MIN(AV$41:AV$48),AS44+1,0))</f>
        <v>0</v>
      </c>
      <c r="AZ44">
        <f t="shared" si="99"/>
        <v>0</v>
      </c>
      <c r="BA44" s="30">
        <f t="shared" si="87"/>
        <v>8</v>
      </c>
      <c r="BB44" s="96"/>
      <c r="BC44" s="284"/>
      <c r="BD44" s="1">
        <v>4</v>
      </c>
      <c r="BE44">
        <f t="shared" ref="BE44:BE48" si="106">IF(BB44="", AY44,IF(BB44=MIN(BB$41:BB$48),AY44+1,0))</f>
        <v>0</v>
      </c>
      <c r="BF44">
        <f t="shared" si="100"/>
        <v>0</v>
      </c>
      <c r="BG44" s="30">
        <f t="shared" si="88"/>
        <v>8</v>
      </c>
      <c r="BH44" s="96"/>
      <c r="BI44" s="287"/>
      <c r="BJ44" s="171"/>
      <c r="BK44" s="280"/>
      <c r="BL44" s="1">
        <v>4</v>
      </c>
      <c r="BM44">
        <f t="shared" si="101"/>
        <v>0</v>
      </c>
      <c r="BN44">
        <f t="shared" si="102"/>
        <v>0</v>
      </c>
      <c r="BO44" s="30">
        <f t="shared" si="89"/>
        <v>8</v>
      </c>
      <c r="BP44" s="150"/>
      <c r="BQ44" s="284"/>
      <c r="BR44" s="1">
        <v>4</v>
      </c>
      <c r="BS44">
        <f t="shared" ref="BS44:BS48" si="107">IF(BP44="", BM44,IF(BP44=MIN(BP$41:BP$48),BM44+1,0))</f>
        <v>0</v>
      </c>
      <c r="BT44">
        <f t="shared" si="103"/>
        <v>0</v>
      </c>
      <c r="BU44" s="30">
        <f t="shared" si="90"/>
        <v>8</v>
      </c>
      <c r="BV44" s="150"/>
      <c r="BW44" s="284"/>
      <c r="BX44" s="1">
        <v>4</v>
      </c>
      <c r="BY44">
        <f t="shared" ref="BY44:BY48" si="108">IF(BV44="", BS44,IF(BV44=MIN(BV$41:BV$48),BS44+1,0))</f>
        <v>0</v>
      </c>
      <c r="BZ44">
        <f t="shared" si="104"/>
        <v>0</v>
      </c>
      <c r="CA44" s="30">
        <f t="shared" si="91"/>
        <v>8</v>
      </c>
      <c r="CB44" s="150"/>
      <c r="CC44" s="287"/>
    </row>
    <row r="45" spans="1:88" x14ac:dyDescent="0.45">
      <c r="A45" s="280"/>
      <c r="B45" s="1">
        <v>5</v>
      </c>
      <c r="C45">
        <f t="shared" si="92"/>
        <v>0</v>
      </c>
      <c r="D45">
        <v>0</v>
      </c>
      <c r="E45" s="30">
        <f t="shared" si="93"/>
        <v>2</v>
      </c>
      <c r="F45" s="150"/>
      <c r="G45" s="287"/>
      <c r="H45" s="174"/>
      <c r="I45" s="280"/>
      <c r="J45" s="1">
        <v>5</v>
      </c>
      <c r="K45">
        <f t="shared" si="75"/>
        <v>0</v>
      </c>
      <c r="L45">
        <f t="shared" si="76"/>
        <v>0</v>
      </c>
      <c r="M45" s="30">
        <f t="shared" si="77"/>
        <v>2</v>
      </c>
      <c r="N45" s="150"/>
      <c r="O45" s="284"/>
      <c r="P45" s="1">
        <v>5</v>
      </c>
      <c r="Q45">
        <f t="shared" si="78"/>
        <v>0</v>
      </c>
      <c r="R45">
        <f t="shared" si="94"/>
        <v>0</v>
      </c>
      <c r="S45" s="30">
        <f t="shared" si="79"/>
        <v>2</v>
      </c>
      <c r="T45" s="150">
        <v>18</v>
      </c>
      <c r="U45" s="287"/>
      <c r="V45" s="174"/>
      <c r="W45" s="280"/>
      <c r="X45" s="127">
        <v>5</v>
      </c>
      <c r="Y45">
        <f t="shared" si="80"/>
        <v>0</v>
      </c>
      <c r="Z45" s="125">
        <f t="shared" si="95"/>
        <v>0</v>
      </c>
      <c r="AA45" s="128">
        <f t="shared" si="81"/>
        <v>2</v>
      </c>
      <c r="AB45" s="158"/>
      <c r="AC45" s="284"/>
      <c r="AD45" s="1">
        <v>5</v>
      </c>
      <c r="AE45">
        <f t="shared" si="82"/>
        <v>0</v>
      </c>
      <c r="AF45">
        <f t="shared" si="96"/>
        <v>0</v>
      </c>
      <c r="AG45" s="30">
        <f t="shared" si="83"/>
        <v>2</v>
      </c>
      <c r="AH45" s="150"/>
      <c r="AI45" s="284"/>
      <c r="AJ45" s="1">
        <v>5</v>
      </c>
      <c r="AK45">
        <f t="shared" si="20"/>
        <v>0</v>
      </c>
      <c r="AL45">
        <f t="shared" si="97"/>
        <v>0</v>
      </c>
      <c r="AM45" s="30">
        <f t="shared" si="84"/>
        <v>2</v>
      </c>
      <c r="AN45" s="150"/>
      <c r="AO45" s="287"/>
      <c r="AP45" s="174"/>
      <c r="AQ45" s="280"/>
      <c r="AR45" s="1">
        <v>5</v>
      </c>
      <c r="AS45">
        <f t="shared" si="85"/>
        <v>0</v>
      </c>
      <c r="AT45">
        <f t="shared" si="98"/>
        <v>0</v>
      </c>
      <c r="AU45" s="30">
        <f t="shared" si="86"/>
        <v>2</v>
      </c>
      <c r="AV45" s="96"/>
      <c r="AW45" s="284"/>
      <c r="AX45" s="1">
        <v>5</v>
      </c>
      <c r="AY45">
        <f t="shared" si="105"/>
        <v>0</v>
      </c>
      <c r="AZ45">
        <f t="shared" si="99"/>
        <v>0</v>
      </c>
      <c r="BA45" s="30">
        <f t="shared" si="87"/>
        <v>2</v>
      </c>
      <c r="BB45" s="96"/>
      <c r="BC45" s="284"/>
      <c r="BD45" s="1">
        <v>5</v>
      </c>
      <c r="BE45">
        <f t="shared" si="106"/>
        <v>0</v>
      </c>
      <c r="BF45">
        <f t="shared" si="100"/>
        <v>0</v>
      </c>
      <c r="BG45" s="30">
        <f t="shared" si="88"/>
        <v>2</v>
      </c>
      <c r="BH45" s="96"/>
      <c r="BI45" s="287"/>
      <c r="BJ45" s="171"/>
      <c r="BK45" s="280"/>
      <c r="BL45" s="1">
        <v>5</v>
      </c>
      <c r="BM45">
        <f t="shared" si="101"/>
        <v>0</v>
      </c>
      <c r="BN45">
        <f t="shared" si="102"/>
        <v>0</v>
      </c>
      <c r="BO45" s="30">
        <f t="shared" si="89"/>
        <v>2</v>
      </c>
      <c r="BP45" s="150"/>
      <c r="BQ45" s="284"/>
      <c r="BR45" s="1">
        <v>5</v>
      </c>
      <c r="BS45">
        <f t="shared" si="107"/>
        <v>0</v>
      </c>
      <c r="BT45">
        <f t="shared" si="103"/>
        <v>0</v>
      </c>
      <c r="BU45" s="30">
        <f t="shared" si="90"/>
        <v>2</v>
      </c>
      <c r="BV45" s="150"/>
      <c r="BW45" s="284"/>
      <c r="BX45" s="1">
        <v>5</v>
      </c>
      <c r="BY45">
        <f t="shared" si="108"/>
        <v>0</v>
      </c>
      <c r="BZ45">
        <f t="shared" si="104"/>
        <v>0</v>
      </c>
      <c r="CA45" s="30">
        <f t="shared" si="91"/>
        <v>2</v>
      </c>
      <c r="CB45" s="150"/>
      <c r="CC45" s="287"/>
    </row>
    <row r="46" spans="1:88" x14ac:dyDescent="0.45">
      <c r="A46" s="280"/>
      <c r="B46" s="1">
        <v>6</v>
      </c>
      <c r="C46">
        <f t="shared" si="92"/>
        <v>0</v>
      </c>
      <c r="D46">
        <v>0</v>
      </c>
      <c r="E46" s="30">
        <f t="shared" si="93"/>
        <v>14</v>
      </c>
      <c r="F46" s="150">
        <v>10</v>
      </c>
      <c r="G46" s="287"/>
      <c r="H46" s="174"/>
      <c r="I46" s="280"/>
      <c r="J46" s="1">
        <v>6</v>
      </c>
      <c r="K46">
        <f t="shared" si="75"/>
        <v>0</v>
      </c>
      <c r="L46">
        <f t="shared" si="76"/>
        <v>0</v>
      </c>
      <c r="M46" s="30">
        <f t="shared" si="77"/>
        <v>14</v>
      </c>
      <c r="N46" s="150"/>
      <c r="O46" s="284"/>
      <c r="P46" s="1">
        <v>6</v>
      </c>
      <c r="Q46">
        <f t="shared" si="78"/>
        <v>0</v>
      </c>
      <c r="R46">
        <f t="shared" si="94"/>
        <v>0</v>
      </c>
      <c r="S46" s="30">
        <f t="shared" si="79"/>
        <v>14</v>
      </c>
      <c r="T46" s="150"/>
      <c r="U46" s="287"/>
      <c r="V46" s="174"/>
      <c r="W46" s="280"/>
      <c r="X46" s="127">
        <v>6</v>
      </c>
      <c r="Y46">
        <f t="shared" si="80"/>
        <v>0</v>
      </c>
      <c r="Z46" s="125">
        <f t="shared" si="95"/>
        <v>0</v>
      </c>
      <c r="AA46" s="128">
        <f t="shared" si="81"/>
        <v>14</v>
      </c>
      <c r="AB46" s="158"/>
      <c r="AC46" s="284"/>
      <c r="AD46" s="1">
        <v>6</v>
      </c>
      <c r="AE46">
        <f t="shared" si="82"/>
        <v>0</v>
      </c>
      <c r="AF46">
        <f t="shared" si="96"/>
        <v>0</v>
      </c>
      <c r="AG46" s="30">
        <f t="shared" si="83"/>
        <v>14</v>
      </c>
      <c r="AH46" s="150"/>
      <c r="AI46" s="284"/>
      <c r="AJ46" s="1">
        <v>6</v>
      </c>
      <c r="AK46">
        <f t="shared" si="20"/>
        <v>0</v>
      </c>
      <c r="AL46">
        <f t="shared" si="97"/>
        <v>0</v>
      </c>
      <c r="AM46" s="30">
        <f t="shared" si="84"/>
        <v>14</v>
      </c>
      <c r="AN46" s="150"/>
      <c r="AO46" s="287"/>
      <c r="AP46" s="174"/>
      <c r="AQ46" s="280"/>
      <c r="AR46" s="1">
        <v>6</v>
      </c>
      <c r="AS46">
        <f t="shared" si="85"/>
        <v>0</v>
      </c>
      <c r="AT46">
        <f t="shared" si="98"/>
        <v>0</v>
      </c>
      <c r="AU46" s="30">
        <f t="shared" si="86"/>
        <v>14</v>
      </c>
      <c r="AV46" s="96">
        <v>12</v>
      </c>
      <c r="AW46" s="284"/>
      <c r="AX46" s="1">
        <v>6</v>
      </c>
      <c r="AY46">
        <f t="shared" si="105"/>
        <v>0</v>
      </c>
      <c r="AZ46">
        <f t="shared" si="99"/>
        <v>0</v>
      </c>
      <c r="BA46" s="30">
        <f t="shared" si="87"/>
        <v>14</v>
      </c>
      <c r="BB46" s="96"/>
      <c r="BC46" s="284"/>
      <c r="BD46" s="1">
        <v>6</v>
      </c>
      <c r="BE46">
        <f t="shared" si="106"/>
        <v>0</v>
      </c>
      <c r="BF46">
        <f t="shared" si="100"/>
        <v>0</v>
      </c>
      <c r="BG46" s="30">
        <f t="shared" si="88"/>
        <v>14</v>
      </c>
      <c r="BH46" s="96"/>
      <c r="BI46" s="287"/>
      <c r="BJ46" s="171"/>
      <c r="BK46" s="280"/>
      <c r="BL46" s="1">
        <v>6</v>
      </c>
      <c r="BM46">
        <f t="shared" si="101"/>
        <v>0</v>
      </c>
      <c r="BN46">
        <f t="shared" si="102"/>
        <v>0</v>
      </c>
      <c r="BO46" s="30">
        <f t="shared" si="89"/>
        <v>14</v>
      </c>
      <c r="BP46" s="150"/>
      <c r="BQ46" s="284"/>
      <c r="BR46" s="1">
        <v>6</v>
      </c>
      <c r="BS46">
        <f t="shared" si="107"/>
        <v>0</v>
      </c>
      <c r="BT46">
        <f t="shared" si="103"/>
        <v>0</v>
      </c>
      <c r="BU46" s="30">
        <f t="shared" si="90"/>
        <v>14</v>
      </c>
      <c r="BV46" s="150">
        <v>18</v>
      </c>
      <c r="BW46" s="284"/>
      <c r="BX46" s="1">
        <v>6</v>
      </c>
      <c r="BY46">
        <f t="shared" si="108"/>
        <v>0</v>
      </c>
      <c r="BZ46">
        <f t="shared" si="104"/>
        <v>0</v>
      </c>
      <c r="CA46" s="30">
        <f t="shared" si="91"/>
        <v>14</v>
      </c>
      <c r="CB46" s="150"/>
      <c r="CC46" s="287"/>
    </row>
    <row r="47" spans="1:88" x14ac:dyDescent="0.45">
      <c r="A47" s="280"/>
      <c r="B47" s="1">
        <v>7</v>
      </c>
      <c r="C47">
        <f t="shared" si="92"/>
        <v>0</v>
      </c>
      <c r="D47">
        <v>0</v>
      </c>
      <c r="E47" s="30">
        <f t="shared" si="93"/>
        <v>11</v>
      </c>
      <c r="F47" s="150"/>
      <c r="G47" s="287"/>
      <c r="H47" s="174"/>
      <c r="I47" s="280"/>
      <c r="J47" s="1">
        <v>7</v>
      </c>
      <c r="K47">
        <f t="shared" si="75"/>
        <v>0</v>
      </c>
      <c r="L47">
        <f t="shared" si="76"/>
        <v>0</v>
      </c>
      <c r="M47" s="30">
        <f t="shared" si="77"/>
        <v>11</v>
      </c>
      <c r="N47" s="150"/>
      <c r="O47" s="284"/>
      <c r="P47" s="1">
        <v>7</v>
      </c>
      <c r="Q47">
        <f t="shared" si="78"/>
        <v>0</v>
      </c>
      <c r="R47">
        <f t="shared" si="94"/>
        <v>0</v>
      </c>
      <c r="S47" s="30">
        <f t="shared" si="79"/>
        <v>11</v>
      </c>
      <c r="T47" s="150"/>
      <c r="U47" s="287"/>
      <c r="V47" s="174"/>
      <c r="W47" s="280"/>
      <c r="X47" s="127">
        <v>7</v>
      </c>
      <c r="Y47">
        <f t="shared" si="80"/>
        <v>0</v>
      </c>
      <c r="Z47" s="125">
        <f t="shared" si="95"/>
        <v>0</v>
      </c>
      <c r="AA47" s="128">
        <f t="shared" si="81"/>
        <v>11</v>
      </c>
      <c r="AB47" s="158"/>
      <c r="AC47" s="284"/>
      <c r="AD47" s="1">
        <v>7</v>
      </c>
      <c r="AE47">
        <f t="shared" si="82"/>
        <v>0</v>
      </c>
      <c r="AF47">
        <f t="shared" si="96"/>
        <v>0</v>
      </c>
      <c r="AG47" s="30">
        <f t="shared" si="83"/>
        <v>11</v>
      </c>
      <c r="AH47" s="150"/>
      <c r="AI47" s="284"/>
      <c r="AJ47" s="1">
        <v>7</v>
      </c>
      <c r="AK47">
        <f t="shared" si="20"/>
        <v>0</v>
      </c>
      <c r="AL47">
        <f t="shared" si="97"/>
        <v>0</v>
      </c>
      <c r="AM47" s="30">
        <f t="shared" si="84"/>
        <v>11</v>
      </c>
      <c r="AN47" s="150"/>
      <c r="AO47" s="287"/>
      <c r="AP47" s="174"/>
      <c r="AQ47" s="280"/>
      <c r="AR47" s="1">
        <v>7</v>
      </c>
      <c r="AS47">
        <f t="shared" si="85"/>
        <v>0</v>
      </c>
      <c r="AT47">
        <f t="shared" si="98"/>
        <v>0</v>
      </c>
      <c r="AU47" s="30">
        <f t="shared" si="86"/>
        <v>11</v>
      </c>
      <c r="AV47" s="96"/>
      <c r="AW47" s="284"/>
      <c r="AX47" s="1">
        <v>7</v>
      </c>
      <c r="AY47">
        <f t="shared" si="105"/>
        <v>0</v>
      </c>
      <c r="AZ47">
        <f t="shared" si="99"/>
        <v>0</v>
      </c>
      <c r="BA47" s="30">
        <f t="shared" si="87"/>
        <v>11</v>
      </c>
      <c r="BB47" s="96"/>
      <c r="BC47" s="284"/>
      <c r="BD47" s="1">
        <v>7</v>
      </c>
      <c r="BE47">
        <f t="shared" si="106"/>
        <v>0</v>
      </c>
      <c r="BF47">
        <f t="shared" si="100"/>
        <v>0</v>
      </c>
      <c r="BG47" s="30">
        <f t="shared" si="88"/>
        <v>11</v>
      </c>
      <c r="BH47" s="96"/>
      <c r="BI47" s="287"/>
      <c r="BJ47" s="171"/>
      <c r="BK47" s="280"/>
      <c r="BL47" s="1">
        <v>7</v>
      </c>
      <c r="BM47">
        <f t="shared" si="101"/>
        <v>0</v>
      </c>
      <c r="BN47">
        <f t="shared" si="102"/>
        <v>0</v>
      </c>
      <c r="BO47" s="30">
        <f t="shared" si="89"/>
        <v>11</v>
      </c>
      <c r="BP47" s="150"/>
      <c r="BQ47" s="284"/>
      <c r="BR47" s="1">
        <v>7</v>
      </c>
      <c r="BS47">
        <f t="shared" si="107"/>
        <v>0</v>
      </c>
      <c r="BT47">
        <f t="shared" si="103"/>
        <v>0</v>
      </c>
      <c r="BU47" s="30">
        <f t="shared" si="90"/>
        <v>11</v>
      </c>
      <c r="BV47" s="150"/>
      <c r="BW47" s="284"/>
      <c r="BX47" s="1">
        <v>7</v>
      </c>
      <c r="BY47">
        <f t="shared" si="108"/>
        <v>0</v>
      </c>
      <c r="BZ47">
        <f t="shared" si="104"/>
        <v>0</v>
      </c>
      <c r="CA47" s="30">
        <f t="shared" si="91"/>
        <v>11</v>
      </c>
      <c r="CB47" s="150"/>
      <c r="CC47" s="287"/>
    </row>
    <row r="48" spans="1:88" x14ac:dyDescent="0.45">
      <c r="A48" s="281"/>
      <c r="B48" s="51">
        <v>8</v>
      </c>
      <c r="C48" s="53">
        <f t="shared" si="92"/>
        <v>0</v>
      </c>
      <c r="D48" s="53">
        <v>0</v>
      </c>
      <c r="E48" s="54">
        <f t="shared" si="93"/>
        <v>7</v>
      </c>
      <c r="F48" s="151"/>
      <c r="G48" s="287"/>
      <c r="H48" s="174"/>
      <c r="I48" s="281"/>
      <c r="J48" s="51">
        <v>8</v>
      </c>
      <c r="K48">
        <f t="shared" si="75"/>
        <v>0</v>
      </c>
      <c r="L48" s="53">
        <f t="shared" si="76"/>
        <v>0</v>
      </c>
      <c r="M48" s="54">
        <f t="shared" si="77"/>
        <v>7</v>
      </c>
      <c r="N48" s="151"/>
      <c r="O48" s="285"/>
      <c r="P48" s="51">
        <v>8</v>
      </c>
      <c r="Q48">
        <f t="shared" si="78"/>
        <v>0</v>
      </c>
      <c r="R48" s="53">
        <f t="shared" si="94"/>
        <v>0</v>
      </c>
      <c r="S48" s="54">
        <f t="shared" si="79"/>
        <v>7</v>
      </c>
      <c r="T48" s="151"/>
      <c r="U48" s="287"/>
      <c r="V48" s="174"/>
      <c r="W48" s="281"/>
      <c r="X48" s="129">
        <v>8</v>
      </c>
      <c r="Y48">
        <f t="shared" si="80"/>
        <v>0</v>
      </c>
      <c r="Z48" s="130">
        <f t="shared" si="95"/>
        <v>0</v>
      </c>
      <c r="AA48" s="131">
        <f t="shared" si="81"/>
        <v>7</v>
      </c>
      <c r="AB48" s="159"/>
      <c r="AC48" s="285"/>
      <c r="AD48" s="51">
        <v>8</v>
      </c>
      <c r="AE48">
        <f t="shared" si="82"/>
        <v>0</v>
      </c>
      <c r="AF48" s="53">
        <f t="shared" si="96"/>
        <v>0</v>
      </c>
      <c r="AG48" s="54">
        <f t="shared" si="83"/>
        <v>7</v>
      </c>
      <c r="AH48" s="151"/>
      <c r="AI48" s="285"/>
      <c r="AJ48" s="51">
        <v>8</v>
      </c>
      <c r="AK48">
        <f t="shared" si="20"/>
        <v>0</v>
      </c>
      <c r="AL48" s="53">
        <f t="shared" si="97"/>
        <v>0</v>
      </c>
      <c r="AM48" s="54">
        <f t="shared" si="84"/>
        <v>7</v>
      </c>
      <c r="AN48" s="151"/>
      <c r="AO48" s="287"/>
      <c r="AP48" s="174"/>
      <c r="AQ48" s="281"/>
      <c r="AR48" s="51">
        <v>8</v>
      </c>
      <c r="AS48">
        <f t="shared" si="85"/>
        <v>0</v>
      </c>
      <c r="AT48" s="53">
        <f t="shared" si="98"/>
        <v>0</v>
      </c>
      <c r="AU48" s="54">
        <f t="shared" si="86"/>
        <v>7</v>
      </c>
      <c r="AV48" s="97"/>
      <c r="AW48" s="285"/>
      <c r="AX48" s="51">
        <v>8</v>
      </c>
      <c r="AY48">
        <f t="shared" si="105"/>
        <v>0</v>
      </c>
      <c r="AZ48" s="53">
        <f t="shared" si="99"/>
        <v>0</v>
      </c>
      <c r="BA48" s="54">
        <f t="shared" si="87"/>
        <v>7</v>
      </c>
      <c r="BB48" s="97"/>
      <c r="BC48" s="285"/>
      <c r="BD48" s="51">
        <v>8</v>
      </c>
      <c r="BE48">
        <f t="shared" si="106"/>
        <v>0</v>
      </c>
      <c r="BF48" s="53">
        <f t="shared" si="100"/>
        <v>0</v>
      </c>
      <c r="BG48" s="54">
        <f t="shared" si="88"/>
        <v>7</v>
      </c>
      <c r="BH48" s="97"/>
      <c r="BI48" s="287"/>
      <c r="BJ48" s="171"/>
      <c r="BK48" s="281"/>
      <c r="BL48" s="51">
        <v>8</v>
      </c>
      <c r="BM48">
        <f t="shared" si="101"/>
        <v>0</v>
      </c>
      <c r="BN48" s="53">
        <f t="shared" si="102"/>
        <v>0</v>
      </c>
      <c r="BO48" s="54">
        <f t="shared" si="89"/>
        <v>7</v>
      </c>
      <c r="BP48" s="151"/>
      <c r="BQ48" s="285"/>
      <c r="BR48" s="51">
        <v>8</v>
      </c>
      <c r="BS48">
        <f t="shared" si="107"/>
        <v>0</v>
      </c>
      <c r="BT48" s="53">
        <f t="shared" si="103"/>
        <v>0</v>
      </c>
      <c r="BU48" s="54">
        <f t="shared" si="90"/>
        <v>7</v>
      </c>
      <c r="BV48" s="151"/>
      <c r="BW48" s="285"/>
      <c r="BX48" s="51">
        <v>8</v>
      </c>
      <c r="BY48">
        <f t="shared" si="108"/>
        <v>0</v>
      </c>
      <c r="BZ48" s="53">
        <f t="shared" si="104"/>
        <v>0</v>
      </c>
      <c r="CA48" s="54">
        <f t="shared" si="91"/>
        <v>7</v>
      </c>
      <c r="CB48" s="151"/>
      <c r="CC48" s="287"/>
    </row>
    <row r="49" spans="1:88" s="79" customFormat="1" x14ac:dyDescent="0.45">
      <c r="A49" s="279">
        <v>4</v>
      </c>
      <c r="B49" s="91">
        <f>O8</f>
        <v>6</v>
      </c>
      <c r="C49" s="87" t="s">
        <v>154</v>
      </c>
      <c r="D49" s="10" t="s">
        <v>158</v>
      </c>
      <c r="E49" s="88" t="s">
        <v>152</v>
      </c>
      <c r="F49" s="152"/>
      <c r="G49" s="287">
        <f>IF(COUNT(F50:F58) &gt;0, COUNT(F50:F58)/2,"")</f>
        <v>1</v>
      </c>
      <c r="H49" s="174"/>
      <c r="I49" s="279">
        <v>4</v>
      </c>
      <c r="K49" s="87" t="s">
        <v>154</v>
      </c>
      <c r="L49" s="10" t="s">
        <v>158</v>
      </c>
      <c r="M49" s="88" t="s">
        <v>152</v>
      </c>
      <c r="N49" s="152"/>
      <c r="O49" s="286">
        <v>4</v>
      </c>
      <c r="Q49" s="87" t="s">
        <v>154</v>
      </c>
      <c r="R49" s="10" t="s">
        <v>158</v>
      </c>
      <c r="S49" s="88" t="s">
        <v>152</v>
      </c>
      <c r="T49" s="152"/>
      <c r="U49" s="287">
        <f>IF(COUNT(N50:N58,T50:T58) &gt;0, COUNT(N50:N58,T50:T58)/2,"")</f>
        <v>1</v>
      </c>
      <c r="V49" s="174"/>
      <c r="W49" s="279">
        <v>4</v>
      </c>
      <c r="Y49" s="87" t="s">
        <v>154</v>
      </c>
      <c r="Z49" s="121" t="s">
        <v>158</v>
      </c>
      <c r="AA49" s="122" t="s">
        <v>152</v>
      </c>
      <c r="AB49" s="160"/>
      <c r="AC49" s="286">
        <v>4</v>
      </c>
      <c r="AE49" s="87" t="s">
        <v>154</v>
      </c>
      <c r="AF49" s="10" t="s">
        <v>158</v>
      </c>
      <c r="AG49" s="88" t="s">
        <v>152</v>
      </c>
      <c r="AH49" s="152"/>
      <c r="AI49" s="286">
        <v>4</v>
      </c>
      <c r="AK49" t="str">
        <f t="shared" si="20"/>
        <v xml:space="preserve">CTR </v>
      </c>
      <c r="AL49" s="10" t="s">
        <v>158</v>
      </c>
      <c r="AM49" s="88" t="s">
        <v>152</v>
      </c>
      <c r="AN49" s="152"/>
      <c r="AO49" s="287">
        <f>IF(COUNT(AB50:AB58,AH50:AH58,AN50:AN58) &gt;0, COUNT(AB50:AB58,AH50:AH58,AN50:AN58) /2,"")</f>
        <v>1</v>
      </c>
      <c r="AP49" s="174"/>
      <c r="AQ49" s="279">
        <v>4</v>
      </c>
      <c r="AS49" s="87" t="s">
        <v>154</v>
      </c>
      <c r="AT49" s="10" t="s">
        <v>158</v>
      </c>
      <c r="AU49" s="88" t="s">
        <v>152</v>
      </c>
      <c r="AV49" s="94"/>
      <c r="AW49" s="286">
        <v>4</v>
      </c>
      <c r="AY49" s="87" t="s">
        <v>154</v>
      </c>
      <c r="AZ49" s="10" t="s">
        <v>158</v>
      </c>
      <c r="BA49" s="88" t="s">
        <v>152</v>
      </c>
      <c r="BB49" s="94"/>
      <c r="BC49" s="286">
        <v>4</v>
      </c>
      <c r="BE49" s="87" t="s">
        <v>154</v>
      </c>
      <c r="BF49" s="10" t="s">
        <v>158</v>
      </c>
      <c r="BG49" s="88" t="s">
        <v>152</v>
      </c>
      <c r="BH49" s="94"/>
      <c r="BI49" s="287">
        <f>IF(COUNT(AV50:AV58,BB50:BB58,BH50:BH58) &gt;0, COUNT(AV50:AV58,BB50:BB58,BH50:BH58) /2,"")</f>
        <v>1</v>
      </c>
      <c r="BJ49" s="171"/>
      <c r="BK49" s="279">
        <v>4</v>
      </c>
      <c r="BM49" s="87" t="s">
        <v>154</v>
      </c>
      <c r="BN49" s="10" t="s">
        <v>158</v>
      </c>
      <c r="BO49" s="88" t="s">
        <v>152</v>
      </c>
      <c r="BP49" s="152"/>
      <c r="BQ49" s="286">
        <v>4</v>
      </c>
      <c r="BS49" s="87" t="s">
        <v>154</v>
      </c>
      <c r="BT49" s="10" t="s">
        <v>158</v>
      </c>
      <c r="BU49" s="88" t="s">
        <v>152</v>
      </c>
      <c r="BV49" s="152"/>
      <c r="BW49" s="286">
        <v>4</v>
      </c>
      <c r="BY49" s="87" t="s">
        <v>154</v>
      </c>
      <c r="BZ49" s="10" t="s">
        <v>158</v>
      </c>
      <c r="CA49" s="88" t="s">
        <v>152</v>
      </c>
      <c r="CB49" s="152"/>
      <c r="CC49" s="287">
        <f>IF(COUNT(BP50:BP58,BV50:BV58,CB50:CB58) &gt;0, COUNT(BP50:BP58,BV50:BV58,CB50:CB58) /2,"")</f>
        <v>1</v>
      </c>
      <c r="CD49"/>
      <c r="CE49"/>
      <c r="CF49"/>
      <c r="CG49"/>
      <c r="CH49"/>
      <c r="CI49"/>
      <c r="CJ49"/>
    </row>
    <row r="50" spans="1:88" ht="46" x14ac:dyDescent="0.45">
      <c r="A50" s="280"/>
      <c r="B50" s="92" t="s">
        <v>162</v>
      </c>
      <c r="C50" s="102" t="s">
        <v>156</v>
      </c>
      <c r="D50" s="89" t="s">
        <v>157</v>
      </c>
      <c r="E50" s="86" t="s">
        <v>159</v>
      </c>
      <c r="F50" s="148"/>
      <c r="G50" s="287"/>
      <c r="H50" s="174"/>
      <c r="I50" s="280"/>
      <c r="J50" s="92" t="s">
        <v>162</v>
      </c>
      <c r="K50" s="90" t="s">
        <v>155</v>
      </c>
      <c r="L50" s="89" t="s">
        <v>157</v>
      </c>
      <c r="M50" s="86" t="s">
        <v>159</v>
      </c>
      <c r="N50" s="148"/>
      <c r="O50" s="284"/>
      <c r="P50" s="92" t="s">
        <v>162</v>
      </c>
      <c r="Q50" s="90" t="s">
        <v>155</v>
      </c>
      <c r="R50" s="89" t="s">
        <v>157</v>
      </c>
      <c r="S50" s="86" t="s">
        <v>159</v>
      </c>
      <c r="T50" s="148"/>
      <c r="U50" s="287"/>
      <c r="V50" s="174"/>
      <c r="W50" s="280"/>
      <c r="X50" s="92" t="s">
        <v>162</v>
      </c>
      <c r="Y50" s="90" t="s">
        <v>155</v>
      </c>
      <c r="Z50" s="123" t="s">
        <v>157</v>
      </c>
      <c r="AA50" s="86" t="s">
        <v>159</v>
      </c>
      <c r="AB50" s="156"/>
      <c r="AC50" s="284"/>
      <c r="AD50" s="92" t="s">
        <v>162</v>
      </c>
      <c r="AE50" s="90" t="s">
        <v>155</v>
      </c>
      <c r="AF50" s="89" t="s">
        <v>157</v>
      </c>
      <c r="AG50" s="86" t="s">
        <v>159</v>
      </c>
      <c r="AH50" s="148"/>
      <c r="AI50" s="284"/>
      <c r="AJ50" s="92" t="s">
        <v>162</v>
      </c>
      <c r="AK50" t="str">
        <f t="shared" si="20"/>
        <v>CTR=CTR+1</v>
      </c>
      <c r="AL50" s="89" t="s">
        <v>157</v>
      </c>
      <c r="AM50" s="86" t="s">
        <v>159</v>
      </c>
      <c r="AN50" s="148"/>
      <c r="AO50" s="287"/>
      <c r="AP50" s="174"/>
      <c r="AQ50" s="280"/>
      <c r="AR50" s="92" t="s">
        <v>162</v>
      </c>
      <c r="AS50" s="90" t="s">
        <v>155</v>
      </c>
      <c r="AT50" s="89" t="s">
        <v>157</v>
      </c>
      <c r="AU50" s="86" t="s">
        <v>159</v>
      </c>
      <c r="AV50" s="95"/>
      <c r="AW50" s="284"/>
      <c r="AX50" s="92" t="s">
        <v>162</v>
      </c>
      <c r="AY50" s="90" t="s">
        <v>155</v>
      </c>
      <c r="AZ50" s="89" t="s">
        <v>157</v>
      </c>
      <c r="BA50" s="86" t="s">
        <v>159</v>
      </c>
      <c r="BB50" s="95"/>
      <c r="BC50" s="284"/>
      <c r="BD50" s="92" t="s">
        <v>162</v>
      </c>
      <c r="BE50" s="90" t="s">
        <v>155</v>
      </c>
      <c r="BF50" s="89" t="s">
        <v>157</v>
      </c>
      <c r="BG50" s="86" t="s">
        <v>159</v>
      </c>
      <c r="BH50" s="95"/>
      <c r="BI50" s="287"/>
      <c r="BJ50" s="171"/>
      <c r="BK50" s="280"/>
      <c r="BL50" s="92" t="s">
        <v>162</v>
      </c>
      <c r="BM50" s="90" t="s">
        <v>155</v>
      </c>
      <c r="BN50" s="89" t="s">
        <v>157</v>
      </c>
      <c r="BO50" s="86" t="s">
        <v>159</v>
      </c>
      <c r="BP50" s="148"/>
      <c r="BQ50" s="284"/>
      <c r="BR50" s="92" t="s">
        <v>162</v>
      </c>
      <c r="BS50" s="90" t="s">
        <v>155</v>
      </c>
      <c r="BT50" s="89" t="s">
        <v>157</v>
      </c>
      <c r="BU50" s="86" t="s">
        <v>159</v>
      </c>
      <c r="BV50" s="148"/>
      <c r="BW50" s="284"/>
      <c r="BX50" s="92" t="s">
        <v>162</v>
      </c>
      <c r="BY50" s="90" t="s">
        <v>155</v>
      </c>
      <c r="BZ50" s="89" t="s">
        <v>157</v>
      </c>
      <c r="CA50" s="86" t="s">
        <v>159</v>
      </c>
      <c r="CB50" s="148"/>
      <c r="CC50" s="287"/>
    </row>
    <row r="51" spans="1:88" x14ac:dyDescent="0.45">
      <c r="A51" s="280"/>
      <c r="B51" s="62">
        <v>1</v>
      </c>
      <c r="C51">
        <v>0</v>
      </c>
      <c r="D51">
        <v>0</v>
      </c>
      <c r="E51" s="63">
        <f>MOD($F5+D51+$B$39,$F$1)</f>
        <v>5</v>
      </c>
      <c r="F51" s="149"/>
      <c r="G51" s="287"/>
      <c r="H51" s="174"/>
      <c r="I51" s="280"/>
      <c r="J51" s="62">
        <v>1</v>
      </c>
      <c r="K51">
        <f t="shared" ref="K51:K58" si="109">IF(F51="", C51,IF(F51=MIN(F$51:F$58),C51+1,0))</f>
        <v>0</v>
      </c>
      <c r="L51">
        <f t="shared" ref="L51:L58" si="110">K51*$F$2</f>
        <v>0</v>
      </c>
      <c r="M51" s="63">
        <f t="shared" ref="M51:M58" si="111">MOD($F5+L51+$B439,$F$1)</f>
        <v>7</v>
      </c>
      <c r="N51" s="149"/>
      <c r="O51" s="284"/>
      <c r="P51" s="62">
        <v>1</v>
      </c>
      <c r="Q51">
        <f t="shared" ref="Q51:Q58" si="112">IF(N51="", K51,IF(N51=MIN(N$51:N$58),K51+1,0))</f>
        <v>0</v>
      </c>
      <c r="R51">
        <f>Q51*$F$2</f>
        <v>0</v>
      </c>
      <c r="S51" s="63">
        <f t="shared" ref="S51:S58" si="113">MOD($F5+R51+$B439,$F$1)</f>
        <v>7</v>
      </c>
      <c r="T51" s="149"/>
      <c r="U51" s="287"/>
      <c r="V51" s="174"/>
      <c r="W51" s="280"/>
      <c r="X51" s="124">
        <v>1</v>
      </c>
      <c r="Y51">
        <f t="shared" ref="Y51:Y58" si="114">IF(T51="", Q51,IF(T51=MIN(T$51:T$58),Q51+1,0))</f>
        <v>0</v>
      </c>
      <c r="Z51" s="125">
        <f>Y51*$F$2</f>
        <v>0</v>
      </c>
      <c r="AA51" s="126">
        <f t="shared" ref="AA51:AA58" si="115">MOD($F5+Z51+$B439,$F$1)</f>
        <v>7</v>
      </c>
      <c r="AB51" s="157"/>
      <c r="AC51" s="284"/>
      <c r="AD51" s="62">
        <v>1</v>
      </c>
      <c r="AE51">
        <f t="shared" ref="AE51:AE58" si="116">IF(AB51="", Y51,IF(AB51=MIN(AB$51:AB$58),Y51+1,0))</f>
        <v>0</v>
      </c>
      <c r="AF51">
        <f>AE51*$F$2</f>
        <v>0</v>
      </c>
      <c r="AG51" s="63">
        <f t="shared" ref="AG51:AG58" si="117">MOD($F5+AF51+$B439,$F$1)</f>
        <v>7</v>
      </c>
      <c r="AH51" s="149"/>
      <c r="AI51" s="284"/>
      <c r="AJ51" s="62">
        <v>1</v>
      </c>
      <c r="AK51">
        <f t="shared" si="20"/>
        <v>0</v>
      </c>
      <c r="AL51">
        <f>AK51*$F$2</f>
        <v>0</v>
      </c>
      <c r="AM51" s="63">
        <f t="shared" ref="AM51:AM58" si="118">MOD($F5+AL51+$B439,$F$1)</f>
        <v>7</v>
      </c>
      <c r="AN51" s="149"/>
      <c r="AO51" s="287"/>
      <c r="AP51" s="174"/>
      <c r="AQ51" s="280"/>
      <c r="AR51" s="62">
        <v>1</v>
      </c>
      <c r="AS51">
        <f t="shared" ref="AS51:AS58" si="119">IF(AN51="", AK51,IF(AN51=MIN(AN$51:AN$58),AK51+1,0))</f>
        <v>0</v>
      </c>
      <c r="AT51">
        <f>AS51*$F$2</f>
        <v>0</v>
      </c>
      <c r="AU51" s="63">
        <f t="shared" ref="AU51:AU58" si="120">MOD($F5+AT51+$B439,$F$1)</f>
        <v>7</v>
      </c>
      <c r="AV51" s="98"/>
      <c r="AW51" s="284"/>
      <c r="AX51" s="62">
        <v>1</v>
      </c>
      <c r="AY51">
        <f>IF(AV51="", AS51,IF(AV51=MIN(AV$51:AV$58),AS51+1,0))</f>
        <v>0</v>
      </c>
      <c r="AZ51">
        <f>AY51*$F$2</f>
        <v>0</v>
      </c>
      <c r="BA51" s="63">
        <f t="shared" ref="BA51:BA58" si="121">MOD($F5+AZ51+$B439,$F$1)</f>
        <v>7</v>
      </c>
      <c r="BB51" s="98"/>
      <c r="BC51" s="284"/>
      <c r="BD51" s="62">
        <v>1</v>
      </c>
      <c r="BE51">
        <f>IF(BB51="", AY51,IF(BB51=MIN(BB$51:BB$58),AY51+1,0))</f>
        <v>0</v>
      </c>
      <c r="BF51">
        <f>BE51*$F$2</f>
        <v>0</v>
      </c>
      <c r="BG51" s="63">
        <f t="shared" ref="BG51:BG58" si="122">MOD($F5+BF51+$B439,$F$1)</f>
        <v>7</v>
      </c>
      <c r="BH51" s="98"/>
      <c r="BI51" s="287"/>
      <c r="BJ51" s="171"/>
      <c r="BK51" s="280"/>
      <c r="BL51" s="62">
        <v>1</v>
      </c>
      <c r="BM51">
        <f>IF(BH51="", BE51,IF(BH51=MIN(BH$51:BH$58),BE51+1,0))</f>
        <v>0</v>
      </c>
      <c r="BN51">
        <f>BM51*$F$2</f>
        <v>0</v>
      </c>
      <c r="BO51" s="63">
        <f t="shared" ref="BO51:BO58" si="123">MOD($F5+BN51+$B439,$F$1)</f>
        <v>7</v>
      </c>
      <c r="BP51" s="149"/>
      <c r="BQ51" s="284"/>
      <c r="BR51" s="62">
        <v>1</v>
      </c>
      <c r="BS51">
        <f>IF(BP51="", BM51,IF(BP51=MIN(BP$51:BP$58),BM51+1,0))</f>
        <v>0</v>
      </c>
      <c r="BT51">
        <f>BS51*$F$2</f>
        <v>0</v>
      </c>
      <c r="BU51" s="63">
        <f t="shared" ref="BU51:BU58" si="124">MOD($F5+BT51+$B439,$F$1)</f>
        <v>7</v>
      </c>
      <c r="BV51" s="149"/>
      <c r="BW51" s="284"/>
      <c r="BX51" s="62">
        <v>1</v>
      </c>
      <c r="BY51">
        <f>IF(BV51="", BS51,IF(BV51=MIN(BV$51:BV$58),BS51+1,0))</f>
        <v>0</v>
      </c>
      <c r="BZ51">
        <f>BY51*$F$2</f>
        <v>0</v>
      </c>
      <c r="CA51" s="63">
        <f t="shared" ref="CA51:CA58" si="125">MOD($F5+BZ51+$B439,$F$1)</f>
        <v>7</v>
      </c>
      <c r="CB51" s="149"/>
      <c r="CC51" s="287"/>
      <c r="CJ51" s="138"/>
    </row>
    <row r="52" spans="1:88" x14ac:dyDescent="0.45">
      <c r="A52" s="280"/>
      <c r="B52" s="1">
        <v>2</v>
      </c>
      <c r="C52">
        <f t="shared" ref="C52:C58" si="126">IF(B52=MIN(B$21:B$28),1,0)</f>
        <v>0</v>
      </c>
      <c r="D52">
        <v>0</v>
      </c>
      <c r="E52" s="30">
        <f t="shared" ref="E52:E58" si="127">MOD($F6+D52+$B$39,$F$1)</f>
        <v>1</v>
      </c>
      <c r="F52" s="150"/>
      <c r="G52" s="287"/>
      <c r="H52" s="174"/>
      <c r="I52" s="280"/>
      <c r="J52" s="1">
        <v>2</v>
      </c>
      <c r="K52">
        <f t="shared" si="109"/>
        <v>0</v>
      </c>
      <c r="L52">
        <f t="shared" si="110"/>
        <v>0</v>
      </c>
      <c r="M52" s="30">
        <f t="shared" si="111"/>
        <v>3</v>
      </c>
      <c r="N52" s="150"/>
      <c r="O52" s="284"/>
      <c r="P52" s="1">
        <v>2</v>
      </c>
      <c r="Q52">
        <f t="shared" si="112"/>
        <v>0</v>
      </c>
      <c r="R52">
        <f t="shared" ref="R52:R58" si="128">Q52*$F$2</f>
        <v>0</v>
      </c>
      <c r="S52" s="30">
        <f t="shared" si="113"/>
        <v>3</v>
      </c>
      <c r="T52" s="150">
        <v>16</v>
      </c>
      <c r="U52" s="287"/>
      <c r="V52" s="174"/>
      <c r="W52" s="280"/>
      <c r="X52" s="127">
        <v>2</v>
      </c>
      <c r="Y52">
        <f t="shared" si="114"/>
        <v>0</v>
      </c>
      <c r="Z52" s="125">
        <f t="shared" ref="Z52:Z58" si="129">Y52*$F$2</f>
        <v>0</v>
      </c>
      <c r="AA52" s="128">
        <f t="shared" si="115"/>
        <v>3</v>
      </c>
      <c r="AB52" s="158"/>
      <c r="AC52" s="284"/>
      <c r="AD52" s="1">
        <v>2</v>
      </c>
      <c r="AE52">
        <f t="shared" si="116"/>
        <v>0</v>
      </c>
      <c r="AF52">
        <f t="shared" ref="AF52:AF58" si="130">AE52*$F$2</f>
        <v>0</v>
      </c>
      <c r="AG52" s="30">
        <f t="shared" si="117"/>
        <v>3</v>
      </c>
      <c r="AH52" s="150"/>
      <c r="AI52" s="284"/>
      <c r="AJ52" s="1">
        <v>2</v>
      </c>
      <c r="AK52">
        <f t="shared" si="20"/>
        <v>0</v>
      </c>
      <c r="AL52">
        <f t="shared" ref="AL52:AL58" si="131">AK52*$F$2</f>
        <v>0</v>
      </c>
      <c r="AM52" s="30">
        <f t="shared" si="118"/>
        <v>3</v>
      </c>
      <c r="AN52" s="150"/>
      <c r="AO52" s="287"/>
      <c r="AP52" s="174"/>
      <c r="AQ52" s="280"/>
      <c r="AR52" s="1">
        <v>2</v>
      </c>
      <c r="AS52">
        <f t="shared" si="119"/>
        <v>0</v>
      </c>
      <c r="AT52">
        <f t="shared" ref="AT52:AT58" si="132">AS52*$F$2</f>
        <v>0</v>
      </c>
      <c r="AU52" s="30">
        <f t="shared" si="120"/>
        <v>3</v>
      </c>
      <c r="AV52" s="96"/>
      <c r="AW52" s="284"/>
      <c r="AX52" s="1">
        <v>2</v>
      </c>
      <c r="AY52">
        <f>IF(AV52="", AS52,IF(AV52=MIN(AV$51:AV$58),AS52+1,0))</f>
        <v>0</v>
      </c>
      <c r="AZ52">
        <f t="shared" ref="AZ52:AZ58" si="133">AY52*$F$2</f>
        <v>0</v>
      </c>
      <c r="BA52" s="30">
        <f t="shared" si="121"/>
        <v>3</v>
      </c>
      <c r="BB52" s="96"/>
      <c r="BC52" s="284"/>
      <c r="BD52" s="1">
        <v>2</v>
      </c>
      <c r="BE52">
        <f>IF(BB52="", AY52,IF(BB52=MIN(BB$51:BB$58),AY52+1,0))</f>
        <v>0</v>
      </c>
      <c r="BF52">
        <f t="shared" ref="BF52:BF58" si="134">BE52*$F$2</f>
        <v>0</v>
      </c>
      <c r="BG52" s="30">
        <f t="shared" si="122"/>
        <v>3</v>
      </c>
      <c r="BH52" s="96">
        <v>28</v>
      </c>
      <c r="BI52" s="287"/>
      <c r="BJ52" s="171"/>
      <c r="BK52" s="280"/>
      <c r="BL52" s="1">
        <v>2</v>
      </c>
      <c r="BM52">
        <f t="shared" ref="BM52:BM58" si="135">IF(BH52="", BE52,IF(BH52=MIN(BH$51:BH$58),BE52+1,0))</f>
        <v>0</v>
      </c>
      <c r="BN52">
        <f t="shared" ref="BN52:BN58" si="136">BM52*$F$2</f>
        <v>0</v>
      </c>
      <c r="BO52" s="30">
        <f t="shared" si="123"/>
        <v>3</v>
      </c>
      <c r="BP52" s="150"/>
      <c r="BQ52" s="284"/>
      <c r="BR52" s="1">
        <v>2</v>
      </c>
      <c r="BS52">
        <f>IF(BP52="", BM52,IF(BP52=MIN(BP$51:BP$58),BM52+1,0))</f>
        <v>0</v>
      </c>
      <c r="BT52">
        <f t="shared" ref="BT52:BT58" si="137">BS52*$F$2</f>
        <v>0</v>
      </c>
      <c r="BU52" s="30">
        <f t="shared" si="124"/>
        <v>3</v>
      </c>
      <c r="BV52" s="150"/>
      <c r="BW52" s="284"/>
      <c r="BX52" s="1">
        <v>2</v>
      </c>
      <c r="BY52">
        <f>IF(BV52="", BS52,IF(BV52=MIN(BV$51:BV$58),BS52+1,0))</f>
        <v>0</v>
      </c>
      <c r="BZ52">
        <f t="shared" ref="BZ52:BZ58" si="138">BY52*$F$2</f>
        <v>0</v>
      </c>
      <c r="CA52" s="30">
        <f t="shared" si="125"/>
        <v>3</v>
      </c>
      <c r="CB52" s="150"/>
      <c r="CC52" s="287"/>
    </row>
    <row r="53" spans="1:88" x14ac:dyDescent="0.45">
      <c r="A53" s="280"/>
      <c r="B53" s="75">
        <v>3</v>
      </c>
      <c r="C53">
        <f t="shared" si="126"/>
        <v>0</v>
      </c>
      <c r="D53">
        <v>0</v>
      </c>
      <c r="E53" s="30">
        <f t="shared" si="127"/>
        <v>12</v>
      </c>
      <c r="F53" s="150"/>
      <c r="G53" s="287"/>
      <c r="H53" s="174"/>
      <c r="I53" s="280"/>
      <c r="J53" s="75">
        <v>3</v>
      </c>
      <c r="K53">
        <f t="shared" si="109"/>
        <v>0</v>
      </c>
      <c r="L53">
        <f t="shared" si="110"/>
        <v>0</v>
      </c>
      <c r="M53" s="30">
        <f t="shared" si="111"/>
        <v>14</v>
      </c>
      <c r="N53" s="150"/>
      <c r="O53" s="284"/>
      <c r="P53" s="75">
        <v>3</v>
      </c>
      <c r="Q53">
        <f t="shared" si="112"/>
        <v>0</v>
      </c>
      <c r="R53">
        <f t="shared" si="128"/>
        <v>0</v>
      </c>
      <c r="S53" s="30">
        <f t="shared" si="113"/>
        <v>14</v>
      </c>
      <c r="T53" s="150"/>
      <c r="U53" s="287"/>
      <c r="V53" s="174"/>
      <c r="W53" s="280"/>
      <c r="X53" s="75">
        <v>3</v>
      </c>
      <c r="Y53">
        <f t="shared" si="114"/>
        <v>0</v>
      </c>
      <c r="Z53" s="125">
        <f t="shared" si="129"/>
        <v>0</v>
      </c>
      <c r="AA53" s="128">
        <f t="shared" si="115"/>
        <v>14</v>
      </c>
      <c r="AB53" s="158"/>
      <c r="AC53" s="284"/>
      <c r="AD53" s="75">
        <v>3</v>
      </c>
      <c r="AE53">
        <f t="shared" si="116"/>
        <v>0</v>
      </c>
      <c r="AF53">
        <f t="shared" si="130"/>
        <v>0</v>
      </c>
      <c r="AG53" s="30">
        <f t="shared" si="117"/>
        <v>14</v>
      </c>
      <c r="AH53" s="150"/>
      <c r="AI53" s="284"/>
      <c r="AJ53" s="75">
        <v>3</v>
      </c>
      <c r="AK53">
        <f t="shared" si="20"/>
        <v>0</v>
      </c>
      <c r="AL53">
        <f t="shared" si="131"/>
        <v>0</v>
      </c>
      <c r="AM53" s="30">
        <f t="shared" si="118"/>
        <v>14</v>
      </c>
      <c r="AN53" s="150"/>
      <c r="AO53" s="287"/>
      <c r="AP53" s="174"/>
      <c r="AQ53" s="280"/>
      <c r="AR53" s="75">
        <v>3</v>
      </c>
      <c r="AS53">
        <f t="shared" si="119"/>
        <v>0</v>
      </c>
      <c r="AT53">
        <f t="shared" si="132"/>
        <v>0</v>
      </c>
      <c r="AU53" s="30">
        <f t="shared" si="120"/>
        <v>14</v>
      </c>
      <c r="AV53" s="96"/>
      <c r="AW53" s="284"/>
      <c r="AX53" s="75">
        <v>3</v>
      </c>
      <c r="AY53">
        <f t="shared" ref="AY53:AY58" si="139">IF(AV53="", AS53,IF(AV53=MIN(AV$51:AV$58),AS53+1,0))</f>
        <v>0</v>
      </c>
      <c r="AZ53">
        <f t="shared" si="133"/>
        <v>0</v>
      </c>
      <c r="BA53" s="30">
        <f t="shared" si="121"/>
        <v>14</v>
      </c>
      <c r="BB53" s="96"/>
      <c r="BC53" s="284"/>
      <c r="BD53" s="75">
        <v>3</v>
      </c>
      <c r="BE53">
        <f t="shared" ref="BE53:BE58" si="140">IF(BB53="", AY53,IF(BB53=MIN(BB$51:BB$58),AY53+1,0))</f>
        <v>0</v>
      </c>
      <c r="BF53">
        <f t="shared" si="134"/>
        <v>0</v>
      </c>
      <c r="BG53" s="30">
        <f t="shared" si="122"/>
        <v>14</v>
      </c>
      <c r="BH53" s="96"/>
      <c r="BI53" s="287"/>
      <c r="BJ53" s="171"/>
      <c r="BK53" s="280"/>
      <c r="BL53" s="75">
        <v>3</v>
      </c>
      <c r="BM53">
        <f t="shared" si="135"/>
        <v>0</v>
      </c>
      <c r="BN53">
        <f t="shared" si="136"/>
        <v>0</v>
      </c>
      <c r="BO53" s="30">
        <f t="shared" si="123"/>
        <v>14</v>
      </c>
      <c r="BP53" s="150"/>
      <c r="BQ53" s="284"/>
      <c r="BR53" s="75">
        <v>3</v>
      </c>
      <c r="BS53">
        <f t="shared" ref="BS53:BS58" si="141">IF(BP53="", BM53,IF(BP53=MIN(BP$51:BP$58),BM53+1,0))</f>
        <v>0</v>
      </c>
      <c r="BT53">
        <f t="shared" si="137"/>
        <v>0</v>
      </c>
      <c r="BU53" s="30">
        <f t="shared" si="124"/>
        <v>14</v>
      </c>
      <c r="BV53" s="150"/>
      <c r="BW53" s="284"/>
      <c r="BX53" s="75">
        <v>3</v>
      </c>
      <c r="BY53">
        <f t="shared" ref="BY53:BY58" si="142">IF(BV53="", BS53,IF(BV53=MIN(BV$51:BV$58),BS53+1,0))</f>
        <v>0</v>
      </c>
      <c r="BZ53">
        <f t="shared" si="138"/>
        <v>0</v>
      </c>
      <c r="CA53" s="30">
        <f t="shared" si="125"/>
        <v>14</v>
      </c>
      <c r="CB53" s="150"/>
      <c r="CC53" s="287"/>
    </row>
    <row r="54" spans="1:88" x14ac:dyDescent="0.45">
      <c r="A54" s="280"/>
      <c r="B54" s="1">
        <v>4</v>
      </c>
      <c r="C54">
        <f t="shared" si="126"/>
        <v>0</v>
      </c>
      <c r="D54">
        <v>0</v>
      </c>
      <c r="E54" s="30">
        <f t="shared" si="127"/>
        <v>8</v>
      </c>
      <c r="F54" s="150">
        <v>5</v>
      </c>
      <c r="G54" s="287"/>
      <c r="H54" s="174"/>
      <c r="I54" s="280"/>
      <c r="J54" s="1">
        <v>4</v>
      </c>
      <c r="K54">
        <f t="shared" si="109"/>
        <v>1</v>
      </c>
      <c r="L54">
        <f t="shared" si="110"/>
        <v>8</v>
      </c>
      <c r="M54" s="30">
        <f t="shared" si="111"/>
        <v>2</v>
      </c>
      <c r="N54" s="150"/>
      <c r="O54" s="284"/>
      <c r="P54" s="1">
        <v>4</v>
      </c>
      <c r="Q54">
        <f t="shared" si="112"/>
        <v>1</v>
      </c>
      <c r="R54">
        <f t="shared" si="128"/>
        <v>8</v>
      </c>
      <c r="S54" s="30">
        <f t="shared" si="113"/>
        <v>2</v>
      </c>
      <c r="T54" s="150">
        <v>15</v>
      </c>
      <c r="U54" s="287"/>
      <c r="V54" s="174"/>
      <c r="W54" s="280"/>
      <c r="X54" s="127">
        <v>4</v>
      </c>
      <c r="Y54">
        <f t="shared" si="114"/>
        <v>2</v>
      </c>
      <c r="Z54" s="125">
        <f t="shared" si="129"/>
        <v>16</v>
      </c>
      <c r="AA54" s="128">
        <f t="shared" si="115"/>
        <v>10</v>
      </c>
      <c r="AB54" s="158"/>
      <c r="AC54" s="284"/>
      <c r="AD54" s="1">
        <v>4</v>
      </c>
      <c r="AE54">
        <f t="shared" si="116"/>
        <v>2</v>
      </c>
      <c r="AF54">
        <f t="shared" si="130"/>
        <v>16</v>
      </c>
      <c r="AG54" s="30">
        <f t="shared" si="117"/>
        <v>10</v>
      </c>
      <c r="AH54" s="150"/>
      <c r="AI54" s="284"/>
      <c r="AJ54" s="1">
        <v>4</v>
      </c>
      <c r="AK54">
        <f t="shared" si="20"/>
        <v>2</v>
      </c>
      <c r="AL54">
        <f t="shared" si="131"/>
        <v>16</v>
      </c>
      <c r="AM54" s="30">
        <f t="shared" si="118"/>
        <v>10</v>
      </c>
      <c r="AN54" s="150">
        <v>25</v>
      </c>
      <c r="AO54" s="287"/>
      <c r="AP54" s="174"/>
      <c r="AQ54" s="280"/>
      <c r="AR54" s="1">
        <v>4</v>
      </c>
      <c r="AS54">
        <f t="shared" si="119"/>
        <v>3</v>
      </c>
      <c r="AT54">
        <f t="shared" si="132"/>
        <v>24</v>
      </c>
      <c r="AU54" s="30">
        <f t="shared" si="120"/>
        <v>2</v>
      </c>
      <c r="AV54" s="96"/>
      <c r="AW54" s="284"/>
      <c r="AX54" s="1">
        <v>4</v>
      </c>
      <c r="AY54">
        <f t="shared" si="139"/>
        <v>3</v>
      </c>
      <c r="AZ54">
        <f t="shared" si="133"/>
        <v>24</v>
      </c>
      <c r="BA54" s="30">
        <f t="shared" si="121"/>
        <v>2</v>
      </c>
      <c r="BB54" s="96"/>
      <c r="BC54" s="284"/>
      <c r="BD54" s="1">
        <v>4</v>
      </c>
      <c r="BE54">
        <f t="shared" si="140"/>
        <v>3</v>
      </c>
      <c r="BF54">
        <f t="shared" si="134"/>
        <v>24</v>
      </c>
      <c r="BG54" s="30">
        <f t="shared" si="122"/>
        <v>2</v>
      </c>
      <c r="BH54" s="96">
        <v>27</v>
      </c>
      <c r="BI54" s="287"/>
      <c r="BJ54" s="171"/>
      <c r="BK54" s="280"/>
      <c r="BL54" s="1">
        <v>4</v>
      </c>
      <c r="BM54">
        <f t="shared" si="135"/>
        <v>4</v>
      </c>
      <c r="BN54">
        <f t="shared" si="136"/>
        <v>32</v>
      </c>
      <c r="BO54" s="30">
        <f t="shared" si="123"/>
        <v>10</v>
      </c>
      <c r="BP54" s="150"/>
      <c r="BQ54" s="284"/>
      <c r="BR54" s="1">
        <v>4</v>
      </c>
      <c r="BS54">
        <f t="shared" si="141"/>
        <v>4</v>
      </c>
      <c r="BT54">
        <f t="shared" si="137"/>
        <v>32</v>
      </c>
      <c r="BU54" s="30">
        <f t="shared" si="124"/>
        <v>10</v>
      </c>
      <c r="BV54" s="150"/>
      <c r="BW54" s="284"/>
      <c r="BX54" s="1">
        <v>4</v>
      </c>
      <c r="BY54">
        <f t="shared" si="142"/>
        <v>4</v>
      </c>
      <c r="BZ54">
        <f t="shared" si="138"/>
        <v>32</v>
      </c>
      <c r="CA54" s="30">
        <f t="shared" si="125"/>
        <v>10</v>
      </c>
      <c r="CB54" s="150">
        <v>23</v>
      </c>
      <c r="CC54" s="287"/>
    </row>
    <row r="55" spans="1:88" x14ac:dyDescent="0.45">
      <c r="A55" s="280"/>
      <c r="B55" s="1">
        <v>5</v>
      </c>
      <c r="C55">
        <f t="shared" si="126"/>
        <v>0</v>
      </c>
      <c r="D55">
        <v>0</v>
      </c>
      <c r="E55" s="30">
        <f t="shared" si="127"/>
        <v>2</v>
      </c>
      <c r="F55" s="150"/>
      <c r="G55" s="287"/>
      <c r="H55" s="174"/>
      <c r="I55" s="280"/>
      <c r="J55" s="1">
        <v>5</v>
      </c>
      <c r="K55">
        <f t="shared" si="109"/>
        <v>0</v>
      </c>
      <c r="L55">
        <f t="shared" si="110"/>
        <v>0</v>
      </c>
      <c r="M55" s="30">
        <f t="shared" si="111"/>
        <v>4</v>
      </c>
      <c r="N55" s="150"/>
      <c r="O55" s="284"/>
      <c r="P55" s="1">
        <v>5</v>
      </c>
      <c r="Q55">
        <f t="shared" si="112"/>
        <v>0</v>
      </c>
      <c r="R55">
        <f t="shared" si="128"/>
        <v>0</v>
      </c>
      <c r="S55" s="30">
        <f t="shared" si="113"/>
        <v>4</v>
      </c>
      <c r="T55" s="150"/>
      <c r="U55" s="287"/>
      <c r="V55" s="174"/>
      <c r="W55" s="280"/>
      <c r="X55" s="127">
        <v>5</v>
      </c>
      <c r="Y55">
        <f t="shared" si="114"/>
        <v>0</v>
      </c>
      <c r="Z55" s="125">
        <f t="shared" si="129"/>
        <v>0</v>
      </c>
      <c r="AA55" s="128">
        <f t="shared" si="115"/>
        <v>4</v>
      </c>
      <c r="AB55" s="158"/>
      <c r="AC55" s="284"/>
      <c r="AD55" s="1">
        <v>5</v>
      </c>
      <c r="AE55">
        <f t="shared" si="116"/>
        <v>0</v>
      </c>
      <c r="AF55">
        <f t="shared" si="130"/>
        <v>0</v>
      </c>
      <c r="AG55" s="30">
        <f t="shared" si="117"/>
        <v>4</v>
      </c>
      <c r="AH55" s="150"/>
      <c r="AI55" s="284"/>
      <c r="AJ55" s="1">
        <v>5</v>
      </c>
      <c r="AK55">
        <f t="shared" si="20"/>
        <v>0</v>
      </c>
      <c r="AL55">
        <f t="shared" si="131"/>
        <v>0</v>
      </c>
      <c r="AM55" s="30">
        <f t="shared" si="118"/>
        <v>4</v>
      </c>
      <c r="AN55" s="150"/>
      <c r="AO55" s="287"/>
      <c r="AP55" s="174"/>
      <c r="AQ55" s="280"/>
      <c r="AR55" s="1">
        <v>5</v>
      </c>
      <c r="AS55">
        <f t="shared" si="119"/>
        <v>0</v>
      </c>
      <c r="AT55">
        <f t="shared" si="132"/>
        <v>0</v>
      </c>
      <c r="AU55" s="30">
        <f t="shared" si="120"/>
        <v>4</v>
      </c>
      <c r="AV55" s="96"/>
      <c r="AW55" s="284"/>
      <c r="AX55" s="1">
        <v>5</v>
      </c>
      <c r="AY55">
        <f t="shared" si="139"/>
        <v>0</v>
      </c>
      <c r="AZ55">
        <f t="shared" si="133"/>
        <v>0</v>
      </c>
      <c r="BA55" s="30">
        <f t="shared" si="121"/>
        <v>4</v>
      </c>
      <c r="BB55" s="96"/>
      <c r="BC55" s="284"/>
      <c r="BD55" s="1">
        <v>5</v>
      </c>
      <c r="BE55">
        <f t="shared" si="140"/>
        <v>0</v>
      </c>
      <c r="BF55">
        <f t="shared" si="134"/>
        <v>0</v>
      </c>
      <c r="BG55" s="30">
        <f t="shared" si="122"/>
        <v>4</v>
      </c>
      <c r="BH55" s="96"/>
      <c r="BI55" s="287"/>
      <c r="BJ55" s="171"/>
      <c r="BK55" s="280"/>
      <c r="BL55" s="1">
        <v>5</v>
      </c>
      <c r="BM55">
        <f t="shared" si="135"/>
        <v>0</v>
      </c>
      <c r="BN55">
        <f t="shared" si="136"/>
        <v>0</v>
      </c>
      <c r="BO55" s="30">
        <f t="shared" si="123"/>
        <v>4</v>
      </c>
      <c r="BP55" s="150"/>
      <c r="BQ55" s="284"/>
      <c r="BR55" s="1">
        <v>5</v>
      </c>
      <c r="BS55">
        <f t="shared" si="141"/>
        <v>0</v>
      </c>
      <c r="BT55">
        <f t="shared" si="137"/>
        <v>0</v>
      </c>
      <c r="BU55" s="30">
        <f t="shared" si="124"/>
        <v>4</v>
      </c>
      <c r="BV55" s="150"/>
      <c r="BW55" s="284"/>
      <c r="BX55" s="1">
        <v>5</v>
      </c>
      <c r="BY55">
        <f t="shared" si="142"/>
        <v>0</v>
      </c>
      <c r="BZ55">
        <f t="shared" si="138"/>
        <v>0</v>
      </c>
      <c r="CA55" s="30">
        <f t="shared" si="125"/>
        <v>4</v>
      </c>
      <c r="CB55" s="150"/>
      <c r="CC55" s="287"/>
    </row>
    <row r="56" spans="1:88" x14ac:dyDescent="0.45">
      <c r="A56" s="280"/>
      <c r="B56" s="1">
        <v>6</v>
      </c>
      <c r="C56">
        <f t="shared" si="126"/>
        <v>0</v>
      </c>
      <c r="D56">
        <v>0</v>
      </c>
      <c r="E56" s="30">
        <f t="shared" si="127"/>
        <v>14</v>
      </c>
      <c r="F56" s="150"/>
      <c r="G56" s="287"/>
      <c r="H56" s="174"/>
      <c r="I56" s="280"/>
      <c r="J56" s="1">
        <v>6</v>
      </c>
      <c r="K56">
        <f t="shared" si="109"/>
        <v>0</v>
      </c>
      <c r="L56">
        <f t="shared" si="110"/>
        <v>0</v>
      </c>
      <c r="M56" s="30">
        <f t="shared" si="111"/>
        <v>0</v>
      </c>
      <c r="N56" s="150"/>
      <c r="O56" s="284"/>
      <c r="P56" s="1">
        <v>6</v>
      </c>
      <c r="Q56">
        <f t="shared" si="112"/>
        <v>0</v>
      </c>
      <c r="R56">
        <f t="shared" si="128"/>
        <v>0</v>
      </c>
      <c r="S56" s="30">
        <f t="shared" si="113"/>
        <v>0</v>
      </c>
      <c r="T56" s="150"/>
      <c r="U56" s="287"/>
      <c r="V56" s="174"/>
      <c r="W56" s="280"/>
      <c r="X56" s="127">
        <v>6</v>
      </c>
      <c r="Y56">
        <f t="shared" si="114"/>
        <v>0</v>
      </c>
      <c r="Z56" s="125">
        <f t="shared" si="129"/>
        <v>0</v>
      </c>
      <c r="AA56" s="128">
        <f t="shared" si="115"/>
        <v>0</v>
      </c>
      <c r="AB56" s="158"/>
      <c r="AC56" s="284"/>
      <c r="AD56" s="1">
        <v>6</v>
      </c>
      <c r="AE56">
        <f t="shared" si="116"/>
        <v>0</v>
      </c>
      <c r="AF56">
        <f t="shared" si="130"/>
        <v>0</v>
      </c>
      <c r="AG56" s="30">
        <f t="shared" si="117"/>
        <v>0</v>
      </c>
      <c r="AH56" s="150"/>
      <c r="AI56" s="284"/>
      <c r="AJ56" s="1">
        <v>6</v>
      </c>
      <c r="AK56">
        <f t="shared" si="20"/>
        <v>0</v>
      </c>
      <c r="AL56">
        <f t="shared" si="131"/>
        <v>0</v>
      </c>
      <c r="AM56" s="30">
        <f t="shared" si="118"/>
        <v>0</v>
      </c>
      <c r="AN56" s="150"/>
      <c r="AO56" s="287"/>
      <c r="AP56" s="174"/>
      <c r="AQ56" s="280"/>
      <c r="AR56" s="1">
        <v>6</v>
      </c>
      <c r="AS56">
        <f t="shared" si="119"/>
        <v>0</v>
      </c>
      <c r="AT56">
        <f t="shared" si="132"/>
        <v>0</v>
      </c>
      <c r="AU56" s="30">
        <f t="shared" si="120"/>
        <v>0</v>
      </c>
      <c r="AV56" s="96"/>
      <c r="AW56" s="284"/>
      <c r="AX56" s="1">
        <v>6</v>
      </c>
      <c r="AY56">
        <f t="shared" si="139"/>
        <v>0</v>
      </c>
      <c r="AZ56">
        <f t="shared" si="133"/>
        <v>0</v>
      </c>
      <c r="BA56" s="30">
        <f t="shared" si="121"/>
        <v>0</v>
      </c>
      <c r="BB56" s="96"/>
      <c r="BC56" s="284"/>
      <c r="BD56" s="1">
        <v>6</v>
      </c>
      <c r="BE56">
        <f t="shared" si="140"/>
        <v>0</v>
      </c>
      <c r="BF56">
        <f t="shared" si="134"/>
        <v>0</v>
      </c>
      <c r="BG56" s="30">
        <f t="shared" si="122"/>
        <v>0</v>
      </c>
      <c r="BH56" s="96"/>
      <c r="BI56" s="287"/>
      <c r="BJ56" s="171"/>
      <c r="BK56" s="280"/>
      <c r="BL56" s="1">
        <v>6</v>
      </c>
      <c r="BM56">
        <f t="shared" si="135"/>
        <v>0</v>
      </c>
      <c r="BN56">
        <f t="shared" si="136"/>
        <v>0</v>
      </c>
      <c r="BO56" s="30">
        <f t="shared" si="123"/>
        <v>0</v>
      </c>
      <c r="BP56" s="150"/>
      <c r="BQ56" s="284"/>
      <c r="BR56" s="1">
        <v>6</v>
      </c>
      <c r="BS56">
        <f t="shared" si="141"/>
        <v>0</v>
      </c>
      <c r="BT56">
        <f t="shared" si="137"/>
        <v>0</v>
      </c>
      <c r="BU56" s="30">
        <f t="shared" si="124"/>
        <v>0</v>
      </c>
      <c r="BV56" s="150"/>
      <c r="BW56" s="284"/>
      <c r="BX56" s="1">
        <v>6</v>
      </c>
      <c r="BY56">
        <f t="shared" si="142"/>
        <v>0</v>
      </c>
      <c r="BZ56">
        <f t="shared" si="138"/>
        <v>0</v>
      </c>
      <c r="CA56" s="30">
        <f t="shared" si="125"/>
        <v>0</v>
      </c>
      <c r="CB56" s="150"/>
      <c r="CC56" s="287"/>
    </row>
    <row r="57" spans="1:88" x14ac:dyDescent="0.45">
      <c r="A57" s="280"/>
      <c r="B57" s="1">
        <v>7</v>
      </c>
      <c r="C57">
        <f t="shared" si="126"/>
        <v>0</v>
      </c>
      <c r="D57">
        <v>0</v>
      </c>
      <c r="E57" s="30">
        <f t="shared" si="127"/>
        <v>11</v>
      </c>
      <c r="F57" s="150">
        <v>6</v>
      </c>
      <c r="G57" s="287"/>
      <c r="H57" s="174"/>
      <c r="I57" s="280"/>
      <c r="J57" s="1">
        <v>7</v>
      </c>
      <c r="K57">
        <f t="shared" si="109"/>
        <v>0</v>
      </c>
      <c r="L57">
        <f t="shared" si="110"/>
        <v>0</v>
      </c>
      <c r="M57" s="30">
        <f t="shared" si="111"/>
        <v>13</v>
      </c>
      <c r="N57" s="150"/>
      <c r="O57" s="284"/>
      <c r="P57" s="1">
        <v>7</v>
      </c>
      <c r="Q57">
        <f t="shared" si="112"/>
        <v>0</v>
      </c>
      <c r="R57">
        <f t="shared" si="128"/>
        <v>0</v>
      </c>
      <c r="S57" s="30">
        <f t="shared" si="113"/>
        <v>13</v>
      </c>
      <c r="T57" s="150"/>
      <c r="U57" s="287"/>
      <c r="V57" s="174"/>
      <c r="W57" s="280"/>
      <c r="X57" s="127">
        <v>7</v>
      </c>
      <c r="Y57">
        <f t="shared" si="114"/>
        <v>0</v>
      </c>
      <c r="Z57" s="125">
        <f t="shared" si="129"/>
        <v>0</v>
      </c>
      <c r="AA57" s="128">
        <f t="shared" si="115"/>
        <v>13</v>
      </c>
      <c r="AB57" s="158"/>
      <c r="AC57" s="284"/>
      <c r="AD57" s="1">
        <v>7</v>
      </c>
      <c r="AE57">
        <f t="shared" si="116"/>
        <v>0</v>
      </c>
      <c r="AF57">
        <f t="shared" si="130"/>
        <v>0</v>
      </c>
      <c r="AG57" s="30">
        <f t="shared" si="117"/>
        <v>13</v>
      </c>
      <c r="AH57" s="150"/>
      <c r="AI57" s="284"/>
      <c r="AJ57" s="1">
        <v>7</v>
      </c>
      <c r="AK57">
        <f t="shared" si="20"/>
        <v>0</v>
      </c>
      <c r="AL57">
        <f t="shared" si="131"/>
        <v>0</v>
      </c>
      <c r="AM57" s="30">
        <f t="shared" si="118"/>
        <v>13</v>
      </c>
      <c r="AN57" s="150">
        <v>26</v>
      </c>
      <c r="AO57" s="287"/>
      <c r="AP57" s="174"/>
      <c r="AQ57" s="280"/>
      <c r="AR57" s="1">
        <v>7</v>
      </c>
      <c r="AS57">
        <f t="shared" si="119"/>
        <v>0</v>
      </c>
      <c r="AT57">
        <f t="shared" si="132"/>
        <v>0</v>
      </c>
      <c r="AU57" s="30">
        <f t="shared" si="120"/>
        <v>13</v>
      </c>
      <c r="AV57" s="96"/>
      <c r="AW57" s="284"/>
      <c r="AX57" s="1">
        <v>7</v>
      </c>
      <c r="AY57">
        <f t="shared" si="139"/>
        <v>0</v>
      </c>
      <c r="AZ57">
        <f t="shared" si="133"/>
        <v>0</v>
      </c>
      <c r="BA57" s="30">
        <f t="shared" si="121"/>
        <v>13</v>
      </c>
      <c r="BB57" s="96"/>
      <c r="BC57" s="284"/>
      <c r="BD57" s="1">
        <v>7</v>
      </c>
      <c r="BE57">
        <f t="shared" si="140"/>
        <v>0</v>
      </c>
      <c r="BF57">
        <f t="shared" si="134"/>
        <v>0</v>
      </c>
      <c r="BG57" s="30">
        <f t="shared" si="122"/>
        <v>13</v>
      </c>
      <c r="BH57" s="96"/>
      <c r="BI57" s="287"/>
      <c r="BJ57" s="171"/>
      <c r="BK57" s="280"/>
      <c r="BL57" s="1">
        <v>7</v>
      </c>
      <c r="BM57">
        <f t="shared" si="135"/>
        <v>0</v>
      </c>
      <c r="BN57">
        <f t="shared" si="136"/>
        <v>0</v>
      </c>
      <c r="BO57" s="30">
        <f t="shared" si="123"/>
        <v>13</v>
      </c>
      <c r="BP57" s="150"/>
      <c r="BQ57" s="284"/>
      <c r="BR57" s="1">
        <v>7</v>
      </c>
      <c r="BS57">
        <f t="shared" si="141"/>
        <v>0</v>
      </c>
      <c r="BT57">
        <f t="shared" si="137"/>
        <v>0</v>
      </c>
      <c r="BU57" s="30">
        <f t="shared" si="124"/>
        <v>13</v>
      </c>
      <c r="BV57" s="150"/>
      <c r="BW57" s="284"/>
      <c r="BX57" s="1">
        <v>7</v>
      </c>
      <c r="BY57">
        <f t="shared" si="142"/>
        <v>0</v>
      </c>
      <c r="BZ57">
        <f t="shared" si="138"/>
        <v>0</v>
      </c>
      <c r="CA57" s="30">
        <f t="shared" si="125"/>
        <v>13</v>
      </c>
      <c r="CB57" s="150">
        <v>24</v>
      </c>
      <c r="CC57" s="287"/>
    </row>
    <row r="58" spans="1:88" x14ac:dyDescent="0.45">
      <c r="A58" s="281"/>
      <c r="B58" s="51">
        <v>8</v>
      </c>
      <c r="C58" s="53">
        <f t="shared" si="126"/>
        <v>0</v>
      </c>
      <c r="D58" s="53">
        <v>0</v>
      </c>
      <c r="E58" s="54">
        <f t="shared" si="127"/>
        <v>7</v>
      </c>
      <c r="F58" s="151"/>
      <c r="G58" s="287"/>
      <c r="H58" s="174"/>
      <c r="I58" s="281"/>
      <c r="J58" s="51">
        <v>8</v>
      </c>
      <c r="K58">
        <f t="shared" si="109"/>
        <v>0</v>
      </c>
      <c r="L58" s="53">
        <f t="shared" si="110"/>
        <v>0</v>
      </c>
      <c r="M58" s="54">
        <f t="shared" si="111"/>
        <v>9</v>
      </c>
      <c r="N58" s="151"/>
      <c r="O58" s="285"/>
      <c r="P58" s="51">
        <v>8</v>
      </c>
      <c r="Q58">
        <f t="shared" si="112"/>
        <v>0</v>
      </c>
      <c r="R58" s="53">
        <f t="shared" si="128"/>
        <v>0</v>
      </c>
      <c r="S58" s="54">
        <f t="shared" si="113"/>
        <v>9</v>
      </c>
      <c r="T58" s="151"/>
      <c r="U58" s="287"/>
      <c r="V58" s="174"/>
      <c r="W58" s="281"/>
      <c r="X58" s="129">
        <v>8</v>
      </c>
      <c r="Y58">
        <f t="shared" si="114"/>
        <v>0</v>
      </c>
      <c r="Z58" s="130">
        <f t="shared" si="129"/>
        <v>0</v>
      </c>
      <c r="AA58" s="131">
        <f t="shared" si="115"/>
        <v>9</v>
      </c>
      <c r="AB58" s="159"/>
      <c r="AC58" s="285"/>
      <c r="AD58" s="51">
        <v>8</v>
      </c>
      <c r="AE58">
        <f t="shared" si="116"/>
        <v>0</v>
      </c>
      <c r="AF58" s="53">
        <f t="shared" si="130"/>
        <v>0</v>
      </c>
      <c r="AG58" s="54">
        <f t="shared" si="117"/>
        <v>9</v>
      </c>
      <c r="AH58" s="151"/>
      <c r="AI58" s="285"/>
      <c r="AJ58" s="51">
        <v>8</v>
      </c>
      <c r="AK58">
        <f t="shared" si="20"/>
        <v>0</v>
      </c>
      <c r="AL58" s="53">
        <f t="shared" si="131"/>
        <v>0</v>
      </c>
      <c r="AM58" s="54">
        <f t="shared" si="118"/>
        <v>9</v>
      </c>
      <c r="AN58" s="151"/>
      <c r="AO58" s="287"/>
      <c r="AP58" s="174"/>
      <c r="AQ58" s="281"/>
      <c r="AR58" s="51">
        <v>8</v>
      </c>
      <c r="AS58">
        <f t="shared" si="119"/>
        <v>0</v>
      </c>
      <c r="AT58" s="53">
        <f t="shared" si="132"/>
        <v>0</v>
      </c>
      <c r="AU58" s="54">
        <f t="shared" si="120"/>
        <v>9</v>
      </c>
      <c r="AV58" s="97"/>
      <c r="AW58" s="285"/>
      <c r="AX58" s="51">
        <v>8</v>
      </c>
      <c r="AY58">
        <f t="shared" si="139"/>
        <v>0</v>
      </c>
      <c r="AZ58" s="53">
        <f t="shared" si="133"/>
        <v>0</v>
      </c>
      <c r="BA58" s="54">
        <f t="shared" si="121"/>
        <v>9</v>
      </c>
      <c r="BB58" s="97"/>
      <c r="BC58" s="285"/>
      <c r="BD58" s="51">
        <v>8</v>
      </c>
      <c r="BE58">
        <f t="shared" si="140"/>
        <v>0</v>
      </c>
      <c r="BF58" s="53">
        <f t="shared" si="134"/>
        <v>0</v>
      </c>
      <c r="BG58" s="54">
        <f t="shared" si="122"/>
        <v>9</v>
      </c>
      <c r="BH58" s="97"/>
      <c r="BI58" s="287"/>
      <c r="BJ58" s="171"/>
      <c r="BK58" s="281"/>
      <c r="BL58" s="51">
        <v>8</v>
      </c>
      <c r="BM58">
        <f t="shared" si="135"/>
        <v>0</v>
      </c>
      <c r="BN58" s="53">
        <f t="shared" si="136"/>
        <v>0</v>
      </c>
      <c r="BO58" s="54">
        <f t="shared" si="123"/>
        <v>9</v>
      </c>
      <c r="BP58" s="151"/>
      <c r="BQ58" s="285"/>
      <c r="BR58" s="51">
        <v>8</v>
      </c>
      <c r="BS58">
        <f t="shared" si="141"/>
        <v>0</v>
      </c>
      <c r="BT58" s="53">
        <f t="shared" si="137"/>
        <v>0</v>
      </c>
      <c r="BU58" s="54">
        <f t="shared" si="124"/>
        <v>9</v>
      </c>
      <c r="BV58" s="151"/>
      <c r="BW58" s="285"/>
      <c r="BX58" s="51">
        <v>8</v>
      </c>
      <c r="BY58">
        <f t="shared" si="142"/>
        <v>0</v>
      </c>
      <c r="BZ58" s="53">
        <f t="shared" si="138"/>
        <v>0</v>
      </c>
      <c r="CA58" s="54">
        <f t="shared" si="125"/>
        <v>9</v>
      </c>
      <c r="CB58" s="151"/>
      <c r="CC58" s="287"/>
    </row>
    <row r="59" spans="1:88" s="79" customFormat="1" x14ac:dyDescent="0.45">
      <c r="A59" s="279">
        <v>5</v>
      </c>
      <c r="B59" s="48">
        <f>O9</f>
        <v>10</v>
      </c>
      <c r="C59" s="87" t="s">
        <v>154</v>
      </c>
      <c r="D59" s="10" t="s">
        <v>158</v>
      </c>
      <c r="E59" s="88" t="s">
        <v>152</v>
      </c>
      <c r="F59" s="152"/>
      <c r="G59" s="287">
        <f>IF(COUNT(F60:F68) &gt;0, COUNT(F60:F68)/2,"")</f>
        <v>1</v>
      </c>
      <c r="H59" s="174"/>
      <c r="I59" s="279">
        <v>5</v>
      </c>
      <c r="J59" s="93"/>
      <c r="K59" s="87" t="s">
        <v>154</v>
      </c>
      <c r="L59" s="10" t="s">
        <v>158</v>
      </c>
      <c r="M59" s="88" t="s">
        <v>152</v>
      </c>
      <c r="N59" s="152"/>
      <c r="O59" s="286">
        <v>5</v>
      </c>
      <c r="P59" s="93"/>
      <c r="Q59" s="87" t="s">
        <v>154</v>
      </c>
      <c r="R59" s="10" t="s">
        <v>158</v>
      </c>
      <c r="S59" s="88" t="s">
        <v>152</v>
      </c>
      <c r="T59" s="152"/>
      <c r="U59" s="287">
        <f>IF(COUNT(N60:N68,T60:T68) &gt;0, COUNT(N60:N68,T60:T68)/2,"")</f>
        <v>1</v>
      </c>
      <c r="V59" s="174"/>
      <c r="W59" s="279">
        <v>5</v>
      </c>
      <c r="X59" s="93"/>
      <c r="Y59" s="87" t="s">
        <v>154</v>
      </c>
      <c r="Z59" s="121" t="s">
        <v>158</v>
      </c>
      <c r="AA59" s="122" t="s">
        <v>152</v>
      </c>
      <c r="AB59" s="160"/>
      <c r="AC59" s="286">
        <v>5</v>
      </c>
      <c r="AD59" s="93"/>
      <c r="AE59" s="87" t="s">
        <v>154</v>
      </c>
      <c r="AF59" s="10" t="s">
        <v>158</v>
      </c>
      <c r="AG59" s="88" t="s">
        <v>152</v>
      </c>
      <c r="AH59" s="152"/>
      <c r="AI59" s="286">
        <v>5</v>
      </c>
      <c r="AJ59" s="93"/>
      <c r="AK59" t="str">
        <f t="shared" si="20"/>
        <v xml:space="preserve">CTR </v>
      </c>
      <c r="AL59" s="10" t="s">
        <v>158</v>
      </c>
      <c r="AM59" s="88" t="s">
        <v>152</v>
      </c>
      <c r="AN59" s="152"/>
      <c r="AO59" s="287">
        <f>IF(COUNT(AB60:AB68,AH60:AH68,AN60:AN68) &gt;0, COUNT(AB60:AB68,AH60:AH68,AN60:AN68) /2,"")</f>
        <v>1</v>
      </c>
      <c r="AP59" s="174"/>
      <c r="AQ59" s="279">
        <v>5</v>
      </c>
      <c r="AR59" s="93"/>
      <c r="AS59" s="87" t="s">
        <v>154</v>
      </c>
      <c r="AT59" s="10" t="s">
        <v>158</v>
      </c>
      <c r="AU59" s="88" t="s">
        <v>152</v>
      </c>
      <c r="AV59" s="94"/>
      <c r="AW59" s="286">
        <v>5</v>
      </c>
      <c r="AX59" s="93"/>
      <c r="AY59" s="87" t="s">
        <v>154</v>
      </c>
      <c r="AZ59" s="10" t="s">
        <v>158</v>
      </c>
      <c r="BA59" s="88" t="s">
        <v>152</v>
      </c>
      <c r="BB59" s="94"/>
      <c r="BC59" s="286">
        <v>5</v>
      </c>
      <c r="BD59" s="93"/>
      <c r="BE59" s="87" t="s">
        <v>154</v>
      </c>
      <c r="BF59" s="10" t="s">
        <v>158</v>
      </c>
      <c r="BG59" s="88" t="s">
        <v>152</v>
      </c>
      <c r="BH59" s="94"/>
      <c r="BI59" s="287">
        <f>IF(COUNT(AV60:AV68,BB60:BB68,BH60:BH68) &gt;0, COUNT(AV60:AV68,BB60:BB68,BH60:BH68) /2,"")</f>
        <v>1</v>
      </c>
      <c r="BJ59" s="171"/>
      <c r="BK59" s="279">
        <v>5</v>
      </c>
      <c r="BL59" s="93"/>
      <c r="BM59" s="87" t="s">
        <v>154</v>
      </c>
      <c r="BN59" s="10" t="s">
        <v>158</v>
      </c>
      <c r="BO59" s="88" t="s">
        <v>152</v>
      </c>
      <c r="BP59" s="152"/>
      <c r="BQ59" s="286">
        <v>5</v>
      </c>
      <c r="BR59" s="93"/>
      <c r="BS59" s="87" t="s">
        <v>154</v>
      </c>
      <c r="BT59" s="10" t="s">
        <v>158</v>
      </c>
      <c r="BU59" s="88" t="s">
        <v>152</v>
      </c>
      <c r="BV59" s="152"/>
      <c r="BW59" s="286">
        <v>5</v>
      </c>
      <c r="BX59" s="93"/>
      <c r="BY59" s="87" t="s">
        <v>154</v>
      </c>
      <c r="BZ59" s="10" t="s">
        <v>158</v>
      </c>
      <c r="CA59" s="88" t="s">
        <v>152</v>
      </c>
      <c r="CB59" s="152"/>
      <c r="CC59" s="287">
        <f>IF(COUNT(BP60:BP68,BV60:BV68,CB60:CB68) &gt;0, COUNT(BP60:BP68,BV60:BV68,CB60:CB68) /2,"")</f>
        <v>1</v>
      </c>
      <c r="CD59"/>
      <c r="CE59"/>
      <c r="CF59"/>
      <c r="CG59"/>
      <c r="CH59"/>
      <c r="CI59"/>
      <c r="CJ59"/>
    </row>
    <row r="60" spans="1:88" ht="46" x14ac:dyDescent="0.45">
      <c r="A60" s="280"/>
      <c r="B60" s="92" t="s">
        <v>162</v>
      </c>
      <c r="C60" s="102" t="s">
        <v>156</v>
      </c>
      <c r="D60" s="89" t="s">
        <v>157</v>
      </c>
      <c r="E60" s="86" t="s">
        <v>159</v>
      </c>
      <c r="F60" s="148"/>
      <c r="G60" s="287"/>
      <c r="H60" s="174"/>
      <c r="I60" s="280"/>
      <c r="J60" s="92" t="s">
        <v>162</v>
      </c>
      <c r="K60" s="90" t="s">
        <v>155</v>
      </c>
      <c r="L60" s="89" t="s">
        <v>157</v>
      </c>
      <c r="M60" s="86" t="s">
        <v>159</v>
      </c>
      <c r="N60" s="148"/>
      <c r="O60" s="284"/>
      <c r="P60" s="92" t="s">
        <v>162</v>
      </c>
      <c r="Q60" s="90" t="s">
        <v>155</v>
      </c>
      <c r="R60" s="89" t="s">
        <v>157</v>
      </c>
      <c r="S60" s="86" t="s">
        <v>159</v>
      </c>
      <c r="T60" s="148"/>
      <c r="U60" s="287"/>
      <c r="V60" s="174"/>
      <c r="W60" s="280"/>
      <c r="X60" s="92" t="s">
        <v>162</v>
      </c>
      <c r="Y60" s="90" t="s">
        <v>155</v>
      </c>
      <c r="Z60" s="123" t="s">
        <v>157</v>
      </c>
      <c r="AA60" s="86" t="s">
        <v>159</v>
      </c>
      <c r="AB60" s="156"/>
      <c r="AC60" s="284"/>
      <c r="AD60" s="92" t="s">
        <v>162</v>
      </c>
      <c r="AE60" s="90" t="s">
        <v>155</v>
      </c>
      <c r="AF60" s="89" t="s">
        <v>157</v>
      </c>
      <c r="AG60" s="86" t="s">
        <v>159</v>
      </c>
      <c r="AH60" s="148"/>
      <c r="AI60" s="284"/>
      <c r="AJ60" s="92" t="s">
        <v>162</v>
      </c>
      <c r="AK60" t="str">
        <f t="shared" si="20"/>
        <v>CTR=CTR+1</v>
      </c>
      <c r="AL60" s="89" t="s">
        <v>157</v>
      </c>
      <c r="AM60" s="86" t="s">
        <v>159</v>
      </c>
      <c r="AN60" s="148"/>
      <c r="AO60" s="287"/>
      <c r="AP60" s="174"/>
      <c r="AQ60" s="280"/>
      <c r="AR60" s="92" t="s">
        <v>162</v>
      </c>
      <c r="AS60" s="90" t="s">
        <v>155</v>
      </c>
      <c r="AT60" s="89" t="s">
        <v>157</v>
      </c>
      <c r="AU60" s="86" t="s">
        <v>159</v>
      </c>
      <c r="AV60" s="95"/>
      <c r="AW60" s="284"/>
      <c r="AX60" s="92" t="s">
        <v>162</v>
      </c>
      <c r="AY60" s="90" t="s">
        <v>155</v>
      </c>
      <c r="AZ60" s="89" t="s">
        <v>157</v>
      </c>
      <c r="BA60" s="86" t="s">
        <v>159</v>
      </c>
      <c r="BB60" s="95"/>
      <c r="BC60" s="284"/>
      <c r="BD60" s="92" t="s">
        <v>162</v>
      </c>
      <c r="BE60" s="90" t="s">
        <v>155</v>
      </c>
      <c r="BF60" s="89" t="s">
        <v>157</v>
      </c>
      <c r="BG60" s="86" t="s">
        <v>159</v>
      </c>
      <c r="BH60" s="95"/>
      <c r="BI60" s="287"/>
      <c r="BJ60" s="171"/>
      <c r="BK60" s="280"/>
      <c r="BL60" s="92" t="s">
        <v>162</v>
      </c>
      <c r="BM60" s="90" t="s">
        <v>155</v>
      </c>
      <c r="BN60" s="89" t="s">
        <v>157</v>
      </c>
      <c r="BO60" s="86" t="s">
        <v>159</v>
      </c>
      <c r="BP60" s="148"/>
      <c r="BQ60" s="284"/>
      <c r="BR60" s="92" t="s">
        <v>162</v>
      </c>
      <c r="BS60" s="90" t="s">
        <v>155</v>
      </c>
      <c r="BT60" s="89" t="s">
        <v>157</v>
      </c>
      <c r="BU60" s="86" t="s">
        <v>159</v>
      </c>
      <c r="BV60" s="148"/>
      <c r="BW60" s="284"/>
      <c r="BX60" s="92" t="s">
        <v>162</v>
      </c>
      <c r="BY60" s="90" t="s">
        <v>155</v>
      </c>
      <c r="BZ60" s="89" t="s">
        <v>157</v>
      </c>
      <c r="CA60" s="86" t="s">
        <v>159</v>
      </c>
      <c r="CB60" s="148"/>
      <c r="CC60" s="287"/>
    </row>
    <row r="61" spans="1:88" x14ac:dyDescent="0.45">
      <c r="A61" s="280"/>
      <c r="B61" s="62">
        <v>1</v>
      </c>
      <c r="C61">
        <v>0</v>
      </c>
      <c r="D61">
        <v>0</v>
      </c>
      <c r="E61" s="63">
        <f>MOD($F5+D61+$B$39,$F$1)</f>
        <v>5</v>
      </c>
      <c r="F61" s="149">
        <v>16</v>
      </c>
      <c r="G61" s="287"/>
      <c r="H61" s="174"/>
      <c r="I61" s="280"/>
      <c r="J61" s="62">
        <v>1</v>
      </c>
      <c r="K61">
        <f t="shared" ref="K61:K68" si="143">IF(F61="", C61,IF(F61=MIN(F$61:F$68),C61+1,0))</f>
        <v>0</v>
      </c>
      <c r="L61">
        <f t="shared" ref="L61:L68" si="144">K61*$F$2</f>
        <v>0</v>
      </c>
      <c r="M61" s="63">
        <f t="shared" ref="M61:M68" si="145">MOD($F5+L61+$B$39,$F$1)</f>
        <v>5</v>
      </c>
      <c r="N61" s="149"/>
      <c r="O61" s="284"/>
      <c r="P61" s="62">
        <v>1</v>
      </c>
      <c r="Q61">
        <f t="shared" ref="Q61:Q68" si="146">IF(N61="", K61,IF(N61=MIN(N$61:N$68),K61+1,0))</f>
        <v>0</v>
      </c>
      <c r="R61">
        <f>Q61*$F$2</f>
        <v>0</v>
      </c>
      <c r="S61" s="63">
        <f t="shared" ref="S61:S68" si="147">MOD($F5+R61+$B$39,$F$1)</f>
        <v>5</v>
      </c>
      <c r="T61" s="149"/>
      <c r="U61" s="287"/>
      <c r="V61" s="174"/>
      <c r="W61" s="280"/>
      <c r="X61" s="124">
        <v>1</v>
      </c>
      <c r="Y61">
        <f t="shared" ref="Y61:Y68" si="148">IF(T61="", Q61,IF(T61=MIN(T$61:T$68),Q61+1,0))</f>
        <v>0</v>
      </c>
      <c r="Z61" s="125">
        <f>Y61*$F$2</f>
        <v>0</v>
      </c>
      <c r="AA61" s="126">
        <f t="shared" ref="AA61:AA68" si="149">MOD($F5+Z61+$B$39,$F$1)</f>
        <v>5</v>
      </c>
      <c r="AB61" s="158">
        <v>8</v>
      </c>
      <c r="AC61" s="284"/>
      <c r="AD61" s="62">
        <v>1</v>
      </c>
      <c r="AE61">
        <f>IF(AB61="", Y61,IF(AB61=MIN(AB$61:AB$68),Y61+1,0))</f>
        <v>0</v>
      </c>
      <c r="AF61">
        <f>AE61*$F$2</f>
        <v>0</v>
      </c>
      <c r="AG61" s="63">
        <f t="shared" ref="AG61:AG68" si="150">MOD($F5+AF61+$B$39,$F$1)</f>
        <v>5</v>
      </c>
      <c r="AH61" s="149"/>
      <c r="AI61" s="284"/>
      <c r="AJ61" s="62">
        <v>1</v>
      </c>
      <c r="AK61">
        <f t="shared" si="20"/>
        <v>0</v>
      </c>
      <c r="AL61">
        <f>AK61*$F$2</f>
        <v>0</v>
      </c>
      <c r="AM61" s="63">
        <f t="shared" ref="AM61:AM68" si="151">MOD($F5+AL61+$B$39,$F$1)</f>
        <v>5</v>
      </c>
      <c r="AN61" s="149"/>
      <c r="AO61" s="287"/>
      <c r="AP61" s="174"/>
      <c r="AQ61" s="280"/>
      <c r="AR61" s="62">
        <v>1</v>
      </c>
      <c r="AS61">
        <f t="shared" ref="AS61:AS68" si="152">IF(AN61="", AK61,IF(AN61=MIN(AN$61:AN$68),AK61+1,0))</f>
        <v>0</v>
      </c>
      <c r="AT61">
        <f>AS61*$F$2</f>
        <v>0</v>
      </c>
      <c r="AU61" s="63">
        <f t="shared" ref="AU61:AU68" si="153">MOD($F5+AT61+$B$39,$F$1)</f>
        <v>5</v>
      </c>
      <c r="AV61" s="98"/>
      <c r="AW61" s="284"/>
      <c r="AX61" s="62">
        <v>1</v>
      </c>
      <c r="AY61">
        <f>IF(AV61="", AS61,IF(AV61=MIN(AV$61:AV$68),AS61+1,0))</f>
        <v>0</v>
      </c>
      <c r="AZ61">
        <f>AY61*$F$2</f>
        <v>0</v>
      </c>
      <c r="BA61" s="63">
        <f t="shared" ref="BA61:BA68" si="154">MOD($F5+AZ61+$B$39,$F$1)</f>
        <v>5</v>
      </c>
      <c r="BB61" s="98"/>
      <c r="BC61" s="284"/>
      <c r="BD61" s="62">
        <v>1</v>
      </c>
      <c r="BE61">
        <f>IF(BB61="", AY61,IF(BB61=MIN(BB$61:BB$68),AY61+1,0))</f>
        <v>0</v>
      </c>
      <c r="BF61">
        <f>BE61*$F$2</f>
        <v>0</v>
      </c>
      <c r="BG61" s="63">
        <f t="shared" ref="BG61:BG68" si="155">MOD($F5+BF61+$B$39,$F$1)</f>
        <v>5</v>
      </c>
      <c r="BH61" s="98"/>
      <c r="BI61" s="287"/>
      <c r="BJ61" s="171"/>
      <c r="BK61" s="280"/>
      <c r="BL61" s="62">
        <v>1</v>
      </c>
      <c r="BM61">
        <f>IF(BH61="", BE61,IF(BH61=MIN(BH$61:BH$68),BE61+1,0))</f>
        <v>0</v>
      </c>
      <c r="BN61">
        <f>BM61*$F$2</f>
        <v>0</v>
      </c>
      <c r="BO61" s="63">
        <f t="shared" ref="BO61:BO68" si="156">MOD($F5+BN61+$B$39,$F$1)</f>
        <v>5</v>
      </c>
      <c r="BP61" s="149">
        <v>8</v>
      </c>
      <c r="BQ61" s="284"/>
      <c r="BR61" s="62">
        <v>1</v>
      </c>
      <c r="BS61">
        <f>IF(BP61="", BM61,IF(BP61=MIN(BP$61:BP$68),BM61+1,0))</f>
        <v>0</v>
      </c>
      <c r="BT61">
        <f>BS61*$F$2</f>
        <v>0</v>
      </c>
      <c r="BU61" s="63">
        <f t="shared" ref="BU61:BU68" si="157">MOD($F5+BT61+$B$39,$F$1)</f>
        <v>5</v>
      </c>
      <c r="BV61" s="149"/>
      <c r="BW61" s="284"/>
      <c r="BX61" s="62">
        <v>1</v>
      </c>
      <c r="BY61">
        <f>IF(BV61="", BS61,IF(BV61=MIN(BV$61:BV$68),BS61+1,0))</f>
        <v>0</v>
      </c>
      <c r="BZ61">
        <f>BY61*$F$2</f>
        <v>0</v>
      </c>
      <c r="CA61" s="63">
        <f t="shared" ref="CA61:CA68" si="158">MOD($F5+BZ61+$B$39,$F$1)</f>
        <v>5</v>
      </c>
      <c r="CB61" s="149"/>
      <c r="CC61" s="287"/>
    </row>
    <row r="62" spans="1:88" x14ac:dyDescent="0.45">
      <c r="A62" s="280"/>
      <c r="B62" s="1">
        <v>2</v>
      </c>
      <c r="C62">
        <f t="shared" ref="C62:C68" si="159">IF(B62=MIN(B$21:B$28),1,0)</f>
        <v>0</v>
      </c>
      <c r="D62">
        <v>0</v>
      </c>
      <c r="E62" s="30">
        <f t="shared" ref="E62:E68" si="160">MOD($F6+D62+$B$39,$F$1)</f>
        <v>1</v>
      </c>
      <c r="F62" s="150"/>
      <c r="G62" s="287"/>
      <c r="H62" s="174"/>
      <c r="I62" s="280"/>
      <c r="J62" s="1">
        <v>2</v>
      </c>
      <c r="K62">
        <f t="shared" si="143"/>
        <v>0</v>
      </c>
      <c r="L62">
        <f t="shared" si="144"/>
        <v>0</v>
      </c>
      <c r="M62" s="30">
        <f t="shared" si="145"/>
        <v>1</v>
      </c>
      <c r="N62" s="150"/>
      <c r="O62" s="284"/>
      <c r="P62" s="1">
        <v>2</v>
      </c>
      <c r="Q62">
        <f t="shared" si="146"/>
        <v>0</v>
      </c>
      <c r="R62">
        <f t="shared" ref="R62:R68" si="161">Q62*$F$2</f>
        <v>0</v>
      </c>
      <c r="S62" s="30">
        <f t="shared" si="147"/>
        <v>1</v>
      </c>
      <c r="T62" s="150"/>
      <c r="U62" s="287"/>
      <c r="V62" s="174"/>
      <c r="W62" s="280"/>
      <c r="X62" s="127">
        <v>2</v>
      </c>
      <c r="Y62">
        <f t="shared" si="148"/>
        <v>0</v>
      </c>
      <c r="Z62" s="125">
        <f t="shared" ref="Z62:Z68" si="162">Y62*$F$2</f>
        <v>0</v>
      </c>
      <c r="AA62" s="128">
        <f t="shared" si="149"/>
        <v>1</v>
      </c>
      <c r="AB62" s="158"/>
      <c r="AC62" s="284"/>
      <c r="AD62" s="1">
        <v>2</v>
      </c>
      <c r="AE62">
        <f t="shared" ref="AE62:AE68" si="163">IF(AB62="", Y62,IF(AB62=MIN(AB$61:AB$68),Y62+1,0))</f>
        <v>0</v>
      </c>
      <c r="AF62">
        <f t="shared" ref="AF62:AF68" si="164">AE62*$F$2</f>
        <v>0</v>
      </c>
      <c r="AG62" s="30">
        <f t="shared" si="150"/>
        <v>1</v>
      </c>
      <c r="AH62" s="150"/>
      <c r="AI62" s="284"/>
      <c r="AJ62" s="1">
        <v>2</v>
      </c>
      <c r="AK62">
        <f t="shared" si="20"/>
        <v>0</v>
      </c>
      <c r="AL62">
        <f t="shared" ref="AL62:AL68" si="165">AK62*$F$2</f>
        <v>0</v>
      </c>
      <c r="AM62" s="30">
        <f t="shared" si="151"/>
        <v>1</v>
      </c>
      <c r="AN62" s="150"/>
      <c r="AO62" s="287"/>
      <c r="AP62" s="174"/>
      <c r="AQ62" s="280"/>
      <c r="AR62" s="1">
        <v>2</v>
      </c>
      <c r="AS62">
        <f t="shared" si="152"/>
        <v>0</v>
      </c>
      <c r="AT62">
        <f t="shared" ref="AT62:AT68" si="166">AS62*$F$2</f>
        <v>0</v>
      </c>
      <c r="AU62" s="30">
        <f t="shared" si="153"/>
        <v>1</v>
      </c>
      <c r="AV62" s="96"/>
      <c r="AW62" s="284"/>
      <c r="AX62" s="1">
        <v>2</v>
      </c>
      <c r="AY62">
        <f t="shared" ref="AY62:AY68" si="167">IF(AV62="", AS62,IF(AV62=MIN(AV$61:AV$68),AS62+1,0))</f>
        <v>0</v>
      </c>
      <c r="AZ62">
        <f t="shared" ref="AZ62:AZ68" si="168">AY62*$F$2</f>
        <v>0</v>
      </c>
      <c r="BA62" s="30">
        <f t="shared" si="154"/>
        <v>1</v>
      </c>
      <c r="BB62" s="96"/>
      <c r="BC62" s="284"/>
      <c r="BD62" s="1">
        <v>2</v>
      </c>
      <c r="BE62">
        <f t="shared" ref="BE62:BE68" si="169">IF(BB62="", AY62,IF(BB62=MIN(BB$61:BB$68),AY62+1,0))</f>
        <v>0</v>
      </c>
      <c r="BF62">
        <f t="shared" ref="BF62:BF68" si="170">BE62*$F$2</f>
        <v>0</v>
      </c>
      <c r="BG62" s="30">
        <f t="shared" si="155"/>
        <v>1</v>
      </c>
      <c r="BH62" s="96"/>
      <c r="BI62" s="287"/>
      <c r="BJ62" s="171"/>
      <c r="BK62" s="280"/>
      <c r="BL62" s="1">
        <v>2</v>
      </c>
      <c r="BM62">
        <f t="shared" ref="BM62:BM68" si="171">IF(BH62="", BE62,IF(BH62=MIN(BH$61:BH$68),BE62+1,0))</f>
        <v>0</v>
      </c>
      <c r="BN62">
        <f t="shared" ref="BN62:BN68" si="172">BM62*$F$2</f>
        <v>0</v>
      </c>
      <c r="BO62" s="30">
        <f t="shared" si="156"/>
        <v>1</v>
      </c>
      <c r="BP62" s="150"/>
      <c r="BQ62" s="284"/>
      <c r="BR62" s="1">
        <v>2</v>
      </c>
      <c r="BS62">
        <f t="shared" ref="BS62:BS68" si="173">IF(BP62="", BM62,IF(BP62=MIN(BP$61:BP$68),BM62+1,0))</f>
        <v>0</v>
      </c>
      <c r="BT62">
        <f t="shared" ref="BT62:BT68" si="174">BS62*$F$2</f>
        <v>0</v>
      </c>
      <c r="BU62" s="30">
        <f t="shared" si="157"/>
        <v>1</v>
      </c>
      <c r="BV62" s="150"/>
      <c r="BW62" s="284"/>
      <c r="BX62" s="1">
        <v>2</v>
      </c>
      <c r="BY62">
        <f t="shared" ref="BY62:BY68" si="175">IF(BV62="", BS62,IF(BV62=MIN(BV$61:BV$68),BS62+1,0))</f>
        <v>0</v>
      </c>
      <c r="BZ62">
        <f t="shared" ref="BZ62:BZ68" si="176">BY62*$F$2</f>
        <v>0</v>
      </c>
      <c r="CA62" s="30">
        <f t="shared" si="158"/>
        <v>1</v>
      </c>
      <c r="CB62" s="150"/>
      <c r="CC62" s="287"/>
      <c r="CJ62" s="138"/>
    </row>
    <row r="63" spans="1:88" x14ac:dyDescent="0.45">
      <c r="A63" s="280"/>
      <c r="B63" s="75">
        <v>3</v>
      </c>
      <c r="C63">
        <f t="shared" si="159"/>
        <v>0</v>
      </c>
      <c r="D63">
        <v>0</v>
      </c>
      <c r="E63" s="30">
        <f t="shared" si="160"/>
        <v>12</v>
      </c>
      <c r="F63" s="150"/>
      <c r="G63" s="287"/>
      <c r="H63" s="174"/>
      <c r="I63" s="280"/>
      <c r="J63" s="75">
        <v>3</v>
      </c>
      <c r="K63">
        <f t="shared" si="143"/>
        <v>0</v>
      </c>
      <c r="L63">
        <f t="shared" si="144"/>
        <v>0</v>
      </c>
      <c r="M63" s="30">
        <f t="shared" si="145"/>
        <v>12</v>
      </c>
      <c r="N63" s="150"/>
      <c r="O63" s="284"/>
      <c r="P63" s="75">
        <v>3</v>
      </c>
      <c r="Q63">
        <f t="shared" si="146"/>
        <v>0</v>
      </c>
      <c r="R63">
        <f t="shared" si="161"/>
        <v>0</v>
      </c>
      <c r="S63" s="30">
        <f t="shared" si="147"/>
        <v>12</v>
      </c>
      <c r="T63" s="150"/>
      <c r="U63" s="287"/>
      <c r="V63" s="174"/>
      <c r="W63" s="280"/>
      <c r="X63" s="75">
        <v>3</v>
      </c>
      <c r="Y63">
        <f t="shared" si="148"/>
        <v>0</v>
      </c>
      <c r="Z63" s="125">
        <f t="shared" si="162"/>
        <v>0</v>
      </c>
      <c r="AA63" s="128">
        <f t="shared" si="149"/>
        <v>12</v>
      </c>
      <c r="AB63" s="158"/>
      <c r="AC63" s="284"/>
      <c r="AD63" s="75">
        <v>3</v>
      </c>
      <c r="AE63">
        <f t="shared" si="163"/>
        <v>0</v>
      </c>
      <c r="AF63">
        <f t="shared" si="164"/>
        <v>0</v>
      </c>
      <c r="AG63" s="30">
        <f t="shared" si="150"/>
        <v>12</v>
      </c>
      <c r="AH63" s="150"/>
      <c r="AI63" s="284"/>
      <c r="AJ63" s="75">
        <v>3</v>
      </c>
      <c r="AK63">
        <f t="shared" si="20"/>
        <v>0</v>
      </c>
      <c r="AL63">
        <f t="shared" si="165"/>
        <v>0</v>
      </c>
      <c r="AM63" s="30">
        <f t="shared" si="151"/>
        <v>12</v>
      </c>
      <c r="AN63" s="150"/>
      <c r="AO63" s="287"/>
      <c r="AP63" s="174"/>
      <c r="AQ63" s="280"/>
      <c r="AR63" s="75">
        <v>3</v>
      </c>
      <c r="AS63">
        <f t="shared" si="152"/>
        <v>0</v>
      </c>
      <c r="AT63">
        <f t="shared" si="166"/>
        <v>0</v>
      </c>
      <c r="AU63" s="30">
        <f t="shared" si="153"/>
        <v>12</v>
      </c>
      <c r="AV63" s="96"/>
      <c r="AW63" s="284"/>
      <c r="AX63" s="75">
        <v>3</v>
      </c>
      <c r="AY63">
        <f t="shared" si="167"/>
        <v>0</v>
      </c>
      <c r="AZ63">
        <f t="shared" si="168"/>
        <v>0</v>
      </c>
      <c r="BA63" s="30">
        <f t="shared" si="154"/>
        <v>12</v>
      </c>
      <c r="BB63" s="96"/>
      <c r="BC63" s="284"/>
      <c r="BD63" s="75">
        <v>3</v>
      </c>
      <c r="BE63">
        <f t="shared" si="169"/>
        <v>0</v>
      </c>
      <c r="BF63">
        <f t="shared" si="170"/>
        <v>0</v>
      </c>
      <c r="BG63" s="30">
        <f t="shared" si="155"/>
        <v>12</v>
      </c>
      <c r="BH63" s="96"/>
      <c r="BI63" s="287"/>
      <c r="BJ63" s="171"/>
      <c r="BK63" s="280"/>
      <c r="BL63" s="75">
        <v>3</v>
      </c>
      <c r="BM63">
        <f t="shared" si="171"/>
        <v>0</v>
      </c>
      <c r="BN63">
        <f t="shared" si="172"/>
        <v>0</v>
      </c>
      <c r="BO63" s="30">
        <f t="shared" si="156"/>
        <v>12</v>
      </c>
      <c r="BP63" s="150"/>
      <c r="BQ63" s="284"/>
      <c r="BR63" s="75">
        <v>3</v>
      </c>
      <c r="BS63">
        <f t="shared" si="173"/>
        <v>0</v>
      </c>
      <c r="BT63">
        <f t="shared" si="174"/>
        <v>0</v>
      </c>
      <c r="BU63" s="30">
        <f t="shared" si="157"/>
        <v>12</v>
      </c>
      <c r="BV63" s="150"/>
      <c r="BW63" s="284"/>
      <c r="BX63" s="75">
        <v>3</v>
      </c>
      <c r="BY63">
        <f t="shared" si="175"/>
        <v>0</v>
      </c>
      <c r="BZ63">
        <f t="shared" si="176"/>
        <v>0</v>
      </c>
      <c r="CA63" s="30">
        <f t="shared" si="158"/>
        <v>12</v>
      </c>
      <c r="CB63" s="150"/>
      <c r="CC63" s="287"/>
    </row>
    <row r="64" spans="1:88" x14ac:dyDescent="0.45">
      <c r="A64" s="280"/>
      <c r="B64" s="1">
        <v>4</v>
      </c>
      <c r="C64">
        <f t="shared" si="159"/>
        <v>0</v>
      </c>
      <c r="D64">
        <v>0</v>
      </c>
      <c r="E64" s="30">
        <f t="shared" si="160"/>
        <v>8</v>
      </c>
      <c r="F64" s="150"/>
      <c r="G64" s="287"/>
      <c r="H64" s="174"/>
      <c r="I64" s="280"/>
      <c r="J64" s="1">
        <v>4</v>
      </c>
      <c r="K64">
        <f t="shared" si="143"/>
        <v>0</v>
      </c>
      <c r="L64">
        <f t="shared" si="144"/>
        <v>0</v>
      </c>
      <c r="M64" s="30">
        <f t="shared" si="145"/>
        <v>8</v>
      </c>
      <c r="N64" s="150"/>
      <c r="O64" s="284"/>
      <c r="P64" s="1">
        <v>4</v>
      </c>
      <c r="Q64">
        <f t="shared" si="146"/>
        <v>0</v>
      </c>
      <c r="R64">
        <f t="shared" si="161"/>
        <v>0</v>
      </c>
      <c r="S64" s="30">
        <f t="shared" si="147"/>
        <v>8</v>
      </c>
      <c r="T64" s="150"/>
      <c r="U64" s="287"/>
      <c r="V64" s="174"/>
      <c r="W64" s="280"/>
      <c r="X64" s="127">
        <v>4</v>
      </c>
      <c r="Y64">
        <f t="shared" si="148"/>
        <v>0</v>
      </c>
      <c r="Z64" s="125">
        <f t="shared" si="162"/>
        <v>0</v>
      </c>
      <c r="AA64" s="128">
        <f t="shared" si="149"/>
        <v>8</v>
      </c>
      <c r="AB64" s="158"/>
      <c r="AC64" s="284"/>
      <c r="AD64" s="1">
        <v>4</v>
      </c>
      <c r="AE64">
        <f t="shared" si="163"/>
        <v>0</v>
      </c>
      <c r="AF64">
        <f t="shared" si="164"/>
        <v>0</v>
      </c>
      <c r="AG64" s="30">
        <f t="shared" si="150"/>
        <v>8</v>
      </c>
      <c r="AH64" s="150"/>
      <c r="AI64" s="284"/>
      <c r="AJ64" s="1">
        <v>4</v>
      </c>
      <c r="AK64">
        <f t="shared" si="20"/>
        <v>0</v>
      </c>
      <c r="AL64">
        <f t="shared" si="165"/>
        <v>0</v>
      </c>
      <c r="AM64" s="30">
        <f t="shared" si="151"/>
        <v>8</v>
      </c>
      <c r="AN64" s="150"/>
      <c r="AO64" s="287"/>
      <c r="AP64" s="174"/>
      <c r="AQ64" s="280"/>
      <c r="AR64" s="1">
        <v>4</v>
      </c>
      <c r="AS64">
        <f t="shared" si="152"/>
        <v>0</v>
      </c>
      <c r="AT64">
        <f t="shared" si="166"/>
        <v>0</v>
      </c>
      <c r="AU64" s="30">
        <f t="shared" si="153"/>
        <v>8</v>
      </c>
      <c r="AV64" s="96"/>
      <c r="AW64" s="284"/>
      <c r="AX64" s="1">
        <v>4</v>
      </c>
      <c r="AY64">
        <f t="shared" si="167"/>
        <v>0</v>
      </c>
      <c r="AZ64">
        <f t="shared" si="168"/>
        <v>0</v>
      </c>
      <c r="BA64" s="30">
        <f t="shared" si="154"/>
        <v>8</v>
      </c>
      <c r="BB64" s="96"/>
      <c r="BC64" s="284"/>
      <c r="BD64" s="1">
        <v>4</v>
      </c>
      <c r="BE64">
        <f t="shared" si="169"/>
        <v>0</v>
      </c>
      <c r="BF64">
        <f t="shared" si="170"/>
        <v>0</v>
      </c>
      <c r="BG64" s="30">
        <f t="shared" si="155"/>
        <v>8</v>
      </c>
      <c r="BH64" s="96"/>
      <c r="BI64" s="287"/>
      <c r="BJ64" s="171"/>
      <c r="BK64" s="280"/>
      <c r="BL64" s="1">
        <v>4</v>
      </c>
      <c r="BM64">
        <f t="shared" si="171"/>
        <v>0</v>
      </c>
      <c r="BN64">
        <f t="shared" si="172"/>
        <v>0</v>
      </c>
      <c r="BO64" s="30">
        <f t="shared" si="156"/>
        <v>8</v>
      </c>
      <c r="BP64" s="150"/>
      <c r="BQ64" s="284"/>
      <c r="BR64" s="1">
        <v>4</v>
      </c>
      <c r="BS64">
        <f t="shared" si="173"/>
        <v>0</v>
      </c>
      <c r="BT64">
        <f t="shared" si="174"/>
        <v>0</v>
      </c>
      <c r="BU64" s="30">
        <f t="shared" si="157"/>
        <v>8</v>
      </c>
      <c r="BV64" s="150"/>
      <c r="BW64" s="284"/>
      <c r="BX64" s="1">
        <v>4</v>
      </c>
      <c r="BY64">
        <f t="shared" si="175"/>
        <v>0</v>
      </c>
      <c r="BZ64">
        <f t="shared" si="176"/>
        <v>0</v>
      </c>
      <c r="CA64" s="30">
        <f t="shared" si="158"/>
        <v>8</v>
      </c>
      <c r="CB64" s="150"/>
      <c r="CC64" s="287"/>
    </row>
    <row r="65" spans="1:88" x14ac:dyDescent="0.45">
      <c r="A65" s="280"/>
      <c r="B65" s="1">
        <v>5</v>
      </c>
      <c r="C65">
        <f t="shared" si="159"/>
        <v>0</v>
      </c>
      <c r="D65">
        <v>0</v>
      </c>
      <c r="E65" s="30">
        <f t="shared" si="160"/>
        <v>2</v>
      </c>
      <c r="F65" s="150">
        <v>15</v>
      </c>
      <c r="G65" s="287"/>
      <c r="H65" s="174"/>
      <c r="I65" s="280"/>
      <c r="J65" s="1">
        <v>5</v>
      </c>
      <c r="K65">
        <f t="shared" si="143"/>
        <v>1</v>
      </c>
      <c r="L65">
        <f t="shared" si="144"/>
        <v>8</v>
      </c>
      <c r="M65" s="30">
        <f t="shared" si="145"/>
        <v>10</v>
      </c>
      <c r="N65" s="150"/>
      <c r="O65" s="284"/>
      <c r="P65" s="1">
        <v>5</v>
      </c>
      <c r="Q65">
        <f t="shared" si="146"/>
        <v>1</v>
      </c>
      <c r="R65">
        <f t="shared" si="161"/>
        <v>8</v>
      </c>
      <c r="S65" s="30">
        <f t="shared" si="147"/>
        <v>10</v>
      </c>
      <c r="T65" s="150">
        <v>19</v>
      </c>
      <c r="U65" s="287"/>
      <c r="V65" s="174"/>
      <c r="W65" s="280"/>
      <c r="X65" s="127">
        <v>5</v>
      </c>
      <c r="Y65">
        <f t="shared" si="148"/>
        <v>2</v>
      </c>
      <c r="Z65" s="125">
        <f t="shared" si="162"/>
        <v>16</v>
      </c>
      <c r="AA65" s="128">
        <f t="shared" si="149"/>
        <v>2</v>
      </c>
      <c r="AB65" s="158">
        <v>7</v>
      </c>
      <c r="AC65" s="284"/>
      <c r="AD65" s="1">
        <v>5</v>
      </c>
      <c r="AE65">
        <f t="shared" si="163"/>
        <v>3</v>
      </c>
      <c r="AF65">
        <f t="shared" si="164"/>
        <v>24</v>
      </c>
      <c r="AG65" s="30">
        <f t="shared" si="150"/>
        <v>10</v>
      </c>
      <c r="AH65" s="150"/>
      <c r="AI65" s="284"/>
      <c r="AJ65" s="1">
        <v>5</v>
      </c>
      <c r="AK65">
        <f t="shared" si="20"/>
        <v>3</v>
      </c>
      <c r="AL65">
        <f t="shared" si="165"/>
        <v>24</v>
      </c>
      <c r="AM65" s="30">
        <f t="shared" si="151"/>
        <v>10</v>
      </c>
      <c r="AN65" s="150"/>
      <c r="AO65" s="287"/>
      <c r="AP65" s="174"/>
      <c r="AQ65" s="280"/>
      <c r="AR65" s="1">
        <v>5</v>
      </c>
      <c r="AS65">
        <f t="shared" si="152"/>
        <v>3</v>
      </c>
      <c r="AT65">
        <f t="shared" si="166"/>
        <v>24</v>
      </c>
      <c r="AU65" s="30">
        <f t="shared" si="153"/>
        <v>10</v>
      </c>
      <c r="AV65" s="96">
        <v>7</v>
      </c>
      <c r="AW65" s="284"/>
      <c r="AX65" s="1">
        <v>5</v>
      </c>
      <c r="AY65">
        <f t="shared" si="167"/>
        <v>4</v>
      </c>
      <c r="AZ65">
        <f t="shared" si="168"/>
        <v>32</v>
      </c>
      <c r="BA65" s="30">
        <f t="shared" si="154"/>
        <v>2</v>
      </c>
      <c r="BB65" s="96"/>
      <c r="BC65" s="284"/>
      <c r="BD65" s="1">
        <v>5</v>
      </c>
      <c r="BE65">
        <f t="shared" si="169"/>
        <v>4</v>
      </c>
      <c r="BF65">
        <f t="shared" si="170"/>
        <v>32</v>
      </c>
      <c r="BG65" s="30">
        <f t="shared" si="155"/>
        <v>2</v>
      </c>
      <c r="BH65" s="96"/>
      <c r="BI65" s="287"/>
      <c r="BJ65" s="171"/>
      <c r="BK65" s="280"/>
      <c r="BL65" s="1">
        <v>5</v>
      </c>
      <c r="BM65">
        <f t="shared" si="171"/>
        <v>4</v>
      </c>
      <c r="BN65">
        <f t="shared" si="172"/>
        <v>32</v>
      </c>
      <c r="BO65" s="30">
        <f t="shared" si="156"/>
        <v>2</v>
      </c>
      <c r="BP65" s="150">
        <v>7</v>
      </c>
      <c r="BQ65" s="284"/>
      <c r="BR65" s="1">
        <v>5</v>
      </c>
      <c r="BS65">
        <f t="shared" si="173"/>
        <v>5</v>
      </c>
      <c r="BT65">
        <f t="shared" si="174"/>
        <v>40</v>
      </c>
      <c r="BU65" s="30">
        <f t="shared" si="157"/>
        <v>10</v>
      </c>
      <c r="BV65" s="150"/>
      <c r="BW65" s="284"/>
      <c r="BX65" s="1">
        <v>5</v>
      </c>
      <c r="BY65">
        <f t="shared" si="175"/>
        <v>5</v>
      </c>
      <c r="BZ65">
        <f t="shared" si="176"/>
        <v>40</v>
      </c>
      <c r="CA65" s="30">
        <f t="shared" si="158"/>
        <v>10</v>
      </c>
      <c r="CB65" s="150"/>
      <c r="CC65" s="287"/>
    </row>
    <row r="66" spans="1:88" x14ac:dyDescent="0.45">
      <c r="A66" s="280"/>
      <c r="B66" s="1">
        <v>6</v>
      </c>
      <c r="C66">
        <f t="shared" si="159"/>
        <v>0</v>
      </c>
      <c r="D66">
        <v>0</v>
      </c>
      <c r="E66" s="30">
        <f t="shared" si="160"/>
        <v>14</v>
      </c>
      <c r="F66" s="150"/>
      <c r="G66" s="287"/>
      <c r="H66" s="174"/>
      <c r="I66" s="280"/>
      <c r="J66" s="1">
        <v>6</v>
      </c>
      <c r="K66">
        <f t="shared" si="143"/>
        <v>0</v>
      </c>
      <c r="L66">
        <f t="shared" si="144"/>
        <v>0</v>
      </c>
      <c r="M66" s="30">
        <f t="shared" si="145"/>
        <v>14</v>
      </c>
      <c r="N66" s="150"/>
      <c r="O66" s="284"/>
      <c r="P66" s="1">
        <v>6</v>
      </c>
      <c r="Q66">
        <f t="shared" si="146"/>
        <v>0</v>
      </c>
      <c r="R66">
        <f t="shared" si="161"/>
        <v>0</v>
      </c>
      <c r="S66" s="30">
        <f t="shared" si="147"/>
        <v>14</v>
      </c>
      <c r="T66" s="150"/>
      <c r="U66" s="287"/>
      <c r="V66" s="174"/>
      <c r="W66" s="280"/>
      <c r="X66" s="127">
        <v>6</v>
      </c>
      <c r="Y66">
        <f t="shared" si="148"/>
        <v>0</v>
      </c>
      <c r="Z66" s="125">
        <f t="shared" si="162"/>
        <v>0</v>
      </c>
      <c r="AA66" s="128">
        <f t="shared" si="149"/>
        <v>14</v>
      </c>
      <c r="AB66" s="158"/>
      <c r="AC66" s="284"/>
      <c r="AD66" s="1">
        <v>6</v>
      </c>
      <c r="AE66">
        <f t="shared" si="163"/>
        <v>0</v>
      </c>
      <c r="AF66">
        <f t="shared" si="164"/>
        <v>0</v>
      </c>
      <c r="AG66" s="30">
        <f t="shared" si="150"/>
        <v>14</v>
      </c>
      <c r="AH66" s="150"/>
      <c r="AI66" s="284"/>
      <c r="AJ66" s="1">
        <v>6</v>
      </c>
      <c r="AK66">
        <f t="shared" si="20"/>
        <v>0</v>
      </c>
      <c r="AL66">
        <f t="shared" si="165"/>
        <v>0</v>
      </c>
      <c r="AM66" s="30">
        <f t="shared" si="151"/>
        <v>14</v>
      </c>
      <c r="AN66" s="150"/>
      <c r="AO66" s="287"/>
      <c r="AP66" s="174"/>
      <c r="AQ66" s="280"/>
      <c r="AR66" s="1">
        <v>6</v>
      </c>
      <c r="AS66">
        <f t="shared" si="152"/>
        <v>0</v>
      </c>
      <c r="AT66">
        <f t="shared" si="166"/>
        <v>0</v>
      </c>
      <c r="AU66" s="30">
        <f t="shared" si="153"/>
        <v>14</v>
      </c>
      <c r="AV66" s="96"/>
      <c r="AW66" s="284"/>
      <c r="AX66" s="1">
        <v>6</v>
      </c>
      <c r="AY66">
        <f t="shared" si="167"/>
        <v>0</v>
      </c>
      <c r="AZ66">
        <f t="shared" si="168"/>
        <v>0</v>
      </c>
      <c r="BA66" s="30">
        <f t="shared" si="154"/>
        <v>14</v>
      </c>
      <c r="BB66" s="96"/>
      <c r="BC66" s="284"/>
      <c r="BD66" s="1">
        <v>6</v>
      </c>
      <c r="BE66">
        <f t="shared" si="169"/>
        <v>0</v>
      </c>
      <c r="BF66">
        <f t="shared" si="170"/>
        <v>0</v>
      </c>
      <c r="BG66" s="30">
        <f t="shared" si="155"/>
        <v>14</v>
      </c>
      <c r="BH66" s="96"/>
      <c r="BI66" s="287"/>
      <c r="BJ66" s="171"/>
      <c r="BK66" s="280"/>
      <c r="BL66" s="1">
        <v>6</v>
      </c>
      <c r="BM66">
        <f t="shared" si="171"/>
        <v>0</v>
      </c>
      <c r="BN66">
        <f t="shared" si="172"/>
        <v>0</v>
      </c>
      <c r="BO66" s="30">
        <f t="shared" si="156"/>
        <v>14</v>
      </c>
      <c r="BP66" s="150"/>
      <c r="BQ66" s="284"/>
      <c r="BR66" s="1">
        <v>6</v>
      </c>
      <c r="BS66">
        <f t="shared" si="173"/>
        <v>0</v>
      </c>
      <c r="BT66">
        <f t="shared" si="174"/>
        <v>0</v>
      </c>
      <c r="BU66" s="30">
        <f t="shared" si="157"/>
        <v>14</v>
      </c>
      <c r="BV66" s="150"/>
      <c r="BW66" s="284"/>
      <c r="BX66" s="1">
        <v>6</v>
      </c>
      <c r="BY66">
        <f t="shared" si="175"/>
        <v>0</v>
      </c>
      <c r="BZ66">
        <f t="shared" si="176"/>
        <v>0</v>
      </c>
      <c r="CA66" s="30">
        <f t="shared" si="158"/>
        <v>14</v>
      </c>
      <c r="CB66" s="150"/>
      <c r="CC66" s="287"/>
    </row>
    <row r="67" spans="1:88" x14ac:dyDescent="0.45">
      <c r="A67" s="280"/>
      <c r="B67" s="1">
        <v>7</v>
      </c>
      <c r="C67">
        <f t="shared" si="159"/>
        <v>0</v>
      </c>
      <c r="D67">
        <v>0</v>
      </c>
      <c r="E67" s="30">
        <f t="shared" si="160"/>
        <v>11</v>
      </c>
      <c r="F67" s="150"/>
      <c r="G67" s="287"/>
      <c r="H67" s="174"/>
      <c r="I67" s="280"/>
      <c r="J67" s="1">
        <v>7</v>
      </c>
      <c r="K67">
        <f t="shared" si="143"/>
        <v>0</v>
      </c>
      <c r="L67">
        <f t="shared" si="144"/>
        <v>0</v>
      </c>
      <c r="M67" s="30">
        <f t="shared" si="145"/>
        <v>11</v>
      </c>
      <c r="N67" s="150"/>
      <c r="O67" s="284"/>
      <c r="P67" s="1">
        <v>7</v>
      </c>
      <c r="Q67">
        <f t="shared" si="146"/>
        <v>0</v>
      </c>
      <c r="R67">
        <f t="shared" si="161"/>
        <v>0</v>
      </c>
      <c r="S67" s="30">
        <f t="shared" si="147"/>
        <v>11</v>
      </c>
      <c r="T67" s="150">
        <v>20</v>
      </c>
      <c r="U67" s="287"/>
      <c r="V67" s="174"/>
      <c r="W67" s="280"/>
      <c r="X67" s="127">
        <v>7</v>
      </c>
      <c r="Y67">
        <f t="shared" si="148"/>
        <v>0</v>
      </c>
      <c r="Z67" s="125">
        <f t="shared" si="162"/>
        <v>0</v>
      </c>
      <c r="AA67" s="128">
        <f t="shared" si="149"/>
        <v>11</v>
      </c>
      <c r="AB67" s="158"/>
      <c r="AC67" s="284"/>
      <c r="AD67" s="1">
        <v>7</v>
      </c>
      <c r="AE67">
        <f t="shared" si="163"/>
        <v>0</v>
      </c>
      <c r="AF67">
        <f t="shared" si="164"/>
        <v>0</v>
      </c>
      <c r="AG67" s="30">
        <f t="shared" si="150"/>
        <v>11</v>
      </c>
      <c r="AH67" s="150"/>
      <c r="AI67" s="284"/>
      <c r="AJ67" s="1">
        <v>7</v>
      </c>
      <c r="AK67">
        <f t="shared" si="20"/>
        <v>0</v>
      </c>
      <c r="AL67">
        <f t="shared" si="165"/>
        <v>0</v>
      </c>
      <c r="AM67" s="30">
        <f t="shared" si="151"/>
        <v>11</v>
      </c>
      <c r="AN67" s="150"/>
      <c r="AO67" s="287"/>
      <c r="AP67" s="174"/>
      <c r="AQ67" s="280"/>
      <c r="AR67" s="1">
        <v>7</v>
      </c>
      <c r="AS67">
        <f t="shared" si="152"/>
        <v>0</v>
      </c>
      <c r="AT67">
        <f t="shared" si="166"/>
        <v>0</v>
      </c>
      <c r="AU67" s="30">
        <f t="shared" si="153"/>
        <v>11</v>
      </c>
      <c r="AV67" s="96">
        <v>8</v>
      </c>
      <c r="AW67" s="284"/>
      <c r="AX67" s="1">
        <v>7</v>
      </c>
      <c r="AY67">
        <f t="shared" si="167"/>
        <v>0</v>
      </c>
      <c r="AZ67">
        <f t="shared" si="168"/>
        <v>0</v>
      </c>
      <c r="BA67" s="30">
        <f t="shared" si="154"/>
        <v>11</v>
      </c>
      <c r="BB67" s="96"/>
      <c r="BC67" s="284"/>
      <c r="BD67" s="1">
        <v>7</v>
      </c>
      <c r="BE67">
        <f t="shared" si="169"/>
        <v>0</v>
      </c>
      <c r="BF67">
        <f t="shared" si="170"/>
        <v>0</v>
      </c>
      <c r="BG67" s="30">
        <f t="shared" si="155"/>
        <v>11</v>
      </c>
      <c r="BH67" s="96"/>
      <c r="BI67" s="287"/>
      <c r="BJ67" s="171"/>
      <c r="BK67" s="280"/>
      <c r="BL67" s="1">
        <v>7</v>
      </c>
      <c r="BM67">
        <f t="shared" si="171"/>
        <v>0</v>
      </c>
      <c r="BN67">
        <f t="shared" si="172"/>
        <v>0</v>
      </c>
      <c r="BO67" s="30">
        <f t="shared" si="156"/>
        <v>11</v>
      </c>
      <c r="BP67" s="150"/>
      <c r="BQ67" s="284"/>
      <c r="BR67" s="1">
        <v>7</v>
      </c>
      <c r="BS67">
        <f t="shared" si="173"/>
        <v>0</v>
      </c>
      <c r="BT67">
        <f t="shared" si="174"/>
        <v>0</v>
      </c>
      <c r="BU67" s="30">
        <f t="shared" si="157"/>
        <v>11</v>
      </c>
      <c r="BV67" s="150"/>
      <c r="BW67" s="284"/>
      <c r="BX67" s="1">
        <v>7</v>
      </c>
      <c r="BY67">
        <f t="shared" si="175"/>
        <v>0</v>
      </c>
      <c r="BZ67">
        <f t="shared" si="176"/>
        <v>0</v>
      </c>
      <c r="CA67" s="30">
        <f t="shared" si="158"/>
        <v>11</v>
      </c>
      <c r="CB67" s="150"/>
      <c r="CC67" s="287"/>
    </row>
    <row r="68" spans="1:88" x14ac:dyDescent="0.45">
      <c r="A68" s="281"/>
      <c r="B68" s="51">
        <v>8</v>
      </c>
      <c r="C68" s="53">
        <f t="shared" si="159"/>
        <v>0</v>
      </c>
      <c r="D68" s="53">
        <v>0</v>
      </c>
      <c r="E68" s="54">
        <f t="shared" si="160"/>
        <v>7</v>
      </c>
      <c r="F68" s="151"/>
      <c r="G68" s="287"/>
      <c r="H68" s="174"/>
      <c r="I68" s="281"/>
      <c r="J68" s="51">
        <v>8</v>
      </c>
      <c r="K68">
        <f t="shared" si="143"/>
        <v>0</v>
      </c>
      <c r="L68" s="53">
        <f t="shared" si="144"/>
        <v>0</v>
      </c>
      <c r="M68" s="54">
        <f t="shared" si="145"/>
        <v>7</v>
      </c>
      <c r="N68" s="151"/>
      <c r="O68" s="285"/>
      <c r="P68" s="51">
        <v>8</v>
      </c>
      <c r="Q68">
        <f t="shared" si="146"/>
        <v>0</v>
      </c>
      <c r="R68" s="53">
        <f t="shared" si="161"/>
        <v>0</v>
      </c>
      <c r="S68" s="54">
        <f t="shared" si="147"/>
        <v>7</v>
      </c>
      <c r="T68" s="151"/>
      <c r="U68" s="287"/>
      <c r="V68" s="174"/>
      <c r="W68" s="281"/>
      <c r="X68" s="129">
        <v>8</v>
      </c>
      <c r="Y68">
        <f t="shared" si="148"/>
        <v>0</v>
      </c>
      <c r="Z68" s="130">
        <f t="shared" si="162"/>
        <v>0</v>
      </c>
      <c r="AA68" s="131">
        <f t="shared" si="149"/>
        <v>7</v>
      </c>
      <c r="AB68" s="159"/>
      <c r="AC68" s="285"/>
      <c r="AD68" s="51">
        <v>8</v>
      </c>
      <c r="AE68">
        <f t="shared" si="163"/>
        <v>0</v>
      </c>
      <c r="AF68" s="53">
        <f t="shared" si="164"/>
        <v>0</v>
      </c>
      <c r="AG68" s="54">
        <f t="shared" si="150"/>
        <v>7</v>
      </c>
      <c r="AH68" s="151"/>
      <c r="AI68" s="285"/>
      <c r="AJ68" s="51">
        <v>8</v>
      </c>
      <c r="AK68">
        <f t="shared" si="20"/>
        <v>0</v>
      </c>
      <c r="AL68" s="53">
        <f t="shared" si="165"/>
        <v>0</v>
      </c>
      <c r="AM68" s="54">
        <f t="shared" si="151"/>
        <v>7</v>
      </c>
      <c r="AN68" s="151"/>
      <c r="AO68" s="287"/>
      <c r="AP68" s="174"/>
      <c r="AQ68" s="281"/>
      <c r="AR68" s="51">
        <v>8</v>
      </c>
      <c r="AS68">
        <f t="shared" si="152"/>
        <v>0</v>
      </c>
      <c r="AT68" s="53">
        <f t="shared" si="166"/>
        <v>0</v>
      </c>
      <c r="AU68" s="54">
        <f t="shared" si="153"/>
        <v>7</v>
      </c>
      <c r="AV68" s="97"/>
      <c r="AW68" s="285"/>
      <c r="AX68" s="51">
        <v>8</v>
      </c>
      <c r="AY68">
        <f t="shared" si="167"/>
        <v>0</v>
      </c>
      <c r="AZ68" s="53">
        <f t="shared" si="168"/>
        <v>0</v>
      </c>
      <c r="BA68" s="54">
        <f t="shared" si="154"/>
        <v>7</v>
      </c>
      <c r="BB68" s="97"/>
      <c r="BC68" s="285"/>
      <c r="BD68" s="51">
        <v>8</v>
      </c>
      <c r="BE68">
        <f t="shared" si="169"/>
        <v>0</v>
      </c>
      <c r="BF68" s="53">
        <f t="shared" si="170"/>
        <v>0</v>
      </c>
      <c r="BG68" s="54">
        <f t="shared" si="155"/>
        <v>7</v>
      </c>
      <c r="BH68" s="97"/>
      <c r="BI68" s="287"/>
      <c r="BJ68" s="171"/>
      <c r="BK68" s="281"/>
      <c r="BL68" s="51">
        <v>8</v>
      </c>
      <c r="BM68">
        <f t="shared" si="171"/>
        <v>0</v>
      </c>
      <c r="BN68" s="53">
        <f t="shared" si="172"/>
        <v>0</v>
      </c>
      <c r="BO68" s="54">
        <f t="shared" si="156"/>
        <v>7</v>
      </c>
      <c r="BP68" s="151"/>
      <c r="BQ68" s="285"/>
      <c r="BR68" s="51">
        <v>8</v>
      </c>
      <c r="BS68">
        <f t="shared" si="173"/>
        <v>0</v>
      </c>
      <c r="BT68" s="53">
        <f t="shared" si="174"/>
        <v>0</v>
      </c>
      <c r="BU68" s="54">
        <f t="shared" si="157"/>
        <v>7</v>
      </c>
      <c r="BV68" s="151"/>
      <c r="BW68" s="285"/>
      <c r="BX68" s="51">
        <v>8</v>
      </c>
      <c r="BY68">
        <f t="shared" si="175"/>
        <v>0</v>
      </c>
      <c r="BZ68" s="53">
        <f t="shared" si="176"/>
        <v>0</v>
      </c>
      <c r="CA68" s="54">
        <f t="shared" si="158"/>
        <v>7</v>
      </c>
      <c r="CB68" s="151"/>
      <c r="CC68" s="287"/>
    </row>
    <row r="69" spans="1:88" x14ac:dyDescent="0.45">
      <c r="A69" s="279">
        <v>6</v>
      </c>
      <c r="B69" s="91">
        <f>O10</f>
        <v>3</v>
      </c>
      <c r="C69" s="87" t="s">
        <v>154</v>
      </c>
      <c r="D69" s="10" t="s">
        <v>158</v>
      </c>
      <c r="E69" s="88" t="s">
        <v>152</v>
      </c>
      <c r="F69" s="152"/>
      <c r="G69" s="287">
        <f>IF(COUNT(F70:F78) &gt;0, COUNT(F70:F78)/2,"")</f>
        <v>1</v>
      </c>
      <c r="H69" s="174"/>
      <c r="I69" s="279">
        <v>6</v>
      </c>
      <c r="K69" s="87" t="s">
        <v>154</v>
      </c>
      <c r="L69" s="10" t="s">
        <v>158</v>
      </c>
      <c r="M69" s="88" t="s">
        <v>152</v>
      </c>
      <c r="N69" s="152"/>
      <c r="O69" s="286">
        <v>6</v>
      </c>
      <c r="Q69" s="87" t="s">
        <v>154</v>
      </c>
      <c r="R69" s="10" t="s">
        <v>158</v>
      </c>
      <c r="S69" s="88" t="s">
        <v>152</v>
      </c>
      <c r="T69" s="152"/>
      <c r="U69" s="287">
        <f>IF(COUNT(N70:N78,T70:T78) &gt;0, COUNT(N70:N78,T70:T78)/2,"")</f>
        <v>1</v>
      </c>
      <c r="V69" s="174"/>
      <c r="W69" s="279">
        <v>6</v>
      </c>
      <c r="X69" s="125"/>
      <c r="Y69" s="87" t="s">
        <v>154</v>
      </c>
      <c r="Z69" s="121" t="s">
        <v>158</v>
      </c>
      <c r="AA69" s="122" t="s">
        <v>152</v>
      </c>
      <c r="AB69" s="160"/>
      <c r="AC69" s="286">
        <v>6</v>
      </c>
      <c r="AE69" s="87" t="s">
        <v>154</v>
      </c>
      <c r="AF69" s="10" t="s">
        <v>158</v>
      </c>
      <c r="AG69" s="88" t="s">
        <v>152</v>
      </c>
      <c r="AH69" s="152"/>
      <c r="AI69" s="286">
        <v>6</v>
      </c>
      <c r="AK69" t="str">
        <f t="shared" si="20"/>
        <v xml:space="preserve">CTR </v>
      </c>
      <c r="AL69" s="10" t="s">
        <v>158</v>
      </c>
      <c r="AM69" s="88" t="s">
        <v>152</v>
      </c>
      <c r="AN69" s="152"/>
      <c r="AO69" s="287">
        <f>IF(COUNT(AB70:AB78,AH70:AH78,AN70:AN78) &gt;0, COUNT(AB70:AB78,AH70:AH78,AN70:AN78) /2,"")</f>
        <v>2</v>
      </c>
      <c r="AP69" s="174"/>
      <c r="AQ69" s="279">
        <v>6</v>
      </c>
      <c r="AS69" s="87" t="s">
        <v>154</v>
      </c>
      <c r="AT69" s="10" t="s">
        <v>158</v>
      </c>
      <c r="AU69" s="88" t="s">
        <v>152</v>
      </c>
      <c r="AV69" s="94"/>
      <c r="AW69" s="286">
        <v>6</v>
      </c>
      <c r="AY69" s="87" t="s">
        <v>154</v>
      </c>
      <c r="AZ69" s="10" t="s">
        <v>158</v>
      </c>
      <c r="BA69" s="88" t="s">
        <v>152</v>
      </c>
      <c r="BB69" s="94"/>
      <c r="BC69" s="286">
        <v>6</v>
      </c>
      <c r="BE69" s="87" t="s">
        <v>154</v>
      </c>
      <c r="BF69" s="10" t="s">
        <v>158</v>
      </c>
      <c r="BG69" s="88" t="s">
        <v>152</v>
      </c>
      <c r="BH69" s="94"/>
      <c r="BI69" s="287">
        <f>IF(COUNT(AV70:AV78,BB70:BB78,BH70:BH78) &gt;0, COUNT(AV70:AV78,BB70:BB78,BH70:BH78) /2,"")</f>
        <v>2</v>
      </c>
      <c r="BJ69" s="171"/>
      <c r="BK69" s="279">
        <v>6</v>
      </c>
      <c r="BM69" s="87" t="s">
        <v>154</v>
      </c>
      <c r="BN69" s="10" t="s">
        <v>158</v>
      </c>
      <c r="BO69" s="88" t="s">
        <v>152</v>
      </c>
      <c r="BP69" s="152"/>
      <c r="BQ69" s="286">
        <v>6</v>
      </c>
      <c r="BS69" s="87" t="s">
        <v>154</v>
      </c>
      <c r="BT69" s="10" t="s">
        <v>158</v>
      </c>
      <c r="BU69" s="88" t="s">
        <v>152</v>
      </c>
      <c r="BV69" s="152"/>
      <c r="BW69" s="286">
        <v>6</v>
      </c>
      <c r="BY69" s="87" t="s">
        <v>154</v>
      </c>
      <c r="BZ69" s="10" t="s">
        <v>158</v>
      </c>
      <c r="CA69" s="88" t="s">
        <v>152</v>
      </c>
      <c r="CB69" s="152"/>
      <c r="CC69" s="287">
        <f>IF(COUNT(BP70:BP78,BV70:BV78,CB70:CB78) &gt;0, COUNT(BP70:BP78,BV70:BV78,CB70:CB78) /2,"")</f>
        <v>2</v>
      </c>
    </row>
    <row r="70" spans="1:88" ht="46" x14ac:dyDescent="0.45">
      <c r="A70" s="280"/>
      <c r="B70" s="92" t="s">
        <v>162</v>
      </c>
      <c r="C70" s="102" t="s">
        <v>156</v>
      </c>
      <c r="D70" s="89" t="s">
        <v>157</v>
      </c>
      <c r="E70" s="86" t="s">
        <v>159</v>
      </c>
      <c r="F70" s="148"/>
      <c r="G70" s="287"/>
      <c r="H70" s="174"/>
      <c r="I70" s="280"/>
      <c r="J70" s="92" t="s">
        <v>162</v>
      </c>
      <c r="K70" s="90" t="s">
        <v>155</v>
      </c>
      <c r="L70" s="89" t="s">
        <v>157</v>
      </c>
      <c r="M70" s="86" t="s">
        <v>159</v>
      </c>
      <c r="N70" s="148"/>
      <c r="O70" s="284"/>
      <c r="P70" s="92" t="s">
        <v>162</v>
      </c>
      <c r="Q70" s="90" t="s">
        <v>155</v>
      </c>
      <c r="R70" s="89" t="s">
        <v>157</v>
      </c>
      <c r="S70" s="86" t="s">
        <v>159</v>
      </c>
      <c r="T70" s="148"/>
      <c r="U70" s="287"/>
      <c r="V70" s="174"/>
      <c r="W70" s="280"/>
      <c r="X70" s="92" t="s">
        <v>162</v>
      </c>
      <c r="Y70" s="90" t="s">
        <v>155</v>
      </c>
      <c r="Z70" s="123" t="s">
        <v>157</v>
      </c>
      <c r="AA70" s="86" t="s">
        <v>159</v>
      </c>
      <c r="AB70" s="156"/>
      <c r="AC70" s="284"/>
      <c r="AD70" s="92" t="s">
        <v>162</v>
      </c>
      <c r="AE70" s="90" t="s">
        <v>155</v>
      </c>
      <c r="AF70" s="89" t="s">
        <v>157</v>
      </c>
      <c r="AG70" s="86" t="s">
        <v>159</v>
      </c>
      <c r="AH70" s="148"/>
      <c r="AI70" s="284"/>
      <c r="AJ70" s="92" t="s">
        <v>162</v>
      </c>
      <c r="AK70" t="str">
        <f t="shared" si="20"/>
        <v>CTR=CTR+1</v>
      </c>
      <c r="AL70" s="89" t="s">
        <v>157</v>
      </c>
      <c r="AM70" s="86" t="s">
        <v>159</v>
      </c>
      <c r="AN70" s="148"/>
      <c r="AO70" s="287"/>
      <c r="AP70" s="174"/>
      <c r="AQ70" s="280"/>
      <c r="AR70" s="92" t="s">
        <v>162</v>
      </c>
      <c r="AS70" s="90" t="s">
        <v>155</v>
      </c>
      <c r="AT70" s="89" t="s">
        <v>157</v>
      </c>
      <c r="AU70" s="86" t="s">
        <v>159</v>
      </c>
      <c r="AV70" s="95"/>
      <c r="AW70" s="284"/>
      <c r="AX70" s="92" t="s">
        <v>162</v>
      </c>
      <c r="AY70" s="90" t="s">
        <v>155</v>
      </c>
      <c r="AZ70" s="89" t="s">
        <v>157</v>
      </c>
      <c r="BA70" s="86" t="s">
        <v>159</v>
      </c>
      <c r="BB70" s="95"/>
      <c r="BC70" s="284"/>
      <c r="BD70" s="92" t="s">
        <v>162</v>
      </c>
      <c r="BE70" s="90" t="s">
        <v>155</v>
      </c>
      <c r="BF70" s="89" t="s">
        <v>157</v>
      </c>
      <c r="BG70" s="86" t="s">
        <v>159</v>
      </c>
      <c r="BH70" s="95"/>
      <c r="BI70" s="287"/>
      <c r="BJ70" s="171"/>
      <c r="BK70" s="280"/>
      <c r="BL70" s="92" t="s">
        <v>162</v>
      </c>
      <c r="BM70" s="90" t="s">
        <v>155</v>
      </c>
      <c r="BN70" s="89" t="s">
        <v>157</v>
      </c>
      <c r="BO70" s="86" t="s">
        <v>159</v>
      </c>
      <c r="BP70" s="148"/>
      <c r="BQ70" s="284"/>
      <c r="BR70" s="92" t="s">
        <v>162</v>
      </c>
      <c r="BS70" s="90" t="s">
        <v>155</v>
      </c>
      <c r="BT70" s="89" t="s">
        <v>157</v>
      </c>
      <c r="BU70" s="86" t="s">
        <v>159</v>
      </c>
      <c r="BV70" s="148"/>
      <c r="BW70" s="284"/>
      <c r="BX70" s="92" t="s">
        <v>162</v>
      </c>
      <c r="BY70" s="90" t="s">
        <v>155</v>
      </c>
      <c r="BZ70" s="89" t="s">
        <v>157</v>
      </c>
      <c r="CA70" s="86" t="s">
        <v>159</v>
      </c>
      <c r="CB70" s="148"/>
      <c r="CC70" s="287"/>
    </row>
    <row r="71" spans="1:88" x14ac:dyDescent="0.45">
      <c r="A71" s="280"/>
      <c r="B71" s="62">
        <v>1</v>
      </c>
      <c r="C71">
        <v>0</v>
      </c>
      <c r="D71">
        <v>0</v>
      </c>
      <c r="E71" s="63">
        <f>MOD($F5+D71+$B$39,$F$1)</f>
        <v>5</v>
      </c>
      <c r="F71" s="149"/>
      <c r="G71" s="287"/>
      <c r="H71" s="174"/>
      <c r="I71" s="280"/>
      <c r="J71" s="62">
        <v>1</v>
      </c>
      <c r="K71">
        <f t="shared" ref="K71:K78" si="177">IF(F71="", C71,IF(F71=MIN(F$71:F$78),C71+1,0))</f>
        <v>0</v>
      </c>
      <c r="L71">
        <f>K71*$F$2</f>
        <v>0</v>
      </c>
      <c r="M71" s="63">
        <f t="shared" ref="M71:M78" si="178">MOD($F5+L71+$B$39,$F$1)</f>
        <v>5</v>
      </c>
      <c r="N71" s="149"/>
      <c r="O71" s="284"/>
      <c r="P71" s="62">
        <v>1</v>
      </c>
      <c r="Q71">
        <f t="shared" ref="Q71:Q78" si="179">IF(N71="", K71,IF(N71=MIN(N$71:N$78),K71+1,0))</f>
        <v>0</v>
      </c>
      <c r="R71">
        <f t="shared" ref="R71:R78" si="180">Q71*$F$2</f>
        <v>0</v>
      </c>
      <c r="S71" s="63">
        <f t="shared" ref="S71:S78" si="181">MOD($F5+R71+$B$39,$F$1)</f>
        <v>5</v>
      </c>
      <c r="T71" s="149"/>
      <c r="U71" s="287"/>
      <c r="V71" s="174"/>
      <c r="W71" s="280"/>
      <c r="X71" s="124">
        <v>1</v>
      </c>
      <c r="Y71">
        <f t="shared" ref="Y71:Y78" si="182">IF(T71="", Q71,IF(T71=MIN(T$71:T$78),Q71+1,0))</f>
        <v>0</v>
      </c>
      <c r="Z71" s="125">
        <f>Y71*$F$2</f>
        <v>0</v>
      </c>
      <c r="AA71" s="126">
        <f t="shared" ref="AA71:AA78" si="183">MOD($F5+Z71+$B$39,$F$1)</f>
        <v>5</v>
      </c>
      <c r="AB71" s="157"/>
      <c r="AC71" s="284"/>
      <c r="AD71" s="62">
        <v>1</v>
      </c>
      <c r="AE71">
        <f t="shared" ref="AE71:AE78" si="184">IF(AB71="", Y71,IF(AB71=MIN(AB$71:AB$78),Y71+1,0))</f>
        <v>0</v>
      </c>
      <c r="AF71">
        <f t="shared" ref="AF71:AF78" si="185">AE71*$F$2</f>
        <v>0</v>
      </c>
      <c r="AG71" s="63">
        <f t="shared" ref="AG71:AG78" si="186">MOD($F5+AF71+$B$39,$F$1)</f>
        <v>5</v>
      </c>
      <c r="AH71" s="149"/>
      <c r="AI71" s="284"/>
      <c r="AJ71" s="62">
        <v>1</v>
      </c>
      <c r="AK71">
        <f t="shared" si="20"/>
        <v>0</v>
      </c>
      <c r="AL71">
        <f>AK71*$F$2</f>
        <v>0</v>
      </c>
      <c r="AM71" s="63">
        <f t="shared" ref="AM71:AM78" si="187">MOD($F5+AL71+$B$39,$F$1)</f>
        <v>5</v>
      </c>
      <c r="AN71" s="149"/>
      <c r="AO71" s="287"/>
      <c r="AP71" s="174"/>
      <c r="AQ71" s="280"/>
      <c r="AR71" s="62">
        <v>1</v>
      </c>
      <c r="AS71">
        <f t="shared" ref="AS71:AS78" si="188">IF(AN71="", AK71,IF(AN71=MIN(AN$71:AN$78),AK71+1,0))</f>
        <v>0</v>
      </c>
      <c r="AT71">
        <f>AS71*$F$2</f>
        <v>0</v>
      </c>
      <c r="AU71" s="63">
        <f t="shared" ref="AU71:AU78" si="189">MOD($F5+AT71+$B$39,$F$1)</f>
        <v>5</v>
      </c>
      <c r="AV71" s="98"/>
      <c r="AW71" s="284"/>
      <c r="AX71" s="62">
        <v>1</v>
      </c>
      <c r="AY71">
        <f t="shared" ref="AY71:AY78" si="190">IF(AV71="", AS71,IF(AV71=MIN(AV$71:AV$78),AS71+1,0))</f>
        <v>0</v>
      </c>
      <c r="AZ71">
        <f>AY71*$F$2</f>
        <v>0</v>
      </c>
      <c r="BA71" s="63">
        <f t="shared" ref="BA71:BA78" si="191">MOD($F5+AZ71+$B$39,$F$1)</f>
        <v>5</v>
      </c>
      <c r="BB71" s="98"/>
      <c r="BC71" s="284"/>
      <c r="BD71" s="62">
        <v>1</v>
      </c>
      <c r="BE71">
        <f t="shared" ref="BE71:BE78" si="192">IF(BB71="", AY71,IF(BB71=MIN(BB$71:BB$78),AY71+1,0))</f>
        <v>0</v>
      </c>
      <c r="BF71">
        <f>BE71*$F$2</f>
        <v>0</v>
      </c>
      <c r="BG71" s="63">
        <f t="shared" ref="BG71:BG78" si="193">MOD($F5+BF71+$B$39,$F$1)</f>
        <v>5</v>
      </c>
      <c r="BH71" s="98"/>
      <c r="BI71" s="287"/>
      <c r="BJ71" s="171"/>
      <c r="BK71" s="280"/>
      <c r="BL71" s="62">
        <v>1</v>
      </c>
      <c r="BM71">
        <f t="shared" ref="BM71:BM78" si="194">IF(BH71="", BE71,IF(BH71=MIN(BH$71:BH$78),BE71+1,0))</f>
        <v>0</v>
      </c>
      <c r="BN71">
        <f>BM71*$F$2</f>
        <v>0</v>
      </c>
      <c r="BO71" s="63">
        <f t="shared" ref="BO71:BO78" si="195">MOD($F5+BN71+$B$39,$F$1)</f>
        <v>5</v>
      </c>
      <c r="BP71" s="149"/>
      <c r="BQ71" s="284"/>
      <c r="BR71" s="62">
        <v>1</v>
      </c>
      <c r="BS71">
        <f t="shared" ref="BS71:BS78" si="196">IF(BP71="", BM71,IF(BP71=MIN(BP$71:BP$78),BM71+1,0))</f>
        <v>0</v>
      </c>
      <c r="BT71">
        <f>BS71*$F$2</f>
        <v>0</v>
      </c>
      <c r="BU71" s="63">
        <f t="shared" ref="BU71:BU78" si="197">MOD($F5+BT71+$B$39,$F$1)</f>
        <v>5</v>
      </c>
      <c r="BV71" s="149"/>
      <c r="BW71" s="284"/>
      <c r="BX71" s="62">
        <v>1</v>
      </c>
      <c r="BY71">
        <f t="shared" ref="BY71:BY78" si="198">IF(BV71="", BS71,IF(BV71=MIN(BV$71:BV$78),BS71+1,0))</f>
        <v>0</v>
      </c>
      <c r="BZ71">
        <f>BY71*$F$2</f>
        <v>0</v>
      </c>
      <c r="CA71" s="63">
        <f t="shared" ref="CA71:CA78" si="199">MOD($F5+BZ71+$B$39,$F$1)</f>
        <v>5</v>
      </c>
      <c r="CB71" s="149"/>
      <c r="CC71" s="287"/>
    </row>
    <row r="72" spans="1:88" x14ac:dyDescent="0.45">
      <c r="A72" s="280"/>
      <c r="B72" s="1">
        <v>2</v>
      </c>
      <c r="C72">
        <f t="shared" ref="C72:C78" si="200">IF(B72=MIN(B$21:B$28),1,0)</f>
        <v>0</v>
      </c>
      <c r="D72">
        <v>0</v>
      </c>
      <c r="E72" s="30">
        <f t="shared" ref="E72:E78" si="201">MOD($F6+D72+$B$39,$F$1)</f>
        <v>1</v>
      </c>
      <c r="F72" s="150">
        <v>12</v>
      </c>
      <c r="G72" s="287"/>
      <c r="H72" s="174"/>
      <c r="I72" s="280"/>
      <c r="J72" s="1">
        <v>2</v>
      </c>
      <c r="K72">
        <f t="shared" si="177"/>
        <v>0</v>
      </c>
      <c r="L72">
        <f t="shared" ref="L72:L78" si="202">K72*$F$2</f>
        <v>0</v>
      </c>
      <c r="M72" s="30">
        <f t="shared" si="178"/>
        <v>1</v>
      </c>
      <c r="N72" s="150"/>
      <c r="O72" s="284"/>
      <c r="P72" s="1">
        <v>2</v>
      </c>
      <c r="Q72">
        <f t="shared" si="179"/>
        <v>0</v>
      </c>
      <c r="R72">
        <f t="shared" si="180"/>
        <v>0</v>
      </c>
      <c r="S72" s="30">
        <f t="shared" si="181"/>
        <v>1</v>
      </c>
      <c r="T72" s="150"/>
      <c r="U72" s="287"/>
      <c r="V72" s="174"/>
      <c r="W72" s="280"/>
      <c r="X72" s="127">
        <v>2</v>
      </c>
      <c r="Y72">
        <f t="shared" si="182"/>
        <v>0</v>
      </c>
      <c r="Z72" s="125">
        <f t="shared" ref="Z72:Z78" si="203">Y72*$F$2</f>
        <v>0</v>
      </c>
      <c r="AA72" s="128">
        <f t="shared" si="183"/>
        <v>1</v>
      </c>
      <c r="AB72" s="158">
        <v>4</v>
      </c>
      <c r="AC72" s="284"/>
      <c r="AD72" s="1">
        <v>2</v>
      </c>
      <c r="AE72">
        <f t="shared" si="184"/>
        <v>0</v>
      </c>
      <c r="AF72">
        <f t="shared" si="185"/>
        <v>0</v>
      </c>
      <c r="AG72" s="30">
        <f t="shared" si="186"/>
        <v>1</v>
      </c>
      <c r="AH72" s="150"/>
      <c r="AI72" s="284"/>
      <c r="AJ72" s="1">
        <v>2</v>
      </c>
      <c r="AK72">
        <f t="shared" si="20"/>
        <v>0</v>
      </c>
      <c r="AL72">
        <f t="shared" ref="AL72:AL78" si="204">AK72*$F$2</f>
        <v>0</v>
      </c>
      <c r="AM72" s="30">
        <f t="shared" si="187"/>
        <v>1</v>
      </c>
      <c r="AN72" s="150"/>
      <c r="AO72" s="287"/>
      <c r="AP72" s="174"/>
      <c r="AQ72" s="280"/>
      <c r="AR72" s="1">
        <v>2</v>
      </c>
      <c r="AS72">
        <f t="shared" si="188"/>
        <v>0</v>
      </c>
      <c r="AT72">
        <f t="shared" ref="AT72:AT78" si="205">AS72*$F$2</f>
        <v>0</v>
      </c>
      <c r="AU72" s="30">
        <f t="shared" si="189"/>
        <v>1</v>
      </c>
      <c r="AV72" s="96">
        <v>14</v>
      </c>
      <c r="AW72" s="284"/>
      <c r="AX72" s="1">
        <v>2</v>
      </c>
      <c r="AY72">
        <f t="shared" si="190"/>
        <v>0</v>
      </c>
      <c r="AZ72">
        <f t="shared" ref="AZ72:AZ78" si="206">AY72*$F$2</f>
        <v>0</v>
      </c>
      <c r="BA72" s="30">
        <f t="shared" si="191"/>
        <v>1</v>
      </c>
      <c r="BB72" s="96"/>
      <c r="BC72" s="284"/>
      <c r="BD72" s="1">
        <v>2</v>
      </c>
      <c r="BE72">
        <f t="shared" si="192"/>
        <v>0</v>
      </c>
      <c r="BF72">
        <f t="shared" ref="BF72:BF78" si="207">BE72*$F$2</f>
        <v>0</v>
      </c>
      <c r="BG72" s="30">
        <f t="shared" si="193"/>
        <v>1</v>
      </c>
      <c r="BH72" s="96"/>
      <c r="BI72" s="287"/>
      <c r="BJ72" s="171"/>
      <c r="BK72" s="280"/>
      <c r="BL72" s="1">
        <v>2</v>
      </c>
      <c r="BM72">
        <f t="shared" si="194"/>
        <v>0</v>
      </c>
      <c r="BN72">
        <f t="shared" ref="BN72:BN78" si="208">BM72*$F$2</f>
        <v>0</v>
      </c>
      <c r="BO72" s="30">
        <f t="shared" si="195"/>
        <v>1</v>
      </c>
      <c r="BP72" s="150"/>
      <c r="BQ72" s="284"/>
      <c r="BR72" s="1">
        <v>2</v>
      </c>
      <c r="BS72">
        <f t="shared" si="196"/>
        <v>0</v>
      </c>
      <c r="BT72">
        <f t="shared" ref="BT72:BT78" si="209">BS72*$F$2</f>
        <v>0</v>
      </c>
      <c r="BU72" s="30">
        <f t="shared" si="197"/>
        <v>1</v>
      </c>
      <c r="BV72" s="150">
        <v>12</v>
      </c>
      <c r="BW72" s="284"/>
      <c r="BX72" s="1">
        <v>2</v>
      </c>
      <c r="BY72">
        <f t="shared" si="198"/>
        <v>0</v>
      </c>
      <c r="BZ72">
        <f t="shared" ref="BZ72:BZ78" si="210">BY72*$F$2</f>
        <v>0</v>
      </c>
      <c r="CA72" s="30">
        <f t="shared" si="199"/>
        <v>1</v>
      </c>
      <c r="CB72" s="150"/>
      <c r="CC72" s="287"/>
    </row>
    <row r="73" spans="1:88" x14ac:dyDescent="0.45">
      <c r="A73" s="280"/>
      <c r="B73" s="75">
        <v>3</v>
      </c>
      <c r="C73">
        <f t="shared" si="200"/>
        <v>0</v>
      </c>
      <c r="D73">
        <v>0</v>
      </c>
      <c r="E73" s="30">
        <f t="shared" si="201"/>
        <v>12</v>
      </c>
      <c r="F73" s="150"/>
      <c r="G73" s="287"/>
      <c r="H73" s="174"/>
      <c r="I73" s="280"/>
      <c r="J73" s="75">
        <v>3</v>
      </c>
      <c r="K73">
        <f t="shared" si="177"/>
        <v>0</v>
      </c>
      <c r="L73">
        <f t="shared" si="202"/>
        <v>0</v>
      </c>
      <c r="M73" s="30">
        <f t="shared" si="178"/>
        <v>12</v>
      </c>
      <c r="N73" s="150"/>
      <c r="O73" s="284"/>
      <c r="P73" s="75">
        <v>3</v>
      </c>
      <c r="Q73">
        <f t="shared" si="179"/>
        <v>0</v>
      </c>
      <c r="R73">
        <f t="shared" si="180"/>
        <v>0</v>
      </c>
      <c r="S73" s="30">
        <f t="shared" si="181"/>
        <v>12</v>
      </c>
      <c r="T73" s="150"/>
      <c r="U73" s="287"/>
      <c r="V73" s="174"/>
      <c r="W73" s="280"/>
      <c r="X73" s="75">
        <v>3</v>
      </c>
      <c r="Y73">
        <f t="shared" si="182"/>
        <v>0</v>
      </c>
      <c r="Z73" s="125">
        <f t="shared" si="203"/>
        <v>0</v>
      </c>
      <c r="AA73" s="128">
        <f t="shared" si="183"/>
        <v>12</v>
      </c>
      <c r="AB73" s="158"/>
      <c r="AC73" s="284"/>
      <c r="AD73" s="75">
        <v>3</v>
      </c>
      <c r="AE73">
        <f t="shared" si="184"/>
        <v>0</v>
      </c>
      <c r="AF73">
        <f t="shared" si="185"/>
        <v>0</v>
      </c>
      <c r="AG73" s="30">
        <f t="shared" si="186"/>
        <v>12</v>
      </c>
      <c r="AH73" s="150"/>
      <c r="AI73" s="284"/>
      <c r="AJ73" s="75">
        <v>3</v>
      </c>
      <c r="AK73">
        <f t="shared" si="20"/>
        <v>0</v>
      </c>
      <c r="AL73">
        <f t="shared" si="204"/>
        <v>0</v>
      </c>
      <c r="AM73" s="30">
        <f t="shared" si="187"/>
        <v>12</v>
      </c>
      <c r="AN73" s="150"/>
      <c r="AO73" s="287"/>
      <c r="AP73" s="174"/>
      <c r="AQ73" s="280"/>
      <c r="AR73" s="75">
        <v>3</v>
      </c>
      <c r="AS73">
        <f t="shared" si="188"/>
        <v>0</v>
      </c>
      <c r="AT73">
        <f t="shared" si="205"/>
        <v>0</v>
      </c>
      <c r="AU73" s="30">
        <f t="shared" si="189"/>
        <v>12</v>
      </c>
      <c r="AV73" s="96"/>
      <c r="AW73" s="284"/>
      <c r="AX73" s="75">
        <v>3</v>
      </c>
      <c r="AY73">
        <f t="shared" si="190"/>
        <v>0</v>
      </c>
      <c r="AZ73">
        <f t="shared" si="206"/>
        <v>0</v>
      </c>
      <c r="BA73" s="30">
        <f t="shared" si="191"/>
        <v>12</v>
      </c>
      <c r="BB73" s="96"/>
      <c r="BC73" s="284"/>
      <c r="BD73" s="75">
        <v>3</v>
      </c>
      <c r="BE73">
        <f t="shared" si="192"/>
        <v>0</v>
      </c>
      <c r="BF73">
        <f t="shared" si="207"/>
        <v>0</v>
      </c>
      <c r="BG73" s="30">
        <f t="shared" si="193"/>
        <v>12</v>
      </c>
      <c r="BH73" s="96"/>
      <c r="BI73" s="287"/>
      <c r="BJ73" s="171"/>
      <c r="BK73" s="280"/>
      <c r="BL73" s="75">
        <v>3</v>
      </c>
      <c r="BM73">
        <f t="shared" si="194"/>
        <v>0</v>
      </c>
      <c r="BN73">
        <f t="shared" si="208"/>
        <v>0</v>
      </c>
      <c r="BO73" s="30">
        <f t="shared" si="195"/>
        <v>12</v>
      </c>
      <c r="BP73" s="150"/>
      <c r="BQ73" s="284"/>
      <c r="BR73" s="75">
        <v>3</v>
      </c>
      <c r="BS73">
        <f t="shared" si="196"/>
        <v>0</v>
      </c>
      <c r="BT73">
        <f t="shared" si="209"/>
        <v>0</v>
      </c>
      <c r="BU73" s="30">
        <f t="shared" si="197"/>
        <v>12</v>
      </c>
      <c r="BV73" s="150"/>
      <c r="BW73" s="284"/>
      <c r="BX73" s="75">
        <v>3</v>
      </c>
      <c r="BY73">
        <f t="shared" si="198"/>
        <v>0</v>
      </c>
      <c r="BZ73">
        <f t="shared" si="210"/>
        <v>0</v>
      </c>
      <c r="CA73" s="30">
        <f t="shared" si="199"/>
        <v>12</v>
      </c>
      <c r="CB73" s="150"/>
      <c r="CC73" s="287"/>
    </row>
    <row r="74" spans="1:88" x14ac:dyDescent="0.45">
      <c r="A74" s="280"/>
      <c r="B74" s="1">
        <v>4</v>
      </c>
      <c r="C74">
        <f t="shared" si="200"/>
        <v>0</v>
      </c>
      <c r="D74">
        <v>0</v>
      </c>
      <c r="E74" s="30">
        <f t="shared" si="201"/>
        <v>8</v>
      </c>
      <c r="F74" s="150"/>
      <c r="G74" s="287"/>
      <c r="H74" s="174"/>
      <c r="I74" s="280"/>
      <c r="J74" s="1">
        <v>4</v>
      </c>
      <c r="K74">
        <f t="shared" si="177"/>
        <v>0</v>
      </c>
      <c r="L74">
        <f t="shared" si="202"/>
        <v>0</v>
      </c>
      <c r="M74" s="30">
        <f t="shared" si="178"/>
        <v>8</v>
      </c>
      <c r="N74" s="150"/>
      <c r="O74" s="284"/>
      <c r="P74" s="1">
        <v>4</v>
      </c>
      <c r="Q74">
        <f t="shared" si="179"/>
        <v>0</v>
      </c>
      <c r="R74">
        <f t="shared" si="180"/>
        <v>0</v>
      </c>
      <c r="S74" s="30">
        <f t="shared" si="181"/>
        <v>8</v>
      </c>
      <c r="T74" s="150"/>
      <c r="U74" s="287"/>
      <c r="V74" s="174"/>
      <c r="W74" s="280"/>
      <c r="X74" s="127">
        <v>4</v>
      </c>
      <c r="Y74">
        <f t="shared" si="182"/>
        <v>0</v>
      </c>
      <c r="Z74" s="125">
        <f t="shared" si="203"/>
        <v>0</v>
      </c>
      <c r="AA74" s="128">
        <f t="shared" si="183"/>
        <v>8</v>
      </c>
      <c r="AB74" s="158"/>
      <c r="AC74" s="284"/>
      <c r="AD74" s="1">
        <v>4</v>
      </c>
      <c r="AE74">
        <f t="shared" si="184"/>
        <v>0</v>
      </c>
      <c r="AF74">
        <f t="shared" si="185"/>
        <v>0</v>
      </c>
      <c r="AG74" s="30">
        <f t="shared" si="186"/>
        <v>8</v>
      </c>
      <c r="AH74" s="150"/>
      <c r="AI74" s="284"/>
      <c r="AJ74" s="1">
        <v>4</v>
      </c>
      <c r="AK74">
        <f t="shared" si="20"/>
        <v>0</v>
      </c>
      <c r="AL74">
        <f t="shared" si="204"/>
        <v>0</v>
      </c>
      <c r="AM74" s="30">
        <f t="shared" si="187"/>
        <v>8</v>
      </c>
      <c r="AN74" s="150"/>
      <c r="AO74" s="287"/>
      <c r="AP74" s="174"/>
      <c r="AQ74" s="280"/>
      <c r="AR74" s="1">
        <v>4</v>
      </c>
      <c r="AS74">
        <f t="shared" si="188"/>
        <v>0</v>
      </c>
      <c r="AT74">
        <f t="shared" si="205"/>
        <v>0</v>
      </c>
      <c r="AU74" s="30">
        <f t="shared" si="189"/>
        <v>8</v>
      </c>
      <c r="AV74" s="96"/>
      <c r="AW74" s="284"/>
      <c r="AX74" s="1">
        <v>4</v>
      </c>
      <c r="AY74">
        <f t="shared" si="190"/>
        <v>0</v>
      </c>
      <c r="AZ74">
        <f t="shared" si="206"/>
        <v>0</v>
      </c>
      <c r="BA74" s="30">
        <f t="shared" si="191"/>
        <v>8</v>
      </c>
      <c r="BB74" s="96"/>
      <c r="BC74" s="284"/>
      <c r="BD74" s="1">
        <v>4</v>
      </c>
      <c r="BE74">
        <f t="shared" si="192"/>
        <v>0</v>
      </c>
      <c r="BF74">
        <f t="shared" si="207"/>
        <v>0</v>
      </c>
      <c r="BG74" s="30">
        <f t="shared" si="193"/>
        <v>8</v>
      </c>
      <c r="BH74" s="96"/>
      <c r="BI74" s="287"/>
      <c r="BJ74" s="171"/>
      <c r="BK74" s="280"/>
      <c r="BL74" s="1">
        <v>4</v>
      </c>
      <c r="BM74">
        <f t="shared" si="194"/>
        <v>0</v>
      </c>
      <c r="BN74">
        <f t="shared" si="208"/>
        <v>0</v>
      </c>
      <c r="BO74" s="30">
        <f t="shared" si="195"/>
        <v>8</v>
      </c>
      <c r="BP74" s="150"/>
      <c r="BQ74" s="284"/>
      <c r="BR74" s="1">
        <v>4</v>
      </c>
      <c r="BS74">
        <f t="shared" si="196"/>
        <v>0</v>
      </c>
      <c r="BT74">
        <f t="shared" si="209"/>
        <v>0</v>
      </c>
      <c r="BU74" s="30">
        <f t="shared" si="197"/>
        <v>8</v>
      </c>
      <c r="BV74" s="150"/>
      <c r="BW74" s="284"/>
      <c r="BX74" s="1">
        <v>4</v>
      </c>
      <c r="BY74">
        <f t="shared" si="198"/>
        <v>0</v>
      </c>
      <c r="BZ74">
        <f t="shared" si="210"/>
        <v>0</v>
      </c>
      <c r="CA74" s="30">
        <f t="shared" si="199"/>
        <v>8</v>
      </c>
      <c r="CB74" s="150"/>
      <c r="CC74" s="287"/>
      <c r="CJ74" s="138"/>
    </row>
    <row r="75" spans="1:88" x14ac:dyDescent="0.45">
      <c r="A75" s="280"/>
      <c r="B75" s="1">
        <v>5</v>
      </c>
      <c r="C75">
        <f t="shared" si="200"/>
        <v>0</v>
      </c>
      <c r="D75">
        <v>0</v>
      </c>
      <c r="E75" s="30">
        <f t="shared" si="201"/>
        <v>2</v>
      </c>
      <c r="F75" s="150"/>
      <c r="G75" s="287"/>
      <c r="H75" s="174"/>
      <c r="I75" s="280"/>
      <c r="J75" s="1">
        <v>5</v>
      </c>
      <c r="K75">
        <f t="shared" si="177"/>
        <v>0</v>
      </c>
      <c r="L75">
        <f t="shared" si="202"/>
        <v>0</v>
      </c>
      <c r="M75" s="30">
        <f t="shared" si="178"/>
        <v>2</v>
      </c>
      <c r="N75" s="150"/>
      <c r="O75" s="284"/>
      <c r="P75" s="1">
        <v>5</v>
      </c>
      <c r="Q75">
        <f t="shared" si="179"/>
        <v>0</v>
      </c>
      <c r="R75">
        <f t="shared" si="180"/>
        <v>0</v>
      </c>
      <c r="S75" s="30">
        <f t="shared" si="181"/>
        <v>2</v>
      </c>
      <c r="T75" s="150"/>
      <c r="U75" s="287"/>
      <c r="V75" s="174"/>
      <c r="W75" s="280"/>
      <c r="X75" s="127">
        <v>5</v>
      </c>
      <c r="Y75">
        <f t="shared" si="182"/>
        <v>0</v>
      </c>
      <c r="Z75" s="125">
        <f t="shared" si="203"/>
        <v>0</v>
      </c>
      <c r="AA75" s="128">
        <f t="shared" si="183"/>
        <v>2</v>
      </c>
      <c r="AB75" s="158"/>
      <c r="AC75" s="284"/>
      <c r="AD75" s="1">
        <v>5</v>
      </c>
      <c r="AE75">
        <f t="shared" si="184"/>
        <v>0</v>
      </c>
      <c r="AF75">
        <f t="shared" si="185"/>
        <v>0</v>
      </c>
      <c r="AG75" s="30">
        <f t="shared" si="186"/>
        <v>2</v>
      </c>
      <c r="AH75" s="150"/>
      <c r="AI75" s="284"/>
      <c r="AJ75" s="1">
        <v>5</v>
      </c>
      <c r="AK75">
        <f t="shared" si="20"/>
        <v>0</v>
      </c>
      <c r="AL75">
        <f t="shared" si="204"/>
        <v>0</v>
      </c>
      <c r="AM75" s="30">
        <f t="shared" si="187"/>
        <v>2</v>
      </c>
      <c r="AN75" s="150"/>
      <c r="AO75" s="287"/>
      <c r="AP75" s="174"/>
      <c r="AQ75" s="280"/>
      <c r="AR75" s="1">
        <v>5</v>
      </c>
      <c r="AS75">
        <f t="shared" si="188"/>
        <v>0</v>
      </c>
      <c r="AT75">
        <f t="shared" si="205"/>
        <v>0</v>
      </c>
      <c r="AU75" s="30">
        <f t="shared" si="189"/>
        <v>2</v>
      </c>
      <c r="AV75" s="96"/>
      <c r="AW75" s="284"/>
      <c r="AX75" s="1">
        <v>5</v>
      </c>
      <c r="AY75">
        <f t="shared" si="190"/>
        <v>0</v>
      </c>
      <c r="AZ75">
        <f t="shared" si="206"/>
        <v>0</v>
      </c>
      <c r="BA75" s="30">
        <f t="shared" si="191"/>
        <v>2</v>
      </c>
      <c r="BB75" s="96"/>
      <c r="BC75" s="284"/>
      <c r="BD75" s="1">
        <v>5</v>
      </c>
      <c r="BE75">
        <f t="shared" si="192"/>
        <v>0</v>
      </c>
      <c r="BF75">
        <f t="shared" si="207"/>
        <v>0</v>
      </c>
      <c r="BG75" s="30">
        <f t="shared" si="193"/>
        <v>2</v>
      </c>
      <c r="BH75" s="96"/>
      <c r="BI75" s="287"/>
      <c r="BJ75" s="171"/>
      <c r="BK75" s="280"/>
      <c r="BL75" s="1">
        <v>5</v>
      </c>
      <c r="BM75">
        <f t="shared" si="194"/>
        <v>0</v>
      </c>
      <c r="BN75">
        <f t="shared" si="208"/>
        <v>0</v>
      </c>
      <c r="BO75" s="30">
        <f t="shared" si="195"/>
        <v>2</v>
      </c>
      <c r="BP75" s="150"/>
      <c r="BQ75" s="284"/>
      <c r="BR75" s="1">
        <v>5</v>
      </c>
      <c r="BS75">
        <f t="shared" si="196"/>
        <v>0</v>
      </c>
      <c r="BT75">
        <f t="shared" si="209"/>
        <v>0</v>
      </c>
      <c r="BU75" s="30">
        <f t="shared" si="197"/>
        <v>2</v>
      </c>
      <c r="BV75" s="150"/>
      <c r="BW75" s="284"/>
      <c r="BX75" s="1">
        <v>5</v>
      </c>
      <c r="BY75">
        <f t="shared" si="198"/>
        <v>0</v>
      </c>
      <c r="BZ75">
        <f t="shared" si="210"/>
        <v>0</v>
      </c>
      <c r="CA75" s="30">
        <f t="shared" si="199"/>
        <v>2</v>
      </c>
      <c r="CB75" s="150"/>
      <c r="CC75" s="287"/>
    </row>
    <row r="76" spans="1:88" x14ac:dyDescent="0.45">
      <c r="A76" s="280"/>
      <c r="B76" s="1">
        <v>6</v>
      </c>
      <c r="C76">
        <f t="shared" si="200"/>
        <v>0</v>
      </c>
      <c r="D76">
        <v>0</v>
      </c>
      <c r="E76" s="30">
        <f t="shared" si="201"/>
        <v>14</v>
      </c>
      <c r="F76" s="150">
        <v>11</v>
      </c>
      <c r="G76" s="287"/>
      <c r="H76" s="174"/>
      <c r="I76" s="280"/>
      <c r="J76" s="1">
        <v>6</v>
      </c>
      <c r="K76">
        <f t="shared" si="177"/>
        <v>1</v>
      </c>
      <c r="L76">
        <f t="shared" si="202"/>
        <v>8</v>
      </c>
      <c r="M76" s="30">
        <f t="shared" si="178"/>
        <v>6</v>
      </c>
      <c r="N76" s="150">
        <v>3</v>
      </c>
      <c r="O76" s="284"/>
      <c r="P76" s="1">
        <v>6</v>
      </c>
      <c r="Q76">
        <f t="shared" si="179"/>
        <v>2</v>
      </c>
      <c r="R76">
        <f t="shared" si="180"/>
        <v>16</v>
      </c>
      <c r="S76" s="30">
        <f t="shared" si="181"/>
        <v>14</v>
      </c>
      <c r="T76" s="150"/>
      <c r="U76" s="287"/>
      <c r="V76" s="174"/>
      <c r="W76" s="280"/>
      <c r="X76" s="127">
        <v>6</v>
      </c>
      <c r="Y76">
        <f t="shared" si="182"/>
        <v>2</v>
      </c>
      <c r="Z76" s="125">
        <f t="shared" si="203"/>
        <v>16</v>
      </c>
      <c r="AA76" s="128">
        <f t="shared" si="183"/>
        <v>14</v>
      </c>
      <c r="AB76" s="158">
        <v>3</v>
      </c>
      <c r="AC76" s="284"/>
      <c r="AD76" s="1">
        <v>6</v>
      </c>
      <c r="AE76">
        <f t="shared" si="184"/>
        <v>3</v>
      </c>
      <c r="AF76">
        <f t="shared" si="185"/>
        <v>24</v>
      </c>
      <c r="AG76" s="30">
        <f t="shared" si="186"/>
        <v>6</v>
      </c>
      <c r="AH76" s="150"/>
      <c r="AI76" s="284"/>
      <c r="AJ76" s="1">
        <v>6</v>
      </c>
      <c r="AK76">
        <f>IF(AH76="",AE76,IF(AH76=MIN(AH$21:AH$28),AE76+1,0))</f>
        <v>3</v>
      </c>
      <c r="AL76">
        <f t="shared" si="204"/>
        <v>24</v>
      </c>
      <c r="AM76" s="30">
        <f t="shared" si="187"/>
        <v>6</v>
      </c>
      <c r="AN76" s="150">
        <v>21</v>
      </c>
      <c r="AO76" s="287"/>
      <c r="AP76" s="174"/>
      <c r="AQ76" s="280"/>
      <c r="AR76" s="1">
        <v>6</v>
      </c>
      <c r="AS76">
        <f t="shared" si="188"/>
        <v>4</v>
      </c>
      <c r="AT76">
        <f t="shared" si="205"/>
        <v>32</v>
      </c>
      <c r="AU76" s="30">
        <f t="shared" si="189"/>
        <v>14</v>
      </c>
      <c r="AV76" s="96">
        <v>13</v>
      </c>
      <c r="AW76" s="284"/>
      <c r="AX76" s="1">
        <v>6</v>
      </c>
      <c r="AY76">
        <f t="shared" si="190"/>
        <v>5</v>
      </c>
      <c r="AZ76">
        <f t="shared" si="206"/>
        <v>40</v>
      </c>
      <c r="BA76" s="30">
        <f t="shared" si="191"/>
        <v>6</v>
      </c>
      <c r="BB76" s="96"/>
      <c r="BC76" s="284"/>
      <c r="BD76" s="1">
        <v>6</v>
      </c>
      <c r="BE76">
        <f t="shared" si="192"/>
        <v>5</v>
      </c>
      <c r="BF76">
        <f t="shared" si="207"/>
        <v>40</v>
      </c>
      <c r="BG76" s="30">
        <f t="shared" si="193"/>
        <v>6</v>
      </c>
      <c r="BH76" s="96">
        <v>23</v>
      </c>
      <c r="BI76" s="287"/>
      <c r="BJ76" s="171"/>
      <c r="BK76" s="280"/>
      <c r="BL76" s="1">
        <v>6</v>
      </c>
      <c r="BM76">
        <f t="shared" si="194"/>
        <v>6</v>
      </c>
      <c r="BN76">
        <f t="shared" si="208"/>
        <v>48</v>
      </c>
      <c r="BO76" s="30">
        <f t="shared" si="195"/>
        <v>14</v>
      </c>
      <c r="BP76" s="150"/>
      <c r="BQ76" s="284"/>
      <c r="BR76" s="1">
        <v>6</v>
      </c>
      <c r="BS76">
        <f t="shared" si="196"/>
        <v>6</v>
      </c>
      <c r="BT76">
        <f t="shared" si="209"/>
        <v>48</v>
      </c>
      <c r="BU76" s="30">
        <f t="shared" si="197"/>
        <v>14</v>
      </c>
      <c r="BV76" s="150">
        <v>11</v>
      </c>
      <c r="BW76" s="284"/>
      <c r="BX76" s="1">
        <v>6</v>
      </c>
      <c r="BY76">
        <f t="shared" si="198"/>
        <v>7</v>
      </c>
      <c r="BZ76">
        <f t="shared" si="210"/>
        <v>56</v>
      </c>
      <c r="CA76" s="30">
        <f t="shared" si="199"/>
        <v>6</v>
      </c>
      <c r="CB76" s="150">
        <v>19</v>
      </c>
      <c r="CC76" s="287"/>
    </row>
    <row r="77" spans="1:88" x14ac:dyDescent="0.45">
      <c r="A77" s="280"/>
      <c r="B77" s="1">
        <v>7</v>
      </c>
      <c r="C77">
        <f t="shared" si="200"/>
        <v>0</v>
      </c>
      <c r="D77">
        <v>0</v>
      </c>
      <c r="E77" s="30">
        <f t="shared" si="201"/>
        <v>11</v>
      </c>
      <c r="F77" s="150"/>
      <c r="G77" s="287"/>
      <c r="H77" s="174"/>
      <c r="I77" s="280"/>
      <c r="J77" s="1">
        <v>7</v>
      </c>
      <c r="K77">
        <f t="shared" si="177"/>
        <v>0</v>
      </c>
      <c r="L77">
        <f t="shared" si="202"/>
        <v>0</v>
      </c>
      <c r="M77" s="30">
        <f t="shared" si="178"/>
        <v>11</v>
      </c>
      <c r="N77" s="150"/>
      <c r="O77" s="284"/>
      <c r="P77" s="1">
        <v>7</v>
      </c>
      <c r="Q77">
        <f t="shared" si="179"/>
        <v>0</v>
      </c>
      <c r="R77">
        <f t="shared" si="180"/>
        <v>0</v>
      </c>
      <c r="S77" s="30">
        <f t="shared" si="181"/>
        <v>11</v>
      </c>
      <c r="T77" s="150"/>
      <c r="U77" s="287"/>
      <c r="V77" s="174"/>
      <c r="W77" s="280"/>
      <c r="X77" s="127">
        <v>7</v>
      </c>
      <c r="Y77">
        <f t="shared" si="182"/>
        <v>0</v>
      </c>
      <c r="Z77" s="125">
        <f t="shared" si="203"/>
        <v>0</v>
      </c>
      <c r="AA77" s="128">
        <f t="shared" si="183"/>
        <v>11</v>
      </c>
      <c r="AB77" s="158"/>
      <c r="AC77" s="284"/>
      <c r="AD77" s="1">
        <v>7</v>
      </c>
      <c r="AE77">
        <f t="shared" si="184"/>
        <v>0</v>
      </c>
      <c r="AF77">
        <f t="shared" si="185"/>
        <v>0</v>
      </c>
      <c r="AG77" s="30">
        <f t="shared" si="186"/>
        <v>11</v>
      </c>
      <c r="AH77" s="150"/>
      <c r="AI77" s="284"/>
      <c r="AJ77" s="1">
        <v>7</v>
      </c>
      <c r="AK77">
        <f t="shared" si="20"/>
        <v>0</v>
      </c>
      <c r="AL77">
        <f t="shared" si="204"/>
        <v>0</v>
      </c>
      <c r="AM77" s="30">
        <f t="shared" si="187"/>
        <v>11</v>
      </c>
      <c r="AN77" s="150"/>
      <c r="AO77" s="287"/>
      <c r="AP77" s="174"/>
      <c r="AQ77" s="280"/>
      <c r="AR77" s="1">
        <v>7</v>
      </c>
      <c r="AS77">
        <f t="shared" si="188"/>
        <v>0</v>
      </c>
      <c r="AT77">
        <f t="shared" si="205"/>
        <v>0</v>
      </c>
      <c r="AU77" s="30">
        <f t="shared" si="189"/>
        <v>11</v>
      </c>
      <c r="AV77" s="96"/>
      <c r="AW77" s="284"/>
      <c r="AX77" s="1">
        <v>7</v>
      </c>
      <c r="AY77">
        <f t="shared" si="190"/>
        <v>0</v>
      </c>
      <c r="AZ77">
        <f t="shared" si="206"/>
        <v>0</v>
      </c>
      <c r="BA77" s="30">
        <f t="shared" si="191"/>
        <v>11</v>
      </c>
      <c r="BB77" s="96"/>
      <c r="BC77" s="284"/>
      <c r="BD77" s="1">
        <v>7</v>
      </c>
      <c r="BE77">
        <f t="shared" si="192"/>
        <v>0</v>
      </c>
      <c r="BF77">
        <f t="shared" si="207"/>
        <v>0</v>
      </c>
      <c r="BG77" s="30">
        <f t="shared" si="193"/>
        <v>11</v>
      </c>
      <c r="BH77" s="96"/>
      <c r="BI77" s="287"/>
      <c r="BJ77" s="171"/>
      <c r="BK77" s="280"/>
      <c r="BL77" s="1">
        <v>7</v>
      </c>
      <c r="BM77">
        <f t="shared" si="194"/>
        <v>0</v>
      </c>
      <c r="BN77">
        <f t="shared" si="208"/>
        <v>0</v>
      </c>
      <c r="BO77" s="30">
        <f t="shared" si="195"/>
        <v>11</v>
      </c>
      <c r="BP77" s="150"/>
      <c r="BQ77" s="284"/>
      <c r="BR77" s="1">
        <v>7</v>
      </c>
      <c r="BS77">
        <f t="shared" si="196"/>
        <v>0</v>
      </c>
      <c r="BT77">
        <f t="shared" si="209"/>
        <v>0</v>
      </c>
      <c r="BU77" s="30">
        <f t="shared" si="197"/>
        <v>11</v>
      </c>
      <c r="BV77" s="150"/>
      <c r="BW77" s="284"/>
      <c r="BX77" s="1">
        <v>7</v>
      </c>
      <c r="BY77">
        <f t="shared" si="198"/>
        <v>0</v>
      </c>
      <c r="BZ77">
        <f t="shared" si="210"/>
        <v>0</v>
      </c>
      <c r="CA77" s="30">
        <f t="shared" si="199"/>
        <v>11</v>
      </c>
      <c r="CB77" s="150"/>
      <c r="CC77" s="287"/>
    </row>
    <row r="78" spans="1:88" x14ac:dyDescent="0.45">
      <c r="A78" s="281"/>
      <c r="B78" s="51">
        <v>8</v>
      </c>
      <c r="C78" s="53">
        <f t="shared" si="200"/>
        <v>0</v>
      </c>
      <c r="D78" s="53">
        <v>0</v>
      </c>
      <c r="E78" s="54">
        <f t="shared" si="201"/>
        <v>7</v>
      </c>
      <c r="F78" s="151"/>
      <c r="G78" s="287"/>
      <c r="H78" s="174"/>
      <c r="I78" s="281"/>
      <c r="J78" s="51">
        <v>8</v>
      </c>
      <c r="K78">
        <f t="shared" si="177"/>
        <v>0</v>
      </c>
      <c r="L78" s="53">
        <f t="shared" si="202"/>
        <v>0</v>
      </c>
      <c r="M78" s="54">
        <f t="shared" si="178"/>
        <v>7</v>
      </c>
      <c r="N78" s="151">
        <v>4</v>
      </c>
      <c r="O78" s="285"/>
      <c r="P78" s="51">
        <v>8</v>
      </c>
      <c r="Q78">
        <f t="shared" si="179"/>
        <v>0</v>
      </c>
      <c r="R78" s="53">
        <f t="shared" si="180"/>
        <v>0</v>
      </c>
      <c r="S78" s="54">
        <f t="shared" si="181"/>
        <v>7</v>
      </c>
      <c r="T78" s="151"/>
      <c r="U78" s="287"/>
      <c r="V78" s="174"/>
      <c r="W78" s="281"/>
      <c r="X78" s="129">
        <v>8</v>
      </c>
      <c r="Y78">
        <f t="shared" si="182"/>
        <v>0</v>
      </c>
      <c r="Z78" s="130">
        <f t="shared" si="203"/>
        <v>0</v>
      </c>
      <c r="AA78" s="131">
        <f t="shared" si="183"/>
        <v>7</v>
      </c>
      <c r="AB78" s="159"/>
      <c r="AC78" s="285"/>
      <c r="AD78" s="51">
        <v>8</v>
      </c>
      <c r="AE78">
        <f t="shared" si="184"/>
        <v>0</v>
      </c>
      <c r="AF78" s="53">
        <f t="shared" si="185"/>
        <v>0</v>
      </c>
      <c r="AG78" s="54">
        <f t="shared" si="186"/>
        <v>7</v>
      </c>
      <c r="AH78" s="151"/>
      <c r="AI78" s="285"/>
      <c r="AJ78" s="51">
        <v>8</v>
      </c>
      <c r="AK78">
        <f t="shared" si="20"/>
        <v>0</v>
      </c>
      <c r="AL78" s="53">
        <f t="shared" si="204"/>
        <v>0</v>
      </c>
      <c r="AM78" s="54">
        <f t="shared" si="187"/>
        <v>7</v>
      </c>
      <c r="AN78" s="151">
        <v>22</v>
      </c>
      <c r="AO78" s="287"/>
      <c r="AP78" s="174"/>
      <c r="AQ78" s="281"/>
      <c r="AR78" s="51">
        <v>8</v>
      </c>
      <c r="AS78">
        <f t="shared" si="188"/>
        <v>0</v>
      </c>
      <c r="AT78" s="53">
        <f t="shared" si="205"/>
        <v>0</v>
      </c>
      <c r="AU78" s="54">
        <f t="shared" si="189"/>
        <v>7</v>
      </c>
      <c r="AV78" s="97"/>
      <c r="AW78" s="285"/>
      <c r="AX78" s="51">
        <v>8</v>
      </c>
      <c r="AY78">
        <f t="shared" si="190"/>
        <v>0</v>
      </c>
      <c r="AZ78" s="53">
        <f t="shared" si="206"/>
        <v>0</v>
      </c>
      <c r="BA78" s="54">
        <f t="shared" si="191"/>
        <v>7</v>
      </c>
      <c r="BB78" s="97"/>
      <c r="BC78" s="285"/>
      <c r="BD78" s="51">
        <v>8</v>
      </c>
      <c r="BE78">
        <f t="shared" si="192"/>
        <v>0</v>
      </c>
      <c r="BF78" s="53">
        <f t="shared" si="207"/>
        <v>0</v>
      </c>
      <c r="BG78" s="54">
        <f t="shared" si="193"/>
        <v>7</v>
      </c>
      <c r="BH78" s="97">
        <v>24</v>
      </c>
      <c r="BI78" s="287"/>
      <c r="BJ78" s="171"/>
      <c r="BK78" s="281"/>
      <c r="BL78" s="51">
        <v>8</v>
      </c>
      <c r="BM78">
        <f t="shared" si="194"/>
        <v>0</v>
      </c>
      <c r="BN78" s="53">
        <f t="shared" si="208"/>
        <v>0</v>
      </c>
      <c r="BO78" s="54">
        <f t="shared" si="195"/>
        <v>7</v>
      </c>
      <c r="BP78" s="151"/>
      <c r="BQ78" s="285"/>
      <c r="BR78" s="51">
        <v>8</v>
      </c>
      <c r="BS78">
        <f t="shared" si="196"/>
        <v>0</v>
      </c>
      <c r="BT78" s="53">
        <f t="shared" si="209"/>
        <v>0</v>
      </c>
      <c r="BU78" s="54">
        <f t="shared" si="197"/>
        <v>7</v>
      </c>
      <c r="BV78" s="151"/>
      <c r="BW78" s="285"/>
      <c r="BX78" s="51">
        <v>8</v>
      </c>
      <c r="BY78">
        <f t="shared" si="198"/>
        <v>0</v>
      </c>
      <c r="BZ78" s="53">
        <f t="shared" si="210"/>
        <v>0</v>
      </c>
      <c r="CA78" s="54">
        <f t="shared" si="199"/>
        <v>7</v>
      </c>
      <c r="CB78" s="151">
        <v>20</v>
      </c>
      <c r="CC78" s="287"/>
    </row>
    <row r="79" spans="1:88" x14ac:dyDescent="0.45">
      <c r="A79" s="279">
        <v>7</v>
      </c>
      <c r="B79" s="91">
        <f>O11</f>
        <v>8</v>
      </c>
      <c r="C79" s="87" t="s">
        <v>154</v>
      </c>
      <c r="D79" s="10" t="s">
        <v>158</v>
      </c>
      <c r="E79" s="88" t="s">
        <v>152</v>
      </c>
      <c r="F79" s="152"/>
      <c r="G79" s="287">
        <f>IF(COUNT(#REF!,F80:F88) &gt;0, COUNT(#REF!,F80:F88)/2,"")</f>
        <v>1</v>
      </c>
      <c r="H79" s="174"/>
      <c r="I79" s="279">
        <v>7</v>
      </c>
      <c r="J79" s="10"/>
      <c r="K79" s="87" t="s">
        <v>154</v>
      </c>
      <c r="L79" s="10" t="s">
        <v>158</v>
      </c>
      <c r="M79" s="88" t="s">
        <v>152</v>
      </c>
      <c r="N79" s="152"/>
      <c r="O79" s="286">
        <v>7</v>
      </c>
      <c r="P79" s="10"/>
      <c r="Q79" s="87" t="s">
        <v>154</v>
      </c>
      <c r="R79" s="10" t="s">
        <v>158</v>
      </c>
      <c r="S79" s="88" t="s">
        <v>152</v>
      </c>
      <c r="T79" s="152"/>
      <c r="U79" s="287">
        <f>IF(COUNT(N80:N88,T80:T88) &gt;0, COUNT(N80:N88,T80:T88)/2,"")</f>
        <v>1</v>
      </c>
      <c r="V79" s="174"/>
      <c r="W79" s="279">
        <v>7</v>
      </c>
      <c r="X79" s="121"/>
      <c r="Y79" s="87" t="s">
        <v>154</v>
      </c>
      <c r="Z79" s="121" t="s">
        <v>158</v>
      </c>
      <c r="AA79" s="122" t="s">
        <v>152</v>
      </c>
      <c r="AB79" s="160"/>
      <c r="AC79" s="286">
        <v>7</v>
      </c>
      <c r="AD79" s="10"/>
      <c r="AE79" s="87" t="s">
        <v>154</v>
      </c>
      <c r="AF79" s="10" t="s">
        <v>158</v>
      </c>
      <c r="AG79" s="88" t="s">
        <v>152</v>
      </c>
      <c r="AH79" s="152"/>
      <c r="AI79" s="286">
        <v>7</v>
      </c>
      <c r="AJ79" s="10"/>
      <c r="AK79" t="str">
        <f t="shared" si="20"/>
        <v xml:space="preserve">CTR </v>
      </c>
      <c r="AL79" s="10" t="s">
        <v>158</v>
      </c>
      <c r="AM79" s="88" t="s">
        <v>152</v>
      </c>
      <c r="AN79" s="152"/>
      <c r="AO79" s="287">
        <f>IF(COUNT(AB80:AB88,AH80:AH88,AN80:AN88) &gt;0, COUNT(AB80:AB88,AH80:AH88,AN80:AN88) /2,"")</f>
        <v>1</v>
      </c>
      <c r="AP79" s="174"/>
      <c r="AQ79" s="279">
        <v>7</v>
      </c>
      <c r="AR79" s="10"/>
      <c r="AS79" s="87" t="s">
        <v>154</v>
      </c>
      <c r="AT79" s="10" t="s">
        <v>158</v>
      </c>
      <c r="AU79" s="88" t="s">
        <v>152</v>
      </c>
      <c r="AV79" s="94"/>
      <c r="AW79" s="286">
        <v>7</v>
      </c>
      <c r="AX79" s="10"/>
      <c r="AY79" s="87" t="s">
        <v>154</v>
      </c>
      <c r="AZ79" s="10" t="s">
        <v>158</v>
      </c>
      <c r="BA79" s="88" t="s">
        <v>152</v>
      </c>
      <c r="BB79" s="94"/>
      <c r="BC79" s="286">
        <v>7</v>
      </c>
      <c r="BD79" s="10"/>
      <c r="BE79" s="87" t="s">
        <v>154</v>
      </c>
      <c r="BF79" s="10" t="s">
        <v>158</v>
      </c>
      <c r="BG79" s="88" t="s">
        <v>152</v>
      </c>
      <c r="BH79" s="94"/>
      <c r="BI79" s="287">
        <f>IF(COUNT(AV80:AV88,BB80:BB88,BH80:BH88) &gt;0, COUNT(AV80:AV88,BB80:BB88,BH80:BH88) /2,"")</f>
        <v>2</v>
      </c>
      <c r="BJ79" s="171"/>
      <c r="BK79" s="279">
        <v>7</v>
      </c>
      <c r="BL79" s="10"/>
      <c r="BM79" s="87" t="s">
        <v>154</v>
      </c>
      <c r="BN79" s="10" t="s">
        <v>158</v>
      </c>
      <c r="BO79" s="88" t="s">
        <v>152</v>
      </c>
      <c r="BP79" s="152"/>
      <c r="BQ79" s="286">
        <v>7</v>
      </c>
      <c r="BR79" s="10"/>
      <c r="BS79" s="87" t="s">
        <v>154</v>
      </c>
      <c r="BT79" s="10" t="s">
        <v>158</v>
      </c>
      <c r="BU79" s="88" t="s">
        <v>152</v>
      </c>
      <c r="BV79" s="152"/>
      <c r="BW79" s="286">
        <v>7</v>
      </c>
      <c r="BX79" s="10"/>
      <c r="BY79" s="87" t="s">
        <v>154</v>
      </c>
      <c r="BZ79" s="10" t="s">
        <v>158</v>
      </c>
      <c r="CA79" s="88" t="s">
        <v>152</v>
      </c>
      <c r="CB79" s="152"/>
      <c r="CC79" s="287">
        <f>IF(COUNT(BP80:BP88,BV80:BV88,CB80:CB88) &gt;0, COUNT(BP80:BP88,BV80:BV88,CB80:CB88) /2,"")</f>
        <v>1</v>
      </c>
    </row>
    <row r="80" spans="1:88" ht="46" x14ac:dyDescent="0.45">
      <c r="A80" s="280"/>
      <c r="B80" s="92" t="s">
        <v>162</v>
      </c>
      <c r="C80" s="102" t="s">
        <v>156</v>
      </c>
      <c r="D80" s="89" t="s">
        <v>157</v>
      </c>
      <c r="E80" s="86" t="s">
        <v>159</v>
      </c>
      <c r="F80" s="148"/>
      <c r="G80" s="287"/>
      <c r="H80" s="174"/>
      <c r="I80" s="280"/>
      <c r="K80" s="90" t="s">
        <v>155</v>
      </c>
      <c r="L80" s="89" t="s">
        <v>157</v>
      </c>
      <c r="M80" s="86" t="s">
        <v>159</v>
      </c>
      <c r="N80" s="148"/>
      <c r="O80" s="284"/>
      <c r="Q80" s="90" t="s">
        <v>155</v>
      </c>
      <c r="R80" s="89" t="s">
        <v>157</v>
      </c>
      <c r="S80" s="86" t="s">
        <v>159</v>
      </c>
      <c r="T80" s="148"/>
      <c r="U80" s="287"/>
      <c r="V80" s="174"/>
      <c r="W80" s="280"/>
      <c r="X80" s="125"/>
      <c r="Y80" s="90" t="s">
        <v>155</v>
      </c>
      <c r="Z80" s="123" t="s">
        <v>157</v>
      </c>
      <c r="AA80" s="86" t="s">
        <v>159</v>
      </c>
      <c r="AB80" s="156"/>
      <c r="AC80" s="284"/>
      <c r="AE80" s="90" t="s">
        <v>155</v>
      </c>
      <c r="AF80" s="89" t="s">
        <v>157</v>
      </c>
      <c r="AG80" s="86" t="s">
        <v>159</v>
      </c>
      <c r="AH80" s="148"/>
      <c r="AI80" s="284"/>
      <c r="AK80" t="str">
        <f t="shared" si="20"/>
        <v>CTR=CTR+1</v>
      </c>
      <c r="AL80" s="89" t="s">
        <v>157</v>
      </c>
      <c r="AM80" s="86" t="s">
        <v>159</v>
      </c>
      <c r="AN80" s="148"/>
      <c r="AO80" s="287"/>
      <c r="AP80" s="174"/>
      <c r="AQ80" s="280"/>
      <c r="AS80" s="90" t="s">
        <v>155</v>
      </c>
      <c r="AT80" s="89" t="s">
        <v>157</v>
      </c>
      <c r="AU80" s="86" t="s">
        <v>159</v>
      </c>
      <c r="AV80" s="95"/>
      <c r="AW80" s="284"/>
      <c r="AY80" s="90" t="s">
        <v>155</v>
      </c>
      <c r="AZ80" s="89" t="s">
        <v>157</v>
      </c>
      <c r="BA80" s="86" t="s">
        <v>159</v>
      </c>
      <c r="BB80" s="95"/>
      <c r="BC80" s="284"/>
      <c r="BE80" s="90" t="s">
        <v>155</v>
      </c>
      <c r="BF80" s="89" t="s">
        <v>157</v>
      </c>
      <c r="BG80" s="86" t="s">
        <v>159</v>
      </c>
      <c r="BH80" s="95"/>
      <c r="BI80" s="287"/>
      <c r="BJ80" s="171"/>
      <c r="BK80" s="280"/>
      <c r="BM80" s="90" t="s">
        <v>155</v>
      </c>
      <c r="BN80" s="89" t="s">
        <v>157</v>
      </c>
      <c r="BO80" s="86" t="s">
        <v>159</v>
      </c>
      <c r="BP80" s="148"/>
      <c r="BQ80" s="284"/>
      <c r="BS80" s="90" t="s">
        <v>155</v>
      </c>
      <c r="BT80" s="89" t="s">
        <v>157</v>
      </c>
      <c r="BU80" s="86" t="s">
        <v>159</v>
      </c>
      <c r="BV80" s="148"/>
      <c r="BW80" s="284"/>
      <c r="BY80" s="90" t="s">
        <v>155</v>
      </c>
      <c r="BZ80" s="89" t="s">
        <v>157</v>
      </c>
      <c r="CA80" s="86" t="s">
        <v>159</v>
      </c>
      <c r="CB80" s="148"/>
      <c r="CC80" s="287"/>
    </row>
    <row r="81" spans="1:88" x14ac:dyDescent="0.45">
      <c r="A81" s="280"/>
      <c r="B81" s="62">
        <v>1</v>
      </c>
      <c r="C81">
        <v>0</v>
      </c>
      <c r="D81">
        <v>0</v>
      </c>
      <c r="E81" s="63">
        <f t="shared" ref="E81:E88" si="211">MOD($F5+D81+$B$39,$F$1)</f>
        <v>5</v>
      </c>
      <c r="F81" s="149"/>
      <c r="G81" s="287"/>
      <c r="H81" s="174"/>
      <c r="I81" s="280"/>
      <c r="J81" s="62">
        <v>1</v>
      </c>
      <c r="K81">
        <f t="shared" ref="K81:K88" si="212">IF(F81="", C81,IF(F81=MIN(F$81:F$88),C81+1,0))</f>
        <v>0</v>
      </c>
      <c r="L81">
        <f>K81*$F$2</f>
        <v>0</v>
      </c>
      <c r="M81" s="63">
        <f t="shared" ref="M81:M88" si="213">MOD($F5+L81+$B$39,$F$1)</f>
        <v>5</v>
      </c>
      <c r="N81" s="149">
        <v>10</v>
      </c>
      <c r="O81" s="284"/>
      <c r="P81" s="62">
        <v>1</v>
      </c>
      <c r="Q81">
        <f t="shared" ref="Q81:Q88" si="214">IF(N81="", K81,IF(N81=MIN(N$81:N$88),K81+1,0))</f>
        <v>0</v>
      </c>
      <c r="R81">
        <f>Q81*$F$2</f>
        <v>0</v>
      </c>
      <c r="S81" s="63">
        <f t="shared" ref="S81:S88" si="215">MOD($F5+R81+$B$39,$F$1)</f>
        <v>5</v>
      </c>
      <c r="T81" s="149"/>
      <c r="U81" s="287"/>
      <c r="V81" s="174"/>
      <c r="W81" s="280"/>
      <c r="X81" s="124">
        <v>1</v>
      </c>
      <c r="Y81">
        <f t="shared" ref="Y81:Y88" si="216">IF(T81="", Q81,IF(T81=MIN(T$81:T$88),Q81+1,0))</f>
        <v>0</v>
      </c>
      <c r="Z81" s="125">
        <f t="shared" ref="Z81:Z88" si="217">Y81*$F$2</f>
        <v>0</v>
      </c>
      <c r="AA81" s="126">
        <f t="shared" ref="AA81:AA88" si="218">MOD($F5+Z81+$B$39,$F$1)</f>
        <v>5</v>
      </c>
      <c r="AB81" s="157"/>
      <c r="AC81" s="284"/>
      <c r="AD81" s="62">
        <v>1</v>
      </c>
      <c r="AE81">
        <f t="shared" ref="AE81:AE88" si="219">IF(AB81="", Y81,IF(AB81=MIN(AB$81:AB$88),Y81+1,0))</f>
        <v>0</v>
      </c>
      <c r="AF81">
        <f>AE81*$F$2</f>
        <v>0</v>
      </c>
      <c r="AG81" s="63">
        <f t="shared" ref="AG81:AG88" si="220">MOD($F5+AF81+$B$39,$F$1)</f>
        <v>5</v>
      </c>
      <c r="AH81" s="149"/>
      <c r="AI81" s="284"/>
      <c r="AJ81" s="62">
        <v>1</v>
      </c>
      <c r="AK81">
        <f t="shared" si="20"/>
        <v>0</v>
      </c>
      <c r="AL81">
        <f>AK81*$F$2</f>
        <v>0</v>
      </c>
      <c r="AM81" s="63">
        <f t="shared" ref="AM81:AM88" si="221">MOD($F5+AL81+$B$39,$F$1)</f>
        <v>5</v>
      </c>
      <c r="AN81" s="149"/>
      <c r="AO81" s="287"/>
      <c r="AP81" s="174"/>
      <c r="AQ81" s="280"/>
      <c r="AR81" s="62">
        <v>1</v>
      </c>
      <c r="AS81">
        <f t="shared" ref="AS81:AS88" si="222">IF(AN81="", AK81,IF(AN81=MIN(AN$81:AN$88),AK81+1,0))</f>
        <v>0</v>
      </c>
      <c r="AT81">
        <f>AS81*$F$2</f>
        <v>0</v>
      </c>
      <c r="AU81" s="63">
        <f t="shared" ref="AU81:AU88" si="223">MOD($F5+AT81+$B$39,$F$1)</f>
        <v>5</v>
      </c>
      <c r="AV81" s="98"/>
      <c r="AW81" s="284"/>
      <c r="AX81" s="62">
        <v>1</v>
      </c>
      <c r="AY81">
        <f t="shared" ref="AY81:AY88" si="224">IF(AV81="", AS81,IF(AV81=MIN(AV$81:AV$88),AS81+1,0))</f>
        <v>0</v>
      </c>
      <c r="AZ81">
        <f>AY81*$F$2</f>
        <v>0</v>
      </c>
      <c r="BA81" s="63">
        <f t="shared" ref="BA81:BA88" si="225">MOD($F5+AZ81+$B$39,$F$1)</f>
        <v>5</v>
      </c>
      <c r="BB81" s="98"/>
      <c r="BC81" s="284"/>
      <c r="BD81" s="62">
        <v>1</v>
      </c>
      <c r="BE81">
        <f t="shared" ref="BE81:BE88" si="226">IF(BB81="", AY81,IF(BB81=MIN(BB$81:BB$88),AY81+1,0))</f>
        <v>0</v>
      </c>
      <c r="BF81">
        <f>BE81*$F$2</f>
        <v>0</v>
      </c>
      <c r="BG81" s="63">
        <f t="shared" ref="BG81:BG88" si="227">MOD($F5+BF81+$B$39,$F$1)</f>
        <v>5</v>
      </c>
      <c r="BH81" s="98"/>
      <c r="BI81" s="287"/>
      <c r="BJ81" s="171"/>
      <c r="BK81" s="280"/>
      <c r="BL81" s="62">
        <v>1</v>
      </c>
      <c r="BM81">
        <f t="shared" ref="BM81:BM88" si="228">IF(BH81="", BE81,IF(BH81=MIN(BH$81:BH$88),BE81+1,0))</f>
        <v>0</v>
      </c>
      <c r="BN81">
        <f>BM81*$F$2</f>
        <v>0</v>
      </c>
      <c r="BO81" s="63">
        <f t="shared" ref="BO81:BO88" si="229">MOD($F5+BN81+$B$39,$F$1)</f>
        <v>5</v>
      </c>
      <c r="BP81" s="149"/>
      <c r="BQ81" s="284"/>
      <c r="BR81" s="62">
        <v>1</v>
      </c>
      <c r="BS81">
        <f t="shared" ref="BS81:BS88" si="230">IF(BP81="", BM81,IF(BP81=MIN(BP$81:BP$88),BM81+1,0))</f>
        <v>0</v>
      </c>
      <c r="BT81">
        <f>BS81*$F$2</f>
        <v>0</v>
      </c>
      <c r="BU81" s="63">
        <f t="shared" ref="BU81:BU88" si="231">MOD($F5+BT81+$B$39,$F$1)</f>
        <v>5</v>
      </c>
      <c r="BV81" s="149"/>
      <c r="BW81" s="284"/>
      <c r="BX81" s="62">
        <v>1</v>
      </c>
      <c r="BY81">
        <f t="shared" ref="BY81:BY88" si="232">IF(BV81="", BS81,IF(BV81=MIN(BV$81:BV$88),BS81+1,0))</f>
        <v>0</v>
      </c>
      <c r="BZ81">
        <f>BY81*$F$2</f>
        <v>0</v>
      </c>
      <c r="CA81" s="63">
        <f t="shared" ref="CA81:CA88" si="233">MOD($F5+BZ81+$B$39,$F$1)</f>
        <v>5</v>
      </c>
      <c r="CB81" s="149"/>
      <c r="CC81" s="287"/>
    </row>
    <row r="82" spans="1:88" x14ac:dyDescent="0.45">
      <c r="A82" s="280"/>
      <c r="B82" s="1">
        <v>2</v>
      </c>
      <c r="C82">
        <f t="shared" ref="C82:C88" si="234">IF(B82=MIN(B$21:B$28),1,0)</f>
        <v>0</v>
      </c>
      <c r="D82">
        <v>0</v>
      </c>
      <c r="E82" s="30">
        <f t="shared" si="211"/>
        <v>1</v>
      </c>
      <c r="F82" s="150"/>
      <c r="G82" s="287"/>
      <c r="H82" s="174"/>
      <c r="I82" s="280"/>
      <c r="J82" s="1">
        <v>2</v>
      </c>
      <c r="K82">
        <f t="shared" si="212"/>
        <v>0</v>
      </c>
      <c r="L82">
        <f t="shared" ref="L82:L88" si="235">K82*$F$2</f>
        <v>0</v>
      </c>
      <c r="M82" s="30">
        <f t="shared" si="213"/>
        <v>1</v>
      </c>
      <c r="N82" s="150"/>
      <c r="O82" s="284"/>
      <c r="P82" s="1">
        <v>2</v>
      </c>
      <c r="Q82">
        <f t="shared" si="214"/>
        <v>0</v>
      </c>
      <c r="R82">
        <f t="shared" ref="R82:R88" si="236">Q82*$F$2</f>
        <v>0</v>
      </c>
      <c r="S82" s="30">
        <f t="shared" si="215"/>
        <v>1</v>
      </c>
      <c r="T82" s="150"/>
      <c r="U82" s="287"/>
      <c r="V82" s="174"/>
      <c r="W82" s="280"/>
      <c r="X82" s="127">
        <v>2</v>
      </c>
      <c r="Y82">
        <f t="shared" si="216"/>
        <v>0</v>
      </c>
      <c r="Z82" s="125">
        <f t="shared" si="217"/>
        <v>0</v>
      </c>
      <c r="AA82" s="128">
        <f t="shared" si="218"/>
        <v>1</v>
      </c>
      <c r="AB82" s="158"/>
      <c r="AC82" s="284"/>
      <c r="AD82" s="1">
        <v>2</v>
      </c>
      <c r="AE82">
        <f t="shared" si="219"/>
        <v>0</v>
      </c>
      <c r="AF82">
        <f t="shared" ref="AF82:AF88" si="237">AE82*$F$2</f>
        <v>0</v>
      </c>
      <c r="AG82" s="30">
        <f t="shared" si="220"/>
        <v>1</v>
      </c>
      <c r="AH82" s="150"/>
      <c r="AI82" s="284"/>
      <c r="AJ82" s="1">
        <v>2</v>
      </c>
      <c r="AK82">
        <f t="shared" si="20"/>
        <v>0</v>
      </c>
      <c r="AL82">
        <f t="shared" ref="AL82:AL88" si="238">AK82*$F$2</f>
        <v>0</v>
      </c>
      <c r="AM82" s="30">
        <f t="shared" si="221"/>
        <v>1</v>
      </c>
      <c r="AN82" s="150"/>
      <c r="AO82" s="287"/>
      <c r="AP82" s="174"/>
      <c r="AQ82" s="280"/>
      <c r="AR82" s="1">
        <v>2</v>
      </c>
      <c r="AS82">
        <f t="shared" si="222"/>
        <v>0</v>
      </c>
      <c r="AT82">
        <f t="shared" ref="AT82:AT88" si="239">AS82*$F$2</f>
        <v>0</v>
      </c>
      <c r="AU82" s="30">
        <f t="shared" si="223"/>
        <v>1</v>
      </c>
      <c r="AV82" s="96"/>
      <c r="AW82" s="284"/>
      <c r="AX82" s="1">
        <v>2</v>
      </c>
      <c r="AY82">
        <f t="shared" si="224"/>
        <v>0</v>
      </c>
      <c r="AZ82">
        <f t="shared" ref="AZ82:AZ88" si="240">AY82*$F$2</f>
        <v>0</v>
      </c>
      <c r="BA82" s="30">
        <f t="shared" si="225"/>
        <v>1</v>
      </c>
      <c r="BB82" s="96"/>
      <c r="BC82" s="284"/>
      <c r="BD82" s="1">
        <v>2</v>
      </c>
      <c r="BE82">
        <f t="shared" si="226"/>
        <v>0</v>
      </c>
      <c r="BF82">
        <f t="shared" ref="BF82:BF88" si="241">BE82*$F$2</f>
        <v>0</v>
      </c>
      <c r="BG82" s="30">
        <f t="shared" si="227"/>
        <v>1</v>
      </c>
      <c r="BH82" s="96"/>
      <c r="BI82" s="287"/>
      <c r="BJ82" s="171"/>
      <c r="BK82" s="280"/>
      <c r="BL82" s="1">
        <v>2</v>
      </c>
      <c r="BM82">
        <f t="shared" si="228"/>
        <v>0</v>
      </c>
      <c r="BN82">
        <f t="shared" ref="BN82:BN88" si="242">BM82*$F$2</f>
        <v>0</v>
      </c>
      <c r="BO82" s="30">
        <f t="shared" si="229"/>
        <v>1</v>
      </c>
      <c r="BP82" s="150"/>
      <c r="BQ82" s="284"/>
      <c r="BR82" s="1">
        <v>2</v>
      </c>
      <c r="BS82">
        <f t="shared" si="230"/>
        <v>0</v>
      </c>
      <c r="BT82">
        <f t="shared" ref="BT82:BT88" si="243">BS82*$F$2</f>
        <v>0</v>
      </c>
      <c r="BU82" s="30">
        <f t="shared" si="231"/>
        <v>1</v>
      </c>
      <c r="BV82" s="150"/>
      <c r="BW82" s="284"/>
      <c r="BX82" s="1">
        <v>2</v>
      </c>
      <c r="BY82">
        <f t="shared" si="232"/>
        <v>0</v>
      </c>
      <c r="BZ82">
        <f t="shared" ref="BZ82:BZ88" si="244">BY82*$F$2</f>
        <v>0</v>
      </c>
      <c r="CA82" s="30">
        <f t="shared" si="233"/>
        <v>1</v>
      </c>
      <c r="CB82" s="150"/>
      <c r="CC82" s="287"/>
    </row>
    <row r="83" spans="1:88" x14ac:dyDescent="0.45">
      <c r="A83" s="280"/>
      <c r="B83" s="75">
        <v>3</v>
      </c>
      <c r="C83">
        <f t="shared" si="234"/>
        <v>0</v>
      </c>
      <c r="D83">
        <v>0</v>
      </c>
      <c r="E83" s="30">
        <f t="shared" si="211"/>
        <v>12</v>
      </c>
      <c r="F83" s="150">
        <v>8</v>
      </c>
      <c r="G83" s="287"/>
      <c r="H83" s="174"/>
      <c r="I83" s="280"/>
      <c r="J83" s="75">
        <v>3</v>
      </c>
      <c r="K83">
        <f t="shared" si="212"/>
        <v>0</v>
      </c>
      <c r="L83">
        <f t="shared" si="235"/>
        <v>0</v>
      </c>
      <c r="M83" s="30">
        <f t="shared" si="213"/>
        <v>12</v>
      </c>
      <c r="N83" s="150"/>
      <c r="O83" s="284"/>
      <c r="P83" s="75">
        <v>3</v>
      </c>
      <c r="Q83">
        <f t="shared" si="214"/>
        <v>0</v>
      </c>
      <c r="R83">
        <f t="shared" si="236"/>
        <v>0</v>
      </c>
      <c r="S83" s="30">
        <f t="shared" si="215"/>
        <v>12</v>
      </c>
      <c r="T83" s="150"/>
      <c r="U83" s="287"/>
      <c r="V83" s="174"/>
      <c r="W83" s="280"/>
      <c r="X83" s="75">
        <v>3</v>
      </c>
      <c r="Y83">
        <f t="shared" si="216"/>
        <v>0</v>
      </c>
      <c r="Z83" s="125">
        <f t="shared" si="217"/>
        <v>0</v>
      </c>
      <c r="AA83" s="128">
        <f t="shared" si="218"/>
        <v>12</v>
      </c>
      <c r="AB83" s="158"/>
      <c r="AC83" s="284"/>
      <c r="AD83" s="75">
        <v>3</v>
      </c>
      <c r="AE83">
        <f t="shared" si="219"/>
        <v>0</v>
      </c>
      <c r="AF83">
        <f t="shared" si="237"/>
        <v>0</v>
      </c>
      <c r="AG83" s="30">
        <f t="shared" si="220"/>
        <v>12</v>
      </c>
      <c r="AH83" s="150">
        <v>16</v>
      </c>
      <c r="AI83" s="284"/>
      <c r="AJ83" s="75">
        <v>3</v>
      </c>
      <c r="AK83">
        <f t="shared" si="20"/>
        <v>0</v>
      </c>
      <c r="AL83">
        <f t="shared" si="238"/>
        <v>0</v>
      </c>
      <c r="AM83" s="30">
        <f t="shared" si="221"/>
        <v>12</v>
      </c>
      <c r="AN83" s="150"/>
      <c r="AO83" s="287"/>
      <c r="AP83" s="174"/>
      <c r="AQ83" s="280"/>
      <c r="AR83" s="75">
        <v>3</v>
      </c>
      <c r="AS83">
        <f t="shared" si="222"/>
        <v>0</v>
      </c>
      <c r="AT83">
        <f t="shared" si="239"/>
        <v>0</v>
      </c>
      <c r="AU83" s="30">
        <f t="shared" si="223"/>
        <v>12</v>
      </c>
      <c r="AV83" s="96">
        <v>10</v>
      </c>
      <c r="AW83" s="284"/>
      <c r="AX83" s="75">
        <v>3</v>
      </c>
      <c r="AY83">
        <f t="shared" si="224"/>
        <v>0</v>
      </c>
      <c r="AZ83">
        <f t="shared" si="240"/>
        <v>0</v>
      </c>
      <c r="BA83" s="30">
        <f t="shared" si="225"/>
        <v>12</v>
      </c>
      <c r="BB83" s="96">
        <v>18</v>
      </c>
      <c r="BC83" s="284"/>
      <c r="BD83" s="75">
        <v>3</v>
      </c>
      <c r="BE83">
        <f t="shared" si="226"/>
        <v>0</v>
      </c>
      <c r="BF83">
        <f t="shared" si="241"/>
        <v>0</v>
      </c>
      <c r="BG83" s="30">
        <f t="shared" si="227"/>
        <v>12</v>
      </c>
      <c r="BH83" s="96"/>
      <c r="BI83" s="287"/>
      <c r="BJ83" s="171"/>
      <c r="BK83" s="280"/>
      <c r="BL83" s="75">
        <v>3</v>
      </c>
      <c r="BM83">
        <f t="shared" si="228"/>
        <v>0</v>
      </c>
      <c r="BN83">
        <f t="shared" si="242"/>
        <v>0</v>
      </c>
      <c r="BO83" s="30">
        <f t="shared" si="229"/>
        <v>12</v>
      </c>
      <c r="BP83" s="150"/>
      <c r="BQ83" s="284"/>
      <c r="BR83" s="75">
        <v>3</v>
      </c>
      <c r="BS83">
        <f t="shared" si="230"/>
        <v>0</v>
      </c>
      <c r="BT83">
        <f t="shared" si="243"/>
        <v>0</v>
      </c>
      <c r="BU83" s="30">
        <f t="shared" si="231"/>
        <v>12</v>
      </c>
      <c r="BV83" s="150">
        <v>16</v>
      </c>
      <c r="BW83" s="284"/>
      <c r="BX83" s="75">
        <v>3</v>
      </c>
      <c r="BY83">
        <f t="shared" si="232"/>
        <v>0</v>
      </c>
      <c r="BZ83">
        <f t="shared" si="244"/>
        <v>0</v>
      </c>
      <c r="CA83" s="30">
        <f t="shared" si="233"/>
        <v>12</v>
      </c>
      <c r="CB83" s="150"/>
      <c r="CC83" s="287"/>
    </row>
    <row r="84" spans="1:88" x14ac:dyDescent="0.45">
      <c r="A84" s="280"/>
      <c r="B84" s="1">
        <v>4</v>
      </c>
      <c r="C84">
        <f t="shared" si="234"/>
        <v>0</v>
      </c>
      <c r="D84">
        <v>0</v>
      </c>
      <c r="E84" s="30">
        <f t="shared" si="211"/>
        <v>8</v>
      </c>
      <c r="F84" s="150"/>
      <c r="G84" s="287"/>
      <c r="H84" s="174"/>
      <c r="I84" s="280"/>
      <c r="J84" s="1">
        <v>4</v>
      </c>
      <c r="K84">
        <f t="shared" si="212"/>
        <v>0</v>
      </c>
      <c r="L84">
        <f t="shared" si="235"/>
        <v>0</v>
      </c>
      <c r="M84" s="30">
        <f t="shared" si="213"/>
        <v>8</v>
      </c>
      <c r="N84" s="150"/>
      <c r="O84" s="284"/>
      <c r="P84" s="1">
        <v>4</v>
      </c>
      <c r="Q84">
        <f t="shared" si="214"/>
        <v>0</v>
      </c>
      <c r="R84">
        <f t="shared" si="236"/>
        <v>0</v>
      </c>
      <c r="S84" s="30">
        <f t="shared" si="215"/>
        <v>8</v>
      </c>
      <c r="T84" s="150"/>
      <c r="U84" s="287"/>
      <c r="V84" s="174"/>
      <c r="W84" s="280"/>
      <c r="X84" s="127">
        <v>4</v>
      </c>
      <c r="Y84">
        <f t="shared" si="216"/>
        <v>0</v>
      </c>
      <c r="Z84" s="125">
        <f t="shared" si="217"/>
        <v>0</v>
      </c>
      <c r="AA84" s="128">
        <f t="shared" si="218"/>
        <v>8</v>
      </c>
      <c r="AB84" s="158"/>
      <c r="AC84" s="284"/>
      <c r="AD84" s="1">
        <v>4</v>
      </c>
      <c r="AE84">
        <f t="shared" si="219"/>
        <v>0</v>
      </c>
      <c r="AF84">
        <f t="shared" si="237"/>
        <v>0</v>
      </c>
      <c r="AG84" s="30">
        <f t="shared" si="220"/>
        <v>8</v>
      </c>
      <c r="AH84" s="150"/>
      <c r="AI84" s="284"/>
      <c r="AJ84" s="1">
        <v>4</v>
      </c>
      <c r="AK84">
        <f t="shared" si="20"/>
        <v>0</v>
      </c>
      <c r="AL84">
        <f t="shared" si="238"/>
        <v>0</v>
      </c>
      <c r="AM84" s="30">
        <f t="shared" si="221"/>
        <v>8</v>
      </c>
      <c r="AN84" s="150"/>
      <c r="AO84" s="287"/>
      <c r="AP84" s="174"/>
      <c r="AQ84" s="280"/>
      <c r="AR84" s="1">
        <v>4</v>
      </c>
      <c r="AS84">
        <f t="shared" si="222"/>
        <v>0</v>
      </c>
      <c r="AT84">
        <f t="shared" si="239"/>
        <v>0</v>
      </c>
      <c r="AU84" s="30">
        <f t="shared" si="223"/>
        <v>8</v>
      </c>
      <c r="AV84" s="96"/>
      <c r="AW84" s="284"/>
      <c r="AX84" s="1">
        <v>4</v>
      </c>
      <c r="AY84">
        <f t="shared" si="224"/>
        <v>0</v>
      </c>
      <c r="AZ84">
        <f t="shared" si="240"/>
        <v>0</v>
      </c>
      <c r="BA84" s="30">
        <f t="shared" si="225"/>
        <v>8</v>
      </c>
      <c r="BB84" s="96"/>
      <c r="BC84" s="284"/>
      <c r="BD84" s="1">
        <v>4</v>
      </c>
      <c r="BE84">
        <f t="shared" si="226"/>
        <v>0</v>
      </c>
      <c r="BF84">
        <f t="shared" si="241"/>
        <v>0</v>
      </c>
      <c r="BG84" s="30">
        <f t="shared" si="227"/>
        <v>8</v>
      </c>
      <c r="BH84" s="96"/>
      <c r="BI84" s="287"/>
      <c r="BJ84" s="171"/>
      <c r="BK84" s="280"/>
      <c r="BL84" s="1">
        <v>4</v>
      </c>
      <c r="BM84">
        <f t="shared" si="228"/>
        <v>0</v>
      </c>
      <c r="BN84">
        <f t="shared" si="242"/>
        <v>0</v>
      </c>
      <c r="BO84" s="30">
        <f t="shared" si="229"/>
        <v>8</v>
      </c>
      <c r="BP84" s="150"/>
      <c r="BQ84" s="284"/>
      <c r="BR84" s="1">
        <v>4</v>
      </c>
      <c r="BS84">
        <f t="shared" si="230"/>
        <v>0</v>
      </c>
      <c r="BT84">
        <f t="shared" si="243"/>
        <v>0</v>
      </c>
      <c r="BU84" s="30">
        <f t="shared" si="231"/>
        <v>8</v>
      </c>
      <c r="BV84" s="150"/>
      <c r="BW84" s="284"/>
      <c r="BX84" s="1">
        <v>4</v>
      </c>
      <c r="BY84">
        <f t="shared" si="232"/>
        <v>0</v>
      </c>
      <c r="BZ84">
        <f t="shared" si="244"/>
        <v>0</v>
      </c>
      <c r="CA84" s="30">
        <f t="shared" si="233"/>
        <v>8</v>
      </c>
      <c r="CB84" s="150"/>
      <c r="CC84" s="287"/>
    </row>
    <row r="85" spans="1:88" x14ac:dyDescent="0.45">
      <c r="A85" s="280"/>
      <c r="B85" s="1">
        <v>5</v>
      </c>
      <c r="C85">
        <f t="shared" si="234"/>
        <v>0</v>
      </c>
      <c r="D85">
        <v>0</v>
      </c>
      <c r="E85" s="30">
        <f t="shared" si="211"/>
        <v>2</v>
      </c>
      <c r="F85" s="150"/>
      <c r="G85" s="287"/>
      <c r="H85" s="174"/>
      <c r="I85" s="280"/>
      <c r="J85" s="1">
        <v>5</v>
      </c>
      <c r="K85">
        <f t="shared" si="212"/>
        <v>0</v>
      </c>
      <c r="L85">
        <f t="shared" si="235"/>
        <v>0</v>
      </c>
      <c r="M85" s="30">
        <f t="shared" si="213"/>
        <v>2</v>
      </c>
      <c r="N85" s="150"/>
      <c r="O85" s="284"/>
      <c r="P85" s="1">
        <v>5</v>
      </c>
      <c r="Q85">
        <f t="shared" si="214"/>
        <v>0</v>
      </c>
      <c r="R85">
        <f t="shared" si="236"/>
        <v>0</v>
      </c>
      <c r="S85" s="30">
        <f t="shared" si="215"/>
        <v>2</v>
      </c>
      <c r="T85" s="150"/>
      <c r="U85" s="287"/>
      <c r="V85" s="174"/>
      <c r="W85" s="280"/>
      <c r="X85" s="127">
        <v>5</v>
      </c>
      <c r="Y85">
        <f t="shared" si="216"/>
        <v>0</v>
      </c>
      <c r="Z85" s="125">
        <f t="shared" si="217"/>
        <v>0</v>
      </c>
      <c r="AA85" s="128">
        <f t="shared" si="218"/>
        <v>2</v>
      </c>
      <c r="AB85" s="158"/>
      <c r="AC85" s="284"/>
      <c r="AD85" s="1">
        <v>5</v>
      </c>
      <c r="AE85">
        <f t="shared" si="219"/>
        <v>0</v>
      </c>
      <c r="AF85">
        <f t="shared" si="237"/>
        <v>0</v>
      </c>
      <c r="AG85" s="30">
        <f t="shared" si="220"/>
        <v>2</v>
      </c>
      <c r="AH85" s="150"/>
      <c r="AI85" s="284"/>
      <c r="AJ85" s="1">
        <v>5</v>
      </c>
      <c r="AK85">
        <f t="shared" si="20"/>
        <v>0</v>
      </c>
      <c r="AL85">
        <f t="shared" si="238"/>
        <v>0</v>
      </c>
      <c r="AM85" s="30">
        <f t="shared" si="221"/>
        <v>2</v>
      </c>
      <c r="AN85" s="150"/>
      <c r="AO85" s="287"/>
      <c r="AP85" s="174"/>
      <c r="AQ85" s="280"/>
      <c r="AR85" s="1">
        <v>5</v>
      </c>
      <c r="AS85">
        <f t="shared" si="222"/>
        <v>0</v>
      </c>
      <c r="AT85">
        <f t="shared" si="239"/>
        <v>0</v>
      </c>
      <c r="AU85" s="30">
        <f t="shared" si="223"/>
        <v>2</v>
      </c>
      <c r="AV85" s="96"/>
      <c r="AW85" s="284"/>
      <c r="AX85" s="1">
        <v>5</v>
      </c>
      <c r="AY85">
        <f t="shared" si="224"/>
        <v>0</v>
      </c>
      <c r="AZ85">
        <f t="shared" si="240"/>
        <v>0</v>
      </c>
      <c r="BA85" s="30">
        <f t="shared" si="225"/>
        <v>2</v>
      </c>
      <c r="BB85" s="96"/>
      <c r="BC85" s="284"/>
      <c r="BD85" s="1">
        <v>5</v>
      </c>
      <c r="BE85">
        <f t="shared" si="226"/>
        <v>0</v>
      </c>
      <c r="BF85">
        <f t="shared" si="241"/>
        <v>0</v>
      </c>
      <c r="BG85" s="30">
        <f t="shared" si="227"/>
        <v>2</v>
      </c>
      <c r="BH85" s="96"/>
      <c r="BI85" s="287"/>
      <c r="BJ85" s="171"/>
      <c r="BK85" s="280"/>
      <c r="BL85" s="1">
        <v>5</v>
      </c>
      <c r="BM85">
        <f t="shared" si="228"/>
        <v>0</v>
      </c>
      <c r="BN85">
        <f t="shared" si="242"/>
        <v>0</v>
      </c>
      <c r="BO85" s="30">
        <f t="shared" si="229"/>
        <v>2</v>
      </c>
      <c r="BP85" s="150"/>
      <c r="BQ85" s="284"/>
      <c r="BR85" s="1">
        <v>5</v>
      </c>
      <c r="BS85">
        <f t="shared" si="230"/>
        <v>0</v>
      </c>
      <c r="BT85">
        <f t="shared" si="243"/>
        <v>0</v>
      </c>
      <c r="BU85" s="30">
        <f t="shared" si="231"/>
        <v>2</v>
      </c>
      <c r="BV85" s="150"/>
      <c r="BW85" s="284"/>
      <c r="BX85" s="1">
        <v>5</v>
      </c>
      <c r="BY85">
        <f t="shared" si="232"/>
        <v>0</v>
      </c>
      <c r="BZ85">
        <f t="shared" si="244"/>
        <v>0</v>
      </c>
      <c r="CA85" s="30">
        <f t="shared" si="233"/>
        <v>2</v>
      </c>
      <c r="CB85" s="150"/>
      <c r="CC85" s="287"/>
      <c r="CJ85" s="138"/>
    </row>
    <row r="86" spans="1:88" x14ac:dyDescent="0.45">
      <c r="A86" s="280"/>
      <c r="B86" s="1">
        <v>6</v>
      </c>
      <c r="C86">
        <f t="shared" si="234"/>
        <v>0</v>
      </c>
      <c r="D86">
        <v>0</v>
      </c>
      <c r="E86" s="30">
        <f t="shared" si="211"/>
        <v>14</v>
      </c>
      <c r="F86" s="150"/>
      <c r="G86" s="287"/>
      <c r="H86" s="174"/>
      <c r="I86" s="280"/>
      <c r="J86" s="1">
        <v>6</v>
      </c>
      <c r="K86">
        <f t="shared" si="212"/>
        <v>0</v>
      </c>
      <c r="L86">
        <f t="shared" si="235"/>
        <v>0</v>
      </c>
      <c r="M86" s="30">
        <f t="shared" si="213"/>
        <v>14</v>
      </c>
      <c r="N86" s="150"/>
      <c r="O86" s="284"/>
      <c r="P86" s="1">
        <v>6</v>
      </c>
      <c r="Q86">
        <f t="shared" si="214"/>
        <v>0</v>
      </c>
      <c r="R86">
        <f t="shared" si="236"/>
        <v>0</v>
      </c>
      <c r="S86" s="30">
        <f t="shared" si="215"/>
        <v>14</v>
      </c>
      <c r="T86" s="150"/>
      <c r="U86" s="287"/>
      <c r="V86" s="174"/>
      <c r="W86" s="280"/>
      <c r="X86" s="127">
        <v>6</v>
      </c>
      <c r="Y86">
        <f t="shared" si="216"/>
        <v>0</v>
      </c>
      <c r="Z86" s="125">
        <f t="shared" si="217"/>
        <v>0</v>
      </c>
      <c r="AA86" s="128">
        <f t="shared" si="218"/>
        <v>14</v>
      </c>
      <c r="AB86" s="158"/>
      <c r="AC86" s="284"/>
      <c r="AD86" s="1">
        <v>6</v>
      </c>
      <c r="AE86">
        <f t="shared" si="219"/>
        <v>0</v>
      </c>
      <c r="AF86">
        <f t="shared" si="237"/>
        <v>0</v>
      </c>
      <c r="AG86" s="30">
        <f t="shared" si="220"/>
        <v>14</v>
      </c>
      <c r="AH86" s="150"/>
      <c r="AI86" s="284"/>
      <c r="AJ86" s="1">
        <v>6</v>
      </c>
      <c r="AK86">
        <f t="shared" ref="AK86:AK98" si="245">IF(AH86="",AE86,IF(AH86=MIN(AH$21:AH$28),AE86+1,0))</f>
        <v>0</v>
      </c>
      <c r="AL86">
        <f t="shared" si="238"/>
        <v>0</v>
      </c>
      <c r="AM86" s="30">
        <f t="shared" si="221"/>
        <v>14</v>
      </c>
      <c r="AN86" s="150"/>
      <c r="AO86" s="287"/>
      <c r="AP86" s="174"/>
      <c r="AQ86" s="280"/>
      <c r="AR86" s="1">
        <v>6</v>
      </c>
      <c r="AS86">
        <f t="shared" si="222"/>
        <v>0</v>
      </c>
      <c r="AT86">
        <f t="shared" si="239"/>
        <v>0</v>
      </c>
      <c r="AU86" s="30">
        <f t="shared" si="223"/>
        <v>14</v>
      </c>
      <c r="AV86" s="96"/>
      <c r="AW86" s="284"/>
      <c r="AX86" s="1">
        <v>6</v>
      </c>
      <c r="AY86">
        <f t="shared" si="224"/>
        <v>0</v>
      </c>
      <c r="AZ86">
        <f t="shared" si="240"/>
        <v>0</v>
      </c>
      <c r="BA86" s="30">
        <f t="shared" si="225"/>
        <v>14</v>
      </c>
      <c r="BB86" s="96"/>
      <c r="BC86" s="284"/>
      <c r="BD86" s="1">
        <v>6</v>
      </c>
      <c r="BE86">
        <f t="shared" si="226"/>
        <v>0</v>
      </c>
      <c r="BF86">
        <f t="shared" si="241"/>
        <v>0</v>
      </c>
      <c r="BG86" s="30">
        <f t="shared" si="227"/>
        <v>14</v>
      </c>
      <c r="BH86" s="96"/>
      <c r="BI86" s="287"/>
      <c r="BJ86" s="171"/>
      <c r="BK86" s="280"/>
      <c r="BL86" s="1">
        <v>6</v>
      </c>
      <c r="BM86">
        <f t="shared" si="228"/>
        <v>0</v>
      </c>
      <c r="BN86">
        <f t="shared" si="242"/>
        <v>0</v>
      </c>
      <c r="BO86" s="30">
        <f t="shared" si="229"/>
        <v>14</v>
      </c>
      <c r="BP86" s="150"/>
      <c r="BQ86" s="284"/>
      <c r="BR86" s="1">
        <v>6</v>
      </c>
      <c r="BS86">
        <f t="shared" si="230"/>
        <v>0</v>
      </c>
      <c r="BT86">
        <f t="shared" si="243"/>
        <v>0</v>
      </c>
      <c r="BU86" s="30">
        <f t="shared" si="231"/>
        <v>14</v>
      </c>
      <c r="BV86" s="150"/>
      <c r="BW86" s="284"/>
      <c r="BX86" s="1">
        <v>6</v>
      </c>
      <c r="BY86">
        <f t="shared" si="232"/>
        <v>0</v>
      </c>
      <c r="BZ86">
        <f t="shared" si="244"/>
        <v>0</v>
      </c>
      <c r="CA86" s="30">
        <f t="shared" si="233"/>
        <v>14</v>
      </c>
      <c r="CB86" s="150"/>
      <c r="CC86" s="287"/>
    </row>
    <row r="87" spans="1:88" x14ac:dyDescent="0.45">
      <c r="A87" s="280"/>
      <c r="B87" s="1">
        <v>7</v>
      </c>
      <c r="C87">
        <f t="shared" si="234"/>
        <v>0</v>
      </c>
      <c r="D87">
        <v>0</v>
      </c>
      <c r="E87" s="30">
        <f t="shared" si="211"/>
        <v>11</v>
      </c>
      <c r="F87" s="150">
        <v>7</v>
      </c>
      <c r="G87" s="287"/>
      <c r="H87" s="174"/>
      <c r="I87" s="280"/>
      <c r="J87" s="1">
        <v>7</v>
      </c>
      <c r="K87">
        <f t="shared" si="212"/>
        <v>1</v>
      </c>
      <c r="L87">
        <f t="shared" si="235"/>
        <v>8</v>
      </c>
      <c r="M87" s="30">
        <f t="shared" si="213"/>
        <v>3</v>
      </c>
      <c r="N87" s="150">
        <v>9</v>
      </c>
      <c r="O87" s="284"/>
      <c r="P87" s="1">
        <v>7</v>
      </c>
      <c r="Q87">
        <f t="shared" si="214"/>
        <v>2</v>
      </c>
      <c r="R87">
        <f t="shared" si="236"/>
        <v>16</v>
      </c>
      <c r="S87" s="30">
        <f t="shared" si="215"/>
        <v>11</v>
      </c>
      <c r="T87" s="150"/>
      <c r="U87" s="287"/>
      <c r="V87" s="174"/>
      <c r="W87" s="280"/>
      <c r="X87" s="127">
        <v>7</v>
      </c>
      <c r="Y87">
        <f t="shared" si="216"/>
        <v>2</v>
      </c>
      <c r="Z87" s="125">
        <f t="shared" si="217"/>
        <v>16</v>
      </c>
      <c r="AA87" s="128">
        <f t="shared" si="218"/>
        <v>11</v>
      </c>
      <c r="AB87" s="158"/>
      <c r="AC87" s="284"/>
      <c r="AD87" s="1">
        <v>7</v>
      </c>
      <c r="AE87">
        <f t="shared" si="219"/>
        <v>2</v>
      </c>
      <c r="AF87">
        <f t="shared" si="237"/>
        <v>16</v>
      </c>
      <c r="AG87" s="30">
        <f t="shared" si="220"/>
        <v>11</v>
      </c>
      <c r="AH87" s="150">
        <v>15</v>
      </c>
      <c r="AI87" s="284"/>
      <c r="AJ87" s="1">
        <v>7</v>
      </c>
      <c r="AK87">
        <f t="shared" si="245"/>
        <v>0</v>
      </c>
      <c r="AL87">
        <f t="shared" si="238"/>
        <v>0</v>
      </c>
      <c r="AM87" s="30">
        <f t="shared" si="221"/>
        <v>11</v>
      </c>
      <c r="AN87" s="150"/>
      <c r="AO87" s="287"/>
      <c r="AP87" s="174"/>
      <c r="AQ87" s="280"/>
      <c r="AR87" s="1">
        <v>7</v>
      </c>
      <c r="AS87">
        <f t="shared" si="222"/>
        <v>0</v>
      </c>
      <c r="AT87">
        <f t="shared" si="239"/>
        <v>0</v>
      </c>
      <c r="AU87" s="30">
        <f t="shared" si="223"/>
        <v>11</v>
      </c>
      <c r="AV87" s="96">
        <v>9</v>
      </c>
      <c r="AW87" s="284"/>
      <c r="AX87" s="1">
        <v>7</v>
      </c>
      <c r="AY87">
        <f t="shared" si="224"/>
        <v>1</v>
      </c>
      <c r="AZ87">
        <f t="shared" si="240"/>
        <v>8</v>
      </c>
      <c r="BA87" s="30">
        <f t="shared" si="225"/>
        <v>3</v>
      </c>
      <c r="BB87" s="96">
        <v>17</v>
      </c>
      <c r="BC87" s="284"/>
      <c r="BD87" s="1">
        <v>7</v>
      </c>
      <c r="BE87">
        <f t="shared" si="226"/>
        <v>2</v>
      </c>
      <c r="BF87">
        <f t="shared" si="241"/>
        <v>16</v>
      </c>
      <c r="BG87" s="30">
        <f t="shared" si="227"/>
        <v>11</v>
      </c>
      <c r="BH87" s="96"/>
      <c r="BI87" s="287"/>
      <c r="BJ87" s="171"/>
      <c r="BK87" s="280"/>
      <c r="BL87" s="1">
        <v>7</v>
      </c>
      <c r="BM87">
        <f t="shared" si="228"/>
        <v>2</v>
      </c>
      <c r="BN87">
        <f t="shared" si="242"/>
        <v>16</v>
      </c>
      <c r="BO87" s="30">
        <f t="shared" si="229"/>
        <v>11</v>
      </c>
      <c r="BP87" s="150"/>
      <c r="BQ87" s="284"/>
      <c r="BR87" s="1">
        <v>7</v>
      </c>
      <c r="BS87">
        <f t="shared" si="230"/>
        <v>2</v>
      </c>
      <c r="BT87">
        <f t="shared" si="243"/>
        <v>16</v>
      </c>
      <c r="BU87" s="30">
        <f t="shared" si="231"/>
        <v>11</v>
      </c>
      <c r="BV87" s="150">
        <v>15</v>
      </c>
      <c r="BW87" s="284"/>
      <c r="BX87" s="1">
        <v>7</v>
      </c>
      <c r="BY87">
        <f t="shared" si="232"/>
        <v>3</v>
      </c>
      <c r="BZ87">
        <f t="shared" si="244"/>
        <v>24</v>
      </c>
      <c r="CA87" s="30">
        <f t="shared" si="233"/>
        <v>3</v>
      </c>
      <c r="CB87" s="150"/>
      <c r="CC87" s="287"/>
    </row>
    <row r="88" spans="1:88" x14ac:dyDescent="0.45">
      <c r="A88" s="281"/>
      <c r="B88" s="51">
        <v>8</v>
      </c>
      <c r="C88" s="53">
        <f t="shared" si="234"/>
        <v>0</v>
      </c>
      <c r="D88" s="53">
        <v>0</v>
      </c>
      <c r="E88" s="54">
        <f t="shared" si="211"/>
        <v>7</v>
      </c>
      <c r="F88" s="151"/>
      <c r="G88" s="287"/>
      <c r="H88" s="174"/>
      <c r="I88" s="281"/>
      <c r="J88" s="51">
        <v>8</v>
      </c>
      <c r="K88">
        <f t="shared" si="212"/>
        <v>0</v>
      </c>
      <c r="L88" s="53">
        <f t="shared" si="235"/>
        <v>0</v>
      </c>
      <c r="M88" s="54">
        <f t="shared" si="213"/>
        <v>7</v>
      </c>
      <c r="N88" s="151"/>
      <c r="O88" s="285"/>
      <c r="P88" s="51">
        <v>8</v>
      </c>
      <c r="Q88">
        <f t="shared" si="214"/>
        <v>0</v>
      </c>
      <c r="R88" s="53">
        <f t="shared" si="236"/>
        <v>0</v>
      </c>
      <c r="S88" s="54">
        <f t="shared" si="215"/>
        <v>7</v>
      </c>
      <c r="T88" s="151"/>
      <c r="U88" s="287"/>
      <c r="V88" s="174"/>
      <c r="W88" s="281"/>
      <c r="X88" s="129">
        <v>8</v>
      </c>
      <c r="Y88">
        <f t="shared" si="216"/>
        <v>0</v>
      </c>
      <c r="Z88" s="130">
        <f t="shared" si="217"/>
        <v>0</v>
      </c>
      <c r="AA88" s="131">
        <f t="shared" si="218"/>
        <v>7</v>
      </c>
      <c r="AB88" s="159"/>
      <c r="AC88" s="285"/>
      <c r="AD88" s="51">
        <v>8</v>
      </c>
      <c r="AE88">
        <f t="shared" si="219"/>
        <v>0</v>
      </c>
      <c r="AF88" s="53">
        <f t="shared" si="237"/>
        <v>0</v>
      </c>
      <c r="AG88" s="54">
        <f t="shared" si="220"/>
        <v>7</v>
      </c>
      <c r="AH88" s="151"/>
      <c r="AI88" s="285"/>
      <c r="AJ88" s="51">
        <v>8</v>
      </c>
      <c r="AK88">
        <f t="shared" si="245"/>
        <v>0</v>
      </c>
      <c r="AL88" s="53">
        <f t="shared" si="238"/>
        <v>0</v>
      </c>
      <c r="AM88" s="54">
        <f t="shared" si="221"/>
        <v>7</v>
      </c>
      <c r="AN88" s="151"/>
      <c r="AO88" s="287"/>
      <c r="AP88" s="174"/>
      <c r="AQ88" s="281"/>
      <c r="AR88" s="51">
        <v>8</v>
      </c>
      <c r="AS88">
        <f t="shared" si="222"/>
        <v>0</v>
      </c>
      <c r="AT88" s="53">
        <f t="shared" si="239"/>
        <v>0</v>
      </c>
      <c r="AU88" s="54">
        <f t="shared" si="223"/>
        <v>7</v>
      </c>
      <c r="AV88" s="97"/>
      <c r="AW88" s="285"/>
      <c r="AX88" s="51">
        <v>8</v>
      </c>
      <c r="AY88">
        <f t="shared" si="224"/>
        <v>0</v>
      </c>
      <c r="AZ88" s="53">
        <f t="shared" si="240"/>
        <v>0</v>
      </c>
      <c r="BA88" s="54">
        <f t="shared" si="225"/>
        <v>7</v>
      </c>
      <c r="BB88" s="97"/>
      <c r="BC88" s="285"/>
      <c r="BD88" s="51">
        <v>8</v>
      </c>
      <c r="BE88">
        <f t="shared" si="226"/>
        <v>0</v>
      </c>
      <c r="BF88" s="53">
        <f t="shared" si="241"/>
        <v>0</v>
      </c>
      <c r="BG88" s="54">
        <f t="shared" si="227"/>
        <v>7</v>
      </c>
      <c r="BH88" s="97"/>
      <c r="BI88" s="287"/>
      <c r="BJ88" s="171"/>
      <c r="BK88" s="281"/>
      <c r="BL88" s="51">
        <v>8</v>
      </c>
      <c r="BM88">
        <f t="shared" si="228"/>
        <v>0</v>
      </c>
      <c r="BN88" s="53">
        <f t="shared" si="242"/>
        <v>0</v>
      </c>
      <c r="BO88" s="54">
        <f t="shared" si="229"/>
        <v>7</v>
      </c>
      <c r="BP88" s="151"/>
      <c r="BQ88" s="285"/>
      <c r="BR88" s="51">
        <v>8</v>
      </c>
      <c r="BS88">
        <f t="shared" si="230"/>
        <v>0</v>
      </c>
      <c r="BT88" s="53">
        <f t="shared" si="243"/>
        <v>0</v>
      </c>
      <c r="BU88" s="54">
        <f t="shared" si="231"/>
        <v>7</v>
      </c>
      <c r="BV88" s="151"/>
      <c r="BW88" s="285"/>
      <c r="BX88" s="51">
        <v>8</v>
      </c>
      <c r="BY88">
        <f t="shared" si="232"/>
        <v>0</v>
      </c>
      <c r="BZ88" s="53">
        <f t="shared" si="244"/>
        <v>0</v>
      </c>
      <c r="CA88" s="54">
        <f t="shared" si="233"/>
        <v>7</v>
      </c>
      <c r="CB88" s="151"/>
      <c r="CC88" s="287"/>
    </row>
    <row r="89" spans="1:88" x14ac:dyDescent="0.45">
      <c r="A89" s="279">
        <v>8</v>
      </c>
      <c r="B89" s="91">
        <f>K57</f>
        <v>0</v>
      </c>
      <c r="C89" s="87" t="s">
        <v>154</v>
      </c>
      <c r="D89" s="10" t="s">
        <v>158</v>
      </c>
      <c r="E89" s="88" t="s">
        <v>152</v>
      </c>
      <c r="F89" s="152"/>
      <c r="G89" s="287">
        <f>IF(COUNT(F90:F98) &gt;0, COUNT(F90:F98)/2,"")</f>
        <v>1</v>
      </c>
      <c r="H89" s="174"/>
      <c r="I89" s="279">
        <v>8</v>
      </c>
      <c r="J89" s="10"/>
      <c r="K89" s="87" t="s">
        <v>154</v>
      </c>
      <c r="L89" s="10" t="s">
        <v>158</v>
      </c>
      <c r="M89" s="88" t="s">
        <v>152</v>
      </c>
      <c r="N89" s="152"/>
      <c r="O89" s="286">
        <v>8</v>
      </c>
      <c r="P89" s="10"/>
      <c r="Q89" s="87" t="s">
        <v>154</v>
      </c>
      <c r="R89" s="10" t="s">
        <v>158</v>
      </c>
      <c r="S89" s="88" t="s">
        <v>152</v>
      </c>
      <c r="T89" s="160"/>
      <c r="U89" s="287">
        <f>IF(COUNT(N90:N98,T90:T98) &gt;0, COUNT(N90:N98,T90:T98)/2,"")</f>
        <v>2</v>
      </c>
      <c r="V89" s="174"/>
      <c r="W89" s="279">
        <v>8</v>
      </c>
      <c r="X89" s="121"/>
      <c r="Y89" s="87" t="s">
        <v>154</v>
      </c>
      <c r="Z89" s="121" t="s">
        <v>158</v>
      </c>
      <c r="AA89" s="122" t="s">
        <v>152</v>
      </c>
      <c r="AB89" s="152"/>
      <c r="AC89" s="286">
        <v>8</v>
      </c>
      <c r="AD89" s="10"/>
      <c r="AE89" s="87" t="s">
        <v>154</v>
      </c>
      <c r="AF89" s="10" t="s">
        <v>158</v>
      </c>
      <c r="AG89" s="88" t="s">
        <v>152</v>
      </c>
      <c r="AH89" s="152"/>
      <c r="AI89" s="286">
        <v>8</v>
      </c>
      <c r="AJ89" s="10"/>
      <c r="AK89" t="str">
        <f t="shared" si="245"/>
        <v xml:space="preserve">CTR </v>
      </c>
      <c r="AL89" s="10" t="s">
        <v>158</v>
      </c>
      <c r="AM89" s="88" t="s">
        <v>152</v>
      </c>
      <c r="AN89" s="152"/>
      <c r="AO89" s="287">
        <f>IF(COUNT(AB90:AB98,AH90:AH98,AN90:AN98) &gt;0, COUNT(AB90:AB98,AH90:AH98,AN90:AN98) /2,"")</f>
        <v>2</v>
      </c>
      <c r="AP89" s="174"/>
      <c r="AQ89" s="279">
        <v>8</v>
      </c>
      <c r="AR89" s="10"/>
      <c r="AS89" s="87" t="s">
        <v>154</v>
      </c>
      <c r="AT89" s="10" t="s">
        <v>158</v>
      </c>
      <c r="AU89" s="88" t="s">
        <v>152</v>
      </c>
      <c r="AV89" s="94"/>
      <c r="AW89" s="286">
        <v>8</v>
      </c>
      <c r="AX89" s="10"/>
      <c r="AY89" s="87" t="s">
        <v>154</v>
      </c>
      <c r="AZ89" s="10" t="s">
        <v>158</v>
      </c>
      <c r="BA89" s="88" t="s">
        <v>152</v>
      </c>
      <c r="BB89" s="94"/>
      <c r="BC89" s="286">
        <v>8</v>
      </c>
      <c r="BD89" s="10"/>
      <c r="BE89" s="87" t="s">
        <v>154</v>
      </c>
      <c r="BF89" s="10" t="s">
        <v>158</v>
      </c>
      <c r="BG89" s="88" t="s">
        <v>152</v>
      </c>
      <c r="BH89" s="94"/>
      <c r="BI89" s="287">
        <f>IF(COUNT(AV90:AV98,BB90:BB98,BH90:BH98) &gt;0, COUNT(AV90:AV98,BB90:BB98,BH90:BH98) /2,"")</f>
        <v>2</v>
      </c>
      <c r="BJ89" s="171"/>
      <c r="BK89" s="279">
        <v>8</v>
      </c>
      <c r="BL89" s="10"/>
      <c r="BM89" s="87" t="s">
        <v>154</v>
      </c>
      <c r="BN89" s="10" t="s">
        <v>158</v>
      </c>
      <c r="BO89" s="88" t="s">
        <v>152</v>
      </c>
      <c r="BP89" s="152"/>
      <c r="BQ89" s="286">
        <v>8</v>
      </c>
      <c r="BR89" s="10"/>
      <c r="BS89" s="87" t="s">
        <v>154</v>
      </c>
      <c r="BT89" s="10" t="s">
        <v>158</v>
      </c>
      <c r="BU89" s="88" t="s">
        <v>152</v>
      </c>
      <c r="BV89" s="152"/>
      <c r="BW89" s="286">
        <v>8</v>
      </c>
      <c r="BX89" s="10"/>
      <c r="BY89" s="87" t="s">
        <v>154</v>
      </c>
      <c r="BZ89" s="10" t="s">
        <v>158</v>
      </c>
      <c r="CA89" s="88" t="s">
        <v>152</v>
      </c>
      <c r="CB89" s="152"/>
      <c r="CC89" s="287">
        <f>IF(COUNT(BP90:BP98,BV90:BV98,CB90:CB98) &gt;0, COUNT(BP90:BP98,BV90:BV98,CB90:CB98) /2,"")</f>
        <v>2</v>
      </c>
    </row>
    <row r="90" spans="1:88" ht="46" x14ac:dyDescent="0.45">
      <c r="A90" s="280"/>
      <c r="B90" s="92" t="s">
        <v>161</v>
      </c>
      <c r="C90" s="102" t="s">
        <v>156</v>
      </c>
      <c r="D90" s="89" t="s">
        <v>157</v>
      </c>
      <c r="E90" s="86" t="s">
        <v>159</v>
      </c>
      <c r="F90" s="148"/>
      <c r="G90" s="287"/>
      <c r="H90" s="174"/>
      <c r="I90" s="280"/>
      <c r="J90" s="92" t="s">
        <v>162</v>
      </c>
      <c r="K90" s="90" t="s">
        <v>155</v>
      </c>
      <c r="L90" s="89" t="s">
        <v>157</v>
      </c>
      <c r="M90" s="86" t="s">
        <v>159</v>
      </c>
      <c r="N90" s="148"/>
      <c r="O90" s="284"/>
      <c r="P90" s="92" t="s">
        <v>162</v>
      </c>
      <c r="Q90" s="90" t="s">
        <v>155</v>
      </c>
      <c r="R90" s="89" t="s">
        <v>157</v>
      </c>
      <c r="S90" s="86" t="s">
        <v>159</v>
      </c>
      <c r="T90" s="156"/>
      <c r="U90" s="287"/>
      <c r="V90" s="174"/>
      <c r="W90" s="280"/>
      <c r="X90" s="92" t="s">
        <v>162</v>
      </c>
      <c r="Y90" s="90" t="s">
        <v>155</v>
      </c>
      <c r="Z90" s="123" t="s">
        <v>157</v>
      </c>
      <c r="AA90" s="86" t="s">
        <v>159</v>
      </c>
      <c r="AB90" s="148"/>
      <c r="AC90" s="284"/>
      <c r="AD90" s="92" t="s">
        <v>162</v>
      </c>
      <c r="AE90" s="90" t="s">
        <v>155</v>
      </c>
      <c r="AF90" s="89" t="s">
        <v>157</v>
      </c>
      <c r="AG90" s="86" t="s">
        <v>159</v>
      </c>
      <c r="AH90" s="148"/>
      <c r="AI90" s="284"/>
      <c r="AJ90" s="92" t="s">
        <v>162</v>
      </c>
      <c r="AK90" t="str">
        <f t="shared" si="245"/>
        <v>CTR=CTR+1</v>
      </c>
      <c r="AL90" s="89" t="s">
        <v>157</v>
      </c>
      <c r="AM90" s="86" t="s">
        <v>159</v>
      </c>
      <c r="AN90" s="148"/>
      <c r="AO90" s="287"/>
      <c r="AP90" s="174"/>
      <c r="AQ90" s="280"/>
      <c r="AR90" s="92" t="s">
        <v>162</v>
      </c>
      <c r="AS90" s="90" t="s">
        <v>155</v>
      </c>
      <c r="AT90" s="89" t="s">
        <v>157</v>
      </c>
      <c r="AU90" s="86" t="s">
        <v>159</v>
      </c>
      <c r="AV90" s="95"/>
      <c r="AW90" s="284"/>
      <c r="AX90" s="92" t="s">
        <v>162</v>
      </c>
      <c r="AY90" s="90" t="s">
        <v>155</v>
      </c>
      <c r="AZ90" s="89" t="s">
        <v>157</v>
      </c>
      <c r="BA90" s="86" t="s">
        <v>159</v>
      </c>
      <c r="BB90" s="95"/>
      <c r="BC90" s="284"/>
      <c r="BD90" s="92" t="s">
        <v>162</v>
      </c>
      <c r="BE90" s="90" t="s">
        <v>155</v>
      </c>
      <c r="BF90" s="89" t="s">
        <v>157</v>
      </c>
      <c r="BG90" s="86" t="s">
        <v>159</v>
      </c>
      <c r="BH90" s="95"/>
      <c r="BI90" s="287"/>
      <c r="BJ90" s="171"/>
      <c r="BK90" s="280"/>
      <c r="BL90" s="92" t="s">
        <v>162</v>
      </c>
      <c r="BM90" s="90" t="s">
        <v>155</v>
      </c>
      <c r="BN90" s="89" t="s">
        <v>157</v>
      </c>
      <c r="BO90" s="86" t="s">
        <v>159</v>
      </c>
      <c r="BP90" s="148"/>
      <c r="BQ90" s="284"/>
      <c r="BR90" s="92" t="s">
        <v>162</v>
      </c>
      <c r="BS90" s="90" t="s">
        <v>155</v>
      </c>
      <c r="BT90" s="89" t="s">
        <v>157</v>
      </c>
      <c r="BU90" s="86" t="s">
        <v>159</v>
      </c>
      <c r="BV90" s="148"/>
      <c r="BW90" s="284"/>
      <c r="BX90" s="92" t="s">
        <v>162</v>
      </c>
      <c r="BY90" s="90" t="s">
        <v>155</v>
      </c>
      <c r="BZ90" s="89" t="s">
        <v>157</v>
      </c>
      <c r="CA90" s="86" t="s">
        <v>159</v>
      </c>
      <c r="CB90" s="148"/>
      <c r="CC90" s="287"/>
    </row>
    <row r="91" spans="1:88" x14ac:dyDescent="0.45">
      <c r="A91" s="280"/>
      <c r="B91" s="62">
        <v>1</v>
      </c>
      <c r="C91">
        <v>0</v>
      </c>
      <c r="D91">
        <v>0</v>
      </c>
      <c r="E91" s="63">
        <f>MOD($F5+D91+$B$39,$F$1)</f>
        <v>5</v>
      </c>
      <c r="F91" s="149"/>
      <c r="G91" s="287"/>
      <c r="H91" s="174"/>
      <c r="I91" s="280"/>
      <c r="J91" s="62">
        <v>1</v>
      </c>
      <c r="K91">
        <f t="shared" ref="K91:K98" si="246">IF(F91="", C91,IF(F91=MIN(F$91:F$98),C91+1,0))</f>
        <v>0</v>
      </c>
      <c r="L91">
        <f>K91*$F$2</f>
        <v>0</v>
      </c>
      <c r="M91" s="63">
        <f t="shared" ref="M91:M98" si="247">MOD($F5+L91+$B$39,$F$1)</f>
        <v>5</v>
      </c>
      <c r="N91" s="149"/>
      <c r="O91" s="284"/>
      <c r="P91" s="62">
        <v>1</v>
      </c>
      <c r="Q91">
        <f t="shared" ref="Q91:Q98" si="248">IF(N91="", K91,IF(N91=MIN(N$91:N$98),K91+1,0))</f>
        <v>0</v>
      </c>
      <c r="R91">
        <f>Q91*$F$2</f>
        <v>0</v>
      </c>
      <c r="S91" s="63">
        <f t="shared" ref="S91:S98" si="249">MOD($F5+R91+$B$39,$F$1)</f>
        <v>5</v>
      </c>
      <c r="T91" s="157"/>
      <c r="U91" s="287"/>
      <c r="V91" s="174"/>
      <c r="W91" s="280"/>
      <c r="X91" s="124">
        <v>1</v>
      </c>
      <c r="Y91">
        <f t="shared" ref="Y91:Y98" si="250">IF(T91="", Q91,IF(T91=MIN(T$91:T$98),Q91+1,0))</f>
        <v>0</v>
      </c>
      <c r="Z91" s="125">
        <f>Y91*$F$2</f>
        <v>0</v>
      </c>
      <c r="AA91" s="126">
        <f t="shared" ref="AA91:AA98" si="251">MOD($F5+Z91+$B$39,$F$1)</f>
        <v>5</v>
      </c>
      <c r="AB91" s="149"/>
      <c r="AC91" s="284"/>
      <c r="AD91" s="62">
        <v>1</v>
      </c>
      <c r="AE91">
        <f t="shared" ref="AE91:AE98" si="252">IF(AB91="", Y91,IF(AB91=MIN(AB$91:AB$98),Y91+1,0))</f>
        <v>0</v>
      </c>
      <c r="AF91">
        <f>AE91*$F$2</f>
        <v>0</v>
      </c>
      <c r="AG91" s="63">
        <f t="shared" ref="AG91:AG98" si="253">MOD($F5+AF91+$B$39,$F$1)</f>
        <v>5</v>
      </c>
      <c r="AH91" s="149"/>
      <c r="AI91" s="284"/>
      <c r="AJ91" s="62">
        <v>1</v>
      </c>
      <c r="AK91">
        <f t="shared" si="245"/>
        <v>0</v>
      </c>
      <c r="AL91">
        <f>AK91*$F$2</f>
        <v>0</v>
      </c>
      <c r="AM91" s="63">
        <f t="shared" ref="AM91:AM98" si="254">MOD($F5+AL91+$B$39,$F$1)</f>
        <v>5</v>
      </c>
      <c r="AN91" s="149"/>
      <c r="AO91" s="287"/>
      <c r="AP91" s="174"/>
      <c r="AQ91" s="280"/>
      <c r="AR91" s="62">
        <v>1</v>
      </c>
      <c r="AS91">
        <f t="shared" ref="AS91:AS98" si="255">IF(AN91="", AK91,IF(AN91=MIN(AN$91:AN$98),AK91+1,0))</f>
        <v>0</v>
      </c>
      <c r="AT91">
        <f>AS91*$F$2</f>
        <v>0</v>
      </c>
      <c r="AU91" s="63">
        <f t="shared" ref="AU91:AU98" si="256">MOD($F5+AT91+$B$39,$F$1)</f>
        <v>5</v>
      </c>
      <c r="AV91" s="98"/>
      <c r="AW91" s="284"/>
      <c r="AX91" s="62">
        <v>1</v>
      </c>
      <c r="AY91">
        <f t="shared" ref="AY91:AY98" si="257">IF(AV91="", AS91,IF(AV91=MIN(AV$91:AV$98),AS91+1,0))</f>
        <v>0</v>
      </c>
      <c r="AZ91">
        <f>AY91*$F$2</f>
        <v>0</v>
      </c>
      <c r="BA91" s="63">
        <f t="shared" ref="BA91:BA98" si="258">MOD($F5+AZ91+$B$39,$F$1)</f>
        <v>5</v>
      </c>
      <c r="BB91" s="98"/>
      <c r="BC91" s="284"/>
      <c r="BD91" s="62">
        <v>1</v>
      </c>
      <c r="BE91">
        <f t="shared" ref="BE91" si="259">IF(BB91="", AY91,IF(BB91=MIN(BB$91:BB$98),AY91+1,0))</f>
        <v>0</v>
      </c>
      <c r="BF91">
        <f>BE91*$F$2</f>
        <v>0</v>
      </c>
      <c r="BG91" s="63">
        <f t="shared" ref="BG91:BG98" si="260">MOD($F5+BF91+$B$39,$F$1)</f>
        <v>5</v>
      </c>
      <c r="BH91" s="98"/>
      <c r="BI91" s="287"/>
      <c r="BJ91" s="171"/>
      <c r="BK91" s="280"/>
      <c r="BL91" s="62">
        <v>1</v>
      </c>
      <c r="BM91">
        <f t="shared" ref="BM91:BM98" si="261">IF(BH91="", BE91,IF(BH91=MIN(BH$91:BH$98),BE91+1,0))</f>
        <v>0</v>
      </c>
      <c r="BN91">
        <f>BM91*$F$2</f>
        <v>0</v>
      </c>
      <c r="BO91" s="63">
        <f t="shared" ref="BO91:BO98" si="262">MOD($F5+BN91+$B$39,$F$1)</f>
        <v>5</v>
      </c>
      <c r="BP91" s="149"/>
      <c r="BQ91" s="284"/>
      <c r="BR91" s="62">
        <v>1</v>
      </c>
      <c r="BS91">
        <f t="shared" ref="BS91:BS98" si="263">IF(BP91="", BM91,IF(BP91=MIN(BP$91:BP$98),BM91+1,0))</f>
        <v>0</v>
      </c>
      <c r="BT91">
        <f>BS91*$F$2</f>
        <v>0</v>
      </c>
      <c r="BU91" s="63">
        <f t="shared" ref="BU91:BU98" si="264">MOD($F5+BT91+$B$39,$F$1)</f>
        <v>5</v>
      </c>
      <c r="BV91" s="149"/>
      <c r="BW91" s="284"/>
      <c r="BX91" s="62">
        <v>1</v>
      </c>
      <c r="BY91">
        <f t="shared" ref="BY91:BY98" si="265">IF(BV91="", BS91,IF(BV91=MIN(BV$91:BV$98),BS91+1,0))</f>
        <v>0</v>
      </c>
      <c r="BZ91">
        <f>BY91*$F$2</f>
        <v>0</v>
      </c>
      <c r="CA91" s="63">
        <f t="shared" ref="CA91:CA98" si="266">MOD($F5+BZ91+$B$39,$F$1)</f>
        <v>5</v>
      </c>
      <c r="CB91" s="149"/>
      <c r="CC91" s="287"/>
    </row>
    <row r="92" spans="1:88" x14ac:dyDescent="0.45">
      <c r="A92" s="280"/>
      <c r="B92" s="1">
        <v>2</v>
      </c>
      <c r="C92">
        <f t="shared" ref="C92:C98" si="267">IF(B92=MIN(B$21:B$28),1,0)</f>
        <v>0</v>
      </c>
      <c r="D92">
        <v>0</v>
      </c>
      <c r="E92" s="30">
        <f t="shared" ref="E92:E98" si="268">MOD($F6+D92+$B$39,$F$1)</f>
        <v>1</v>
      </c>
      <c r="F92" s="150"/>
      <c r="G92" s="287"/>
      <c r="H92" s="174"/>
      <c r="I92" s="280"/>
      <c r="J92" s="1">
        <v>2</v>
      </c>
      <c r="K92">
        <f t="shared" si="246"/>
        <v>0</v>
      </c>
      <c r="L92">
        <f t="shared" ref="L92:L98" si="269">K92*$F$2</f>
        <v>0</v>
      </c>
      <c r="M92" s="30">
        <f t="shared" si="247"/>
        <v>1</v>
      </c>
      <c r="N92" s="150">
        <v>6</v>
      </c>
      <c r="O92" s="284"/>
      <c r="P92" s="1">
        <v>2</v>
      </c>
      <c r="Q92">
        <f t="shared" si="248"/>
        <v>0</v>
      </c>
      <c r="R92">
        <f t="shared" ref="R92:R98" si="270">Q92*$F$2</f>
        <v>0</v>
      </c>
      <c r="S92" s="30">
        <f t="shared" si="249"/>
        <v>1</v>
      </c>
      <c r="T92" s="158"/>
      <c r="U92" s="287"/>
      <c r="V92" s="174"/>
      <c r="W92" s="280"/>
      <c r="X92" s="127">
        <v>2</v>
      </c>
      <c r="Y92">
        <f t="shared" si="250"/>
        <v>0</v>
      </c>
      <c r="Z92" s="125">
        <f t="shared" ref="Z92:Z98" si="271">Y92*$F$2</f>
        <v>0</v>
      </c>
      <c r="AA92" s="128">
        <f t="shared" si="251"/>
        <v>1</v>
      </c>
      <c r="AB92" s="150"/>
      <c r="AC92" s="284"/>
      <c r="AD92" s="1">
        <v>2</v>
      </c>
      <c r="AE92">
        <f t="shared" si="252"/>
        <v>0</v>
      </c>
      <c r="AF92">
        <f t="shared" ref="AF92:AF98" si="272">AE92*$F$2</f>
        <v>0</v>
      </c>
      <c r="AG92" s="30">
        <f t="shared" si="253"/>
        <v>1</v>
      </c>
      <c r="AH92" s="150">
        <v>12</v>
      </c>
      <c r="AI92" s="284"/>
      <c r="AJ92" s="1">
        <v>2</v>
      </c>
      <c r="AK92">
        <f t="shared" si="245"/>
        <v>0</v>
      </c>
      <c r="AL92">
        <f t="shared" ref="AL92:AL98" si="273">AK92*$F$2</f>
        <v>0</v>
      </c>
      <c r="AM92" s="30">
        <f t="shared" si="254"/>
        <v>1</v>
      </c>
      <c r="AN92" s="150"/>
      <c r="AO92" s="287"/>
      <c r="AP92" s="174"/>
      <c r="AQ92" s="280"/>
      <c r="AR92" s="1">
        <v>2</v>
      </c>
      <c r="AS92">
        <f t="shared" si="255"/>
        <v>0</v>
      </c>
      <c r="AT92">
        <f t="shared" ref="AT92:AT98" si="274">AS92*$F$2</f>
        <v>0</v>
      </c>
      <c r="AU92" s="30">
        <f t="shared" si="256"/>
        <v>1</v>
      </c>
      <c r="AV92" s="96">
        <v>4</v>
      </c>
      <c r="AW92" s="284"/>
      <c r="AX92" s="1">
        <v>2</v>
      </c>
      <c r="AY92">
        <f>IF(AV92="", AS92,IF(AV92=MIN(AV$91:AV$98),AS92+1,0))</f>
        <v>0</v>
      </c>
      <c r="AZ92">
        <f t="shared" ref="AZ92:AZ98" si="275">AY92*$F$2</f>
        <v>0</v>
      </c>
      <c r="BA92" s="30">
        <f t="shared" si="258"/>
        <v>1</v>
      </c>
      <c r="BB92" s="96"/>
      <c r="BC92" s="284"/>
      <c r="BD92" s="1">
        <v>2</v>
      </c>
      <c r="BE92">
        <f>IF(BB92="", AY92,IF(BB92=MIN(BB$91:BB$98),AY92+1,0))</f>
        <v>0</v>
      </c>
      <c r="BF92">
        <f t="shared" ref="BF92:BF98" si="276">BE92*$F$2</f>
        <v>0</v>
      </c>
      <c r="BG92" s="30">
        <f t="shared" si="260"/>
        <v>1</v>
      </c>
      <c r="BH92" s="96"/>
      <c r="BI92" s="287"/>
      <c r="BJ92" s="171"/>
      <c r="BK92" s="280"/>
      <c r="BL92" s="1">
        <v>2</v>
      </c>
      <c r="BM92">
        <f t="shared" si="261"/>
        <v>0</v>
      </c>
      <c r="BN92">
        <f t="shared" ref="BN92:BN98" si="277">BM92*$F$2</f>
        <v>0</v>
      </c>
      <c r="BO92" s="30">
        <f t="shared" si="262"/>
        <v>1</v>
      </c>
      <c r="BP92" s="150">
        <v>4</v>
      </c>
      <c r="BQ92" s="284"/>
      <c r="BR92" s="1">
        <v>2</v>
      </c>
      <c r="BS92">
        <f>IF(BP92="", BM92,IF(BP92=MIN(BP$91:BP$98),BM92+1,0))</f>
        <v>0</v>
      </c>
      <c r="BT92">
        <f t="shared" ref="BT92:BT98" si="278">BS92*$F$2</f>
        <v>0</v>
      </c>
      <c r="BU92" s="30">
        <f t="shared" si="264"/>
        <v>1</v>
      </c>
      <c r="BV92" s="150"/>
      <c r="BW92" s="284"/>
      <c r="BX92" s="1">
        <v>2</v>
      </c>
      <c r="BY92">
        <f>IF(BV92="", BS92,IF(BV92=MIN(BV$91:BV$98),BS92+1,0))</f>
        <v>0</v>
      </c>
      <c r="BZ92">
        <f t="shared" ref="BZ92:BZ98" si="279">BY92*$F$2</f>
        <v>0</v>
      </c>
      <c r="CA92" s="30">
        <f t="shared" si="266"/>
        <v>1</v>
      </c>
      <c r="CB92" s="150"/>
      <c r="CC92" s="287"/>
    </row>
    <row r="93" spans="1:88" x14ac:dyDescent="0.45">
      <c r="A93" s="280"/>
      <c r="B93" s="75">
        <v>3</v>
      </c>
      <c r="C93">
        <f t="shared" si="267"/>
        <v>0</v>
      </c>
      <c r="D93">
        <v>0</v>
      </c>
      <c r="E93" s="30">
        <f t="shared" si="268"/>
        <v>12</v>
      </c>
      <c r="F93" s="150"/>
      <c r="G93" s="287"/>
      <c r="H93" s="174"/>
      <c r="I93" s="280"/>
      <c r="J93" s="75">
        <v>3</v>
      </c>
      <c r="K93">
        <f t="shared" si="246"/>
        <v>0</v>
      </c>
      <c r="L93">
        <f t="shared" si="269"/>
        <v>0</v>
      </c>
      <c r="M93" s="30">
        <f t="shared" si="247"/>
        <v>12</v>
      </c>
      <c r="N93" s="150"/>
      <c r="O93" s="284"/>
      <c r="P93" s="75">
        <v>3</v>
      </c>
      <c r="Q93">
        <f t="shared" si="248"/>
        <v>0</v>
      </c>
      <c r="R93">
        <f t="shared" si="270"/>
        <v>0</v>
      </c>
      <c r="S93" s="30">
        <f t="shared" si="249"/>
        <v>12</v>
      </c>
      <c r="T93" s="158"/>
      <c r="U93" s="287"/>
      <c r="V93" s="174"/>
      <c r="W93" s="280"/>
      <c r="X93" s="75">
        <v>3</v>
      </c>
      <c r="Y93">
        <f t="shared" si="250"/>
        <v>0</v>
      </c>
      <c r="Z93" s="125">
        <f t="shared" si="271"/>
        <v>0</v>
      </c>
      <c r="AA93" s="128">
        <f t="shared" si="251"/>
        <v>12</v>
      </c>
      <c r="AB93" s="150"/>
      <c r="AC93" s="284"/>
      <c r="AD93" s="75">
        <v>3</v>
      </c>
      <c r="AE93">
        <f t="shared" si="252"/>
        <v>0</v>
      </c>
      <c r="AF93">
        <f t="shared" si="272"/>
        <v>0</v>
      </c>
      <c r="AG93" s="30">
        <f t="shared" si="253"/>
        <v>12</v>
      </c>
      <c r="AH93" s="150"/>
      <c r="AI93" s="284"/>
      <c r="AJ93" s="75">
        <v>3</v>
      </c>
      <c r="AK93">
        <f t="shared" si="245"/>
        <v>0</v>
      </c>
      <c r="AL93">
        <f t="shared" si="273"/>
        <v>0</v>
      </c>
      <c r="AM93" s="30">
        <f t="shared" si="254"/>
        <v>12</v>
      </c>
      <c r="AN93" s="150"/>
      <c r="AO93" s="287"/>
      <c r="AP93" s="174"/>
      <c r="AQ93" s="280"/>
      <c r="AR93" s="75">
        <v>3</v>
      </c>
      <c r="AS93">
        <f t="shared" si="255"/>
        <v>0</v>
      </c>
      <c r="AT93">
        <f t="shared" si="274"/>
        <v>0</v>
      </c>
      <c r="AU93" s="30">
        <f t="shared" si="256"/>
        <v>12</v>
      </c>
      <c r="AV93" s="96"/>
      <c r="AW93" s="284"/>
      <c r="AX93" s="75">
        <v>3</v>
      </c>
      <c r="AY93">
        <f t="shared" si="257"/>
        <v>0</v>
      </c>
      <c r="AZ93">
        <f t="shared" si="275"/>
        <v>0</v>
      </c>
      <c r="BA93" s="30">
        <f t="shared" si="258"/>
        <v>12</v>
      </c>
      <c r="BB93" s="96"/>
      <c r="BC93" s="284"/>
      <c r="BD93" s="75">
        <v>3</v>
      </c>
      <c r="BE93">
        <f t="shared" ref="BE93:BE96" si="280">IF(BB93="", AY93,IF(BB93=MIN(BB$91:BB$98),AY93+1,0))</f>
        <v>0</v>
      </c>
      <c r="BF93">
        <f t="shared" si="276"/>
        <v>0</v>
      </c>
      <c r="BG93" s="30">
        <f t="shared" si="260"/>
        <v>12</v>
      </c>
      <c r="BH93" s="96"/>
      <c r="BI93" s="287"/>
      <c r="BJ93" s="171"/>
      <c r="BK93" s="280"/>
      <c r="BL93" s="75">
        <v>3</v>
      </c>
      <c r="BM93">
        <f t="shared" si="261"/>
        <v>0</v>
      </c>
      <c r="BN93">
        <f t="shared" si="277"/>
        <v>0</v>
      </c>
      <c r="BO93" s="30">
        <f t="shared" si="262"/>
        <v>12</v>
      </c>
      <c r="BP93" s="150"/>
      <c r="BQ93" s="284"/>
      <c r="BR93" s="75">
        <v>3</v>
      </c>
      <c r="BS93">
        <f t="shared" si="263"/>
        <v>0</v>
      </c>
      <c r="BT93">
        <f t="shared" si="278"/>
        <v>0</v>
      </c>
      <c r="BU93" s="30">
        <f t="shared" si="264"/>
        <v>12</v>
      </c>
      <c r="BV93" s="150"/>
      <c r="BW93" s="284"/>
      <c r="BX93" s="75">
        <v>3</v>
      </c>
      <c r="BY93">
        <f t="shared" si="265"/>
        <v>0</v>
      </c>
      <c r="BZ93">
        <f t="shared" si="279"/>
        <v>0</v>
      </c>
      <c r="CA93" s="30">
        <f t="shared" si="266"/>
        <v>12</v>
      </c>
      <c r="CB93" s="150"/>
      <c r="CC93" s="287"/>
    </row>
    <row r="94" spans="1:88" x14ac:dyDescent="0.45">
      <c r="A94" s="280"/>
      <c r="B94" s="1">
        <v>4</v>
      </c>
      <c r="C94">
        <f t="shared" si="267"/>
        <v>0</v>
      </c>
      <c r="D94">
        <v>0</v>
      </c>
      <c r="E94" s="30">
        <f t="shared" si="268"/>
        <v>8</v>
      </c>
      <c r="F94" s="150">
        <v>4</v>
      </c>
      <c r="G94" s="287"/>
      <c r="H94" s="174"/>
      <c r="I94" s="280"/>
      <c r="J94" s="1">
        <v>4</v>
      </c>
      <c r="K94">
        <f t="shared" si="246"/>
        <v>0</v>
      </c>
      <c r="L94">
        <f t="shared" si="269"/>
        <v>0</v>
      </c>
      <c r="M94" s="30">
        <f t="shared" si="247"/>
        <v>8</v>
      </c>
      <c r="N94" s="150"/>
      <c r="O94" s="284"/>
      <c r="P94" s="1">
        <v>4</v>
      </c>
      <c r="Q94">
        <f t="shared" si="248"/>
        <v>0</v>
      </c>
      <c r="R94">
        <f t="shared" si="270"/>
        <v>0</v>
      </c>
      <c r="S94" s="30">
        <f t="shared" si="249"/>
        <v>8</v>
      </c>
      <c r="T94" s="158">
        <v>14</v>
      </c>
      <c r="U94" s="287"/>
      <c r="V94" s="174"/>
      <c r="W94" s="280"/>
      <c r="X94" s="127">
        <v>4</v>
      </c>
      <c r="Y94">
        <f t="shared" si="250"/>
        <v>0</v>
      </c>
      <c r="Z94" s="125">
        <f t="shared" si="271"/>
        <v>0</v>
      </c>
      <c r="AA94" s="128">
        <f t="shared" si="251"/>
        <v>8</v>
      </c>
      <c r="AB94" s="150"/>
      <c r="AC94" s="284"/>
      <c r="AD94" s="1">
        <v>4</v>
      </c>
      <c r="AE94">
        <f t="shared" si="252"/>
        <v>0</v>
      </c>
      <c r="AF94">
        <f t="shared" si="272"/>
        <v>0</v>
      </c>
      <c r="AG94" s="30">
        <f t="shared" si="253"/>
        <v>8</v>
      </c>
      <c r="AH94" s="150"/>
      <c r="AI94" s="284"/>
      <c r="AJ94" s="1">
        <v>4</v>
      </c>
      <c r="AK94">
        <f t="shared" si="245"/>
        <v>0</v>
      </c>
      <c r="AL94">
        <f t="shared" si="273"/>
        <v>0</v>
      </c>
      <c r="AM94" s="30">
        <f t="shared" si="254"/>
        <v>8</v>
      </c>
      <c r="AN94" s="150">
        <v>24</v>
      </c>
      <c r="AO94" s="287"/>
      <c r="AP94" s="174"/>
      <c r="AQ94" s="280"/>
      <c r="AR94" s="1">
        <v>4</v>
      </c>
      <c r="AS94">
        <f t="shared" si="255"/>
        <v>0</v>
      </c>
      <c r="AT94">
        <f t="shared" si="274"/>
        <v>0</v>
      </c>
      <c r="AU94" s="30">
        <f t="shared" si="256"/>
        <v>8</v>
      </c>
      <c r="AV94" s="96"/>
      <c r="AW94" s="284"/>
      <c r="AX94" s="1">
        <v>4</v>
      </c>
      <c r="AY94">
        <f t="shared" si="257"/>
        <v>0</v>
      </c>
      <c r="AZ94">
        <f t="shared" si="275"/>
        <v>0</v>
      </c>
      <c r="BA94" s="30">
        <f t="shared" si="258"/>
        <v>8</v>
      </c>
      <c r="BB94" s="96"/>
      <c r="BC94" s="284"/>
      <c r="BD94" s="1">
        <v>4</v>
      </c>
      <c r="BE94">
        <f t="shared" si="280"/>
        <v>0</v>
      </c>
      <c r="BF94">
        <f t="shared" si="276"/>
        <v>0</v>
      </c>
      <c r="BG94" s="30">
        <f t="shared" si="260"/>
        <v>8</v>
      </c>
      <c r="BH94" s="96">
        <v>26</v>
      </c>
      <c r="BI94" s="287"/>
      <c r="BJ94" s="171"/>
      <c r="BK94" s="280"/>
      <c r="BL94" s="1">
        <v>4</v>
      </c>
      <c r="BM94">
        <f t="shared" si="261"/>
        <v>0</v>
      </c>
      <c r="BN94">
        <f t="shared" si="277"/>
        <v>0</v>
      </c>
      <c r="BO94" s="30">
        <f t="shared" si="262"/>
        <v>8</v>
      </c>
      <c r="BP94" s="150"/>
      <c r="BQ94" s="284"/>
      <c r="BR94" s="1">
        <v>4</v>
      </c>
      <c r="BS94">
        <f t="shared" si="263"/>
        <v>0</v>
      </c>
      <c r="BT94">
        <f t="shared" si="278"/>
        <v>0</v>
      </c>
      <c r="BU94" s="30">
        <f t="shared" si="264"/>
        <v>8</v>
      </c>
      <c r="BV94" s="150"/>
      <c r="BW94" s="284"/>
      <c r="BX94" s="1">
        <v>4</v>
      </c>
      <c r="BY94">
        <f t="shared" si="265"/>
        <v>0</v>
      </c>
      <c r="BZ94">
        <f t="shared" si="279"/>
        <v>0</v>
      </c>
      <c r="CA94" s="30">
        <f t="shared" si="266"/>
        <v>8</v>
      </c>
      <c r="CB94" s="150">
        <v>22</v>
      </c>
      <c r="CC94" s="287"/>
    </row>
    <row r="95" spans="1:88" x14ac:dyDescent="0.45">
      <c r="A95" s="280"/>
      <c r="B95" s="1">
        <v>5</v>
      </c>
      <c r="C95">
        <f t="shared" si="267"/>
        <v>0</v>
      </c>
      <c r="D95">
        <v>0</v>
      </c>
      <c r="E95" s="30">
        <f t="shared" si="268"/>
        <v>2</v>
      </c>
      <c r="F95" s="150"/>
      <c r="G95" s="287"/>
      <c r="H95" s="174"/>
      <c r="I95" s="280"/>
      <c r="J95" s="1">
        <v>5</v>
      </c>
      <c r="K95">
        <f t="shared" si="246"/>
        <v>0</v>
      </c>
      <c r="L95">
        <f t="shared" si="269"/>
        <v>0</v>
      </c>
      <c r="M95" s="30">
        <f t="shared" si="247"/>
        <v>2</v>
      </c>
      <c r="N95" s="150"/>
      <c r="O95" s="284"/>
      <c r="P95" s="1">
        <v>5</v>
      </c>
      <c r="Q95">
        <f t="shared" si="248"/>
        <v>0</v>
      </c>
      <c r="R95">
        <f t="shared" si="270"/>
        <v>0</v>
      </c>
      <c r="S95" s="30">
        <f t="shared" si="249"/>
        <v>2</v>
      </c>
      <c r="T95" s="158"/>
      <c r="U95" s="287"/>
      <c r="V95" s="174"/>
      <c r="W95" s="280"/>
      <c r="X95" s="127">
        <v>5</v>
      </c>
      <c r="Y95">
        <f t="shared" si="250"/>
        <v>0</v>
      </c>
      <c r="Z95" s="125">
        <f t="shared" si="271"/>
        <v>0</v>
      </c>
      <c r="AA95" s="128">
        <f t="shared" si="251"/>
        <v>2</v>
      </c>
      <c r="AB95" s="150"/>
      <c r="AC95" s="284"/>
      <c r="AD95" s="1">
        <v>5</v>
      </c>
      <c r="AE95">
        <f t="shared" si="252"/>
        <v>0</v>
      </c>
      <c r="AF95">
        <f t="shared" si="272"/>
        <v>0</v>
      </c>
      <c r="AG95" s="30">
        <f t="shared" si="253"/>
        <v>2</v>
      </c>
      <c r="AH95" s="150"/>
      <c r="AI95" s="284"/>
      <c r="AJ95" s="1">
        <v>5</v>
      </c>
      <c r="AK95">
        <f t="shared" si="245"/>
        <v>0</v>
      </c>
      <c r="AL95">
        <f t="shared" si="273"/>
        <v>0</v>
      </c>
      <c r="AM95" s="30">
        <f t="shared" si="254"/>
        <v>2</v>
      </c>
      <c r="AN95" s="150"/>
      <c r="AO95" s="287"/>
      <c r="AP95" s="174"/>
      <c r="AQ95" s="280"/>
      <c r="AR95" s="1">
        <v>5</v>
      </c>
      <c r="AS95">
        <f t="shared" si="255"/>
        <v>0</v>
      </c>
      <c r="AT95">
        <f t="shared" si="274"/>
        <v>0</v>
      </c>
      <c r="AU95" s="30">
        <f t="shared" si="256"/>
        <v>2</v>
      </c>
      <c r="AV95" s="96"/>
      <c r="AW95" s="284"/>
      <c r="AX95" s="1">
        <v>5</v>
      </c>
      <c r="AY95">
        <f t="shared" si="257"/>
        <v>0</v>
      </c>
      <c r="AZ95">
        <f t="shared" si="275"/>
        <v>0</v>
      </c>
      <c r="BA95" s="30">
        <f t="shared" si="258"/>
        <v>2</v>
      </c>
      <c r="BB95" s="96"/>
      <c r="BC95" s="284"/>
      <c r="BD95" s="1">
        <v>5</v>
      </c>
      <c r="BE95">
        <f t="shared" si="280"/>
        <v>0</v>
      </c>
      <c r="BF95">
        <f t="shared" si="276"/>
        <v>0</v>
      </c>
      <c r="BG95" s="30">
        <f t="shared" si="260"/>
        <v>2</v>
      </c>
      <c r="BH95" s="96"/>
      <c r="BI95" s="287"/>
      <c r="BJ95" s="171"/>
      <c r="BK95" s="280"/>
      <c r="BL95" s="1">
        <v>5</v>
      </c>
      <c r="BM95">
        <f t="shared" si="261"/>
        <v>0</v>
      </c>
      <c r="BN95">
        <f t="shared" si="277"/>
        <v>0</v>
      </c>
      <c r="BO95" s="30">
        <f t="shared" si="262"/>
        <v>2</v>
      </c>
      <c r="BP95" s="150"/>
      <c r="BQ95" s="284"/>
      <c r="BR95" s="1">
        <v>5</v>
      </c>
      <c r="BS95">
        <f t="shared" si="263"/>
        <v>0</v>
      </c>
      <c r="BT95">
        <f t="shared" si="278"/>
        <v>0</v>
      </c>
      <c r="BU95" s="30">
        <f t="shared" si="264"/>
        <v>2</v>
      </c>
      <c r="BV95" s="150"/>
      <c r="BW95" s="284"/>
      <c r="BX95" s="1">
        <v>5</v>
      </c>
      <c r="BY95">
        <f t="shared" si="265"/>
        <v>0</v>
      </c>
      <c r="BZ95">
        <f t="shared" si="279"/>
        <v>0</v>
      </c>
      <c r="CA95" s="30">
        <f t="shared" si="266"/>
        <v>2</v>
      </c>
      <c r="CB95" s="150"/>
      <c r="CC95" s="287"/>
    </row>
    <row r="96" spans="1:88" x14ac:dyDescent="0.45">
      <c r="A96" s="280"/>
      <c r="B96" s="1">
        <v>6</v>
      </c>
      <c r="C96">
        <f t="shared" si="267"/>
        <v>0</v>
      </c>
      <c r="D96">
        <v>0</v>
      </c>
      <c r="E96" s="30">
        <f t="shared" si="268"/>
        <v>14</v>
      </c>
      <c r="F96" s="150"/>
      <c r="G96" s="287"/>
      <c r="H96" s="174"/>
      <c r="I96" s="280"/>
      <c r="J96" s="1">
        <v>6</v>
      </c>
      <c r="K96">
        <f t="shared" si="246"/>
        <v>0</v>
      </c>
      <c r="L96">
        <f t="shared" si="269"/>
        <v>0</v>
      </c>
      <c r="M96" s="30">
        <f t="shared" si="247"/>
        <v>14</v>
      </c>
      <c r="N96" s="150"/>
      <c r="O96" s="284"/>
      <c r="P96" s="1">
        <v>6</v>
      </c>
      <c r="Q96">
        <f t="shared" si="248"/>
        <v>0</v>
      </c>
      <c r="R96">
        <f t="shared" si="270"/>
        <v>0</v>
      </c>
      <c r="S96" s="30">
        <f t="shared" si="249"/>
        <v>14</v>
      </c>
      <c r="T96" s="158"/>
      <c r="U96" s="287"/>
      <c r="V96" s="174"/>
      <c r="W96" s="280"/>
      <c r="X96" s="127">
        <v>6</v>
      </c>
      <c r="Y96">
        <f t="shared" si="250"/>
        <v>0</v>
      </c>
      <c r="Z96" s="125">
        <f t="shared" si="271"/>
        <v>0</v>
      </c>
      <c r="AA96" s="128">
        <f t="shared" si="251"/>
        <v>14</v>
      </c>
      <c r="AB96" s="150"/>
      <c r="AC96" s="284"/>
      <c r="AD96" s="1">
        <v>6</v>
      </c>
      <c r="AE96">
        <f t="shared" si="252"/>
        <v>0</v>
      </c>
      <c r="AF96">
        <f t="shared" si="272"/>
        <v>0</v>
      </c>
      <c r="AG96" s="30">
        <f t="shared" si="253"/>
        <v>14</v>
      </c>
      <c r="AH96" s="150"/>
      <c r="AI96" s="284"/>
      <c r="AJ96" s="1">
        <v>6</v>
      </c>
      <c r="AK96">
        <f t="shared" si="245"/>
        <v>0</v>
      </c>
      <c r="AL96">
        <f t="shared" si="273"/>
        <v>0</v>
      </c>
      <c r="AM96" s="30">
        <f t="shared" si="254"/>
        <v>14</v>
      </c>
      <c r="AN96" s="150"/>
      <c r="AO96" s="287"/>
      <c r="AP96" s="174"/>
      <c r="AQ96" s="280"/>
      <c r="AR96" s="1">
        <v>6</v>
      </c>
      <c r="AS96">
        <f t="shared" si="255"/>
        <v>0</v>
      </c>
      <c r="AT96">
        <f t="shared" si="274"/>
        <v>0</v>
      </c>
      <c r="AU96" s="30">
        <f t="shared" si="256"/>
        <v>14</v>
      </c>
      <c r="AV96" s="96"/>
      <c r="AW96" s="284"/>
      <c r="AX96" s="1">
        <v>6</v>
      </c>
      <c r="AY96">
        <f t="shared" si="257"/>
        <v>0</v>
      </c>
      <c r="AZ96">
        <f t="shared" si="275"/>
        <v>0</v>
      </c>
      <c r="BA96" s="30">
        <f t="shared" si="258"/>
        <v>14</v>
      </c>
      <c r="BB96" s="96"/>
      <c r="BC96" s="284"/>
      <c r="BD96" s="1">
        <v>6</v>
      </c>
      <c r="BE96">
        <f t="shared" si="280"/>
        <v>0</v>
      </c>
      <c r="BF96">
        <f t="shared" si="276"/>
        <v>0</v>
      </c>
      <c r="BG96" s="30">
        <f t="shared" si="260"/>
        <v>14</v>
      </c>
      <c r="BH96" s="96"/>
      <c r="BI96" s="287"/>
      <c r="BJ96" s="171"/>
      <c r="BK96" s="280"/>
      <c r="BL96" s="1">
        <v>6</v>
      </c>
      <c r="BM96">
        <f t="shared" si="261"/>
        <v>0</v>
      </c>
      <c r="BN96">
        <f t="shared" si="277"/>
        <v>0</v>
      </c>
      <c r="BO96" s="30">
        <f t="shared" si="262"/>
        <v>14</v>
      </c>
      <c r="BP96" s="150"/>
      <c r="BQ96" s="284"/>
      <c r="BR96" s="1">
        <v>6</v>
      </c>
      <c r="BS96">
        <f t="shared" si="263"/>
        <v>0</v>
      </c>
      <c r="BT96">
        <f t="shared" si="278"/>
        <v>0</v>
      </c>
      <c r="BU96" s="30">
        <f t="shared" si="264"/>
        <v>14</v>
      </c>
      <c r="BV96" s="150"/>
      <c r="BW96" s="284"/>
      <c r="BX96" s="1">
        <v>6</v>
      </c>
      <c r="BY96">
        <f t="shared" si="265"/>
        <v>0</v>
      </c>
      <c r="BZ96">
        <f t="shared" si="279"/>
        <v>0</v>
      </c>
      <c r="CA96" s="30">
        <f t="shared" si="266"/>
        <v>14</v>
      </c>
      <c r="CB96" s="150"/>
      <c r="CC96" s="287"/>
    </row>
    <row r="97" spans="1:81" x14ac:dyDescent="0.45">
      <c r="A97" s="280"/>
      <c r="B97" s="1">
        <v>7</v>
      </c>
      <c r="C97">
        <f t="shared" si="267"/>
        <v>0</v>
      </c>
      <c r="D97">
        <v>0</v>
      </c>
      <c r="E97" s="30">
        <f t="shared" si="268"/>
        <v>11</v>
      </c>
      <c r="F97" s="150"/>
      <c r="G97" s="287"/>
      <c r="H97" s="174"/>
      <c r="I97" s="280"/>
      <c r="J97" s="1">
        <v>7</v>
      </c>
      <c r="K97">
        <f t="shared" si="246"/>
        <v>0</v>
      </c>
      <c r="L97">
        <f t="shared" si="269"/>
        <v>0</v>
      </c>
      <c r="M97" s="30">
        <f t="shared" si="247"/>
        <v>11</v>
      </c>
      <c r="N97" s="150"/>
      <c r="O97" s="284"/>
      <c r="P97" s="1">
        <v>7</v>
      </c>
      <c r="Q97">
        <f t="shared" si="248"/>
        <v>0</v>
      </c>
      <c r="R97">
        <f t="shared" si="270"/>
        <v>0</v>
      </c>
      <c r="S97" s="30">
        <f t="shared" si="249"/>
        <v>11</v>
      </c>
      <c r="T97" s="158"/>
      <c r="U97" s="287"/>
      <c r="V97" s="174"/>
      <c r="W97" s="280"/>
      <c r="X97" s="127">
        <v>7</v>
      </c>
      <c r="Y97">
        <f t="shared" si="250"/>
        <v>0</v>
      </c>
      <c r="Z97" s="125">
        <f t="shared" si="271"/>
        <v>0</v>
      </c>
      <c r="AA97" s="128">
        <f t="shared" si="251"/>
        <v>11</v>
      </c>
      <c r="AB97" s="150"/>
      <c r="AC97" s="284"/>
      <c r="AD97" s="1">
        <v>7</v>
      </c>
      <c r="AE97">
        <f t="shared" si="252"/>
        <v>0</v>
      </c>
      <c r="AF97">
        <f t="shared" si="272"/>
        <v>0</v>
      </c>
      <c r="AG97" s="30">
        <f t="shared" si="253"/>
        <v>11</v>
      </c>
      <c r="AH97" s="150"/>
      <c r="AI97" s="284"/>
      <c r="AJ97" s="1">
        <v>7</v>
      </c>
      <c r="AK97">
        <f t="shared" si="245"/>
        <v>0</v>
      </c>
      <c r="AL97">
        <f t="shared" si="273"/>
        <v>0</v>
      </c>
      <c r="AM97" s="30">
        <f t="shared" si="254"/>
        <v>11</v>
      </c>
      <c r="AN97" s="150"/>
      <c r="AO97" s="287"/>
      <c r="AP97" s="174"/>
      <c r="AQ97" s="280"/>
      <c r="AR97" s="1">
        <v>7</v>
      </c>
      <c r="AS97">
        <f t="shared" si="255"/>
        <v>0</v>
      </c>
      <c r="AT97">
        <f t="shared" si="274"/>
        <v>0</v>
      </c>
      <c r="AU97" s="30">
        <f t="shared" si="256"/>
        <v>11</v>
      </c>
      <c r="AV97" s="96"/>
      <c r="AW97" s="284"/>
      <c r="AX97" s="1">
        <v>7</v>
      </c>
      <c r="AY97">
        <f>IF(AV97="", AS97,IF(AV97=MIN(AV$91:AV$98),AS97+1,0))</f>
        <v>0</v>
      </c>
      <c r="AZ97">
        <f t="shared" si="275"/>
        <v>0</v>
      </c>
      <c r="BA97" s="30">
        <f t="shared" si="258"/>
        <v>11</v>
      </c>
      <c r="BB97" s="96"/>
      <c r="BC97" s="284"/>
      <c r="BD97" s="1">
        <v>7</v>
      </c>
      <c r="BE97">
        <f>IF(BB97="", AY97,IF(BB97=MIN(BB$91:BB$98),AY97+1,0))</f>
        <v>0</v>
      </c>
      <c r="BF97">
        <f t="shared" si="276"/>
        <v>0</v>
      </c>
      <c r="BG97" s="30">
        <f t="shared" si="260"/>
        <v>11</v>
      </c>
      <c r="BH97" s="96"/>
      <c r="BI97" s="287"/>
      <c r="BJ97" s="171"/>
      <c r="BK97" s="280"/>
      <c r="BL97" s="1">
        <v>7</v>
      </c>
      <c r="BM97">
        <f t="shared" si="261"/>
        <v>0</v>
      </c>
      <c r="BN97">
        <f t="shared" si="277"/>
        <v>0</v>
      </c>
      <c r="BO97" s="30">
        <f t="shared" si="262"/>
        <v>11</v>
      </c>
      <c r="BP97" s="150"/>
      <c r="BQ97" s="284"/>
      <c r="BR97" s="1">
        <v>7</v>
      </c>
      <c r="BS97">
        <f>IF(BP97="", BM97,IF(BP97=MIN(BP$91:BP$98),BM97+1,0))</f>
        <v>0</v>
      </c>
      <c r="BT97">
        <f t="shared" si="278"/>
        <v>0</v>
      </c>
      <c r="BU97" s="30">
        <f t="shared" si="264"/>
        <v>11</v>
      </c>
      <c r="BV97" s="150"/>
      <c r="BW97" s="284"/>
      <c r="BX97" s="1">
        <v>7</v>
      </c>
      <c r="BY97">
        <f>IF(BV97="", BS97,IF(BV97=MIN(BV$91:BV$98),BS97+1,0))</f>
        <v>0</v>
      </c>
      <c r="BZ97">
        <f t="shared" si="279"/>
        <v>0</v>
      </c>
      <c r="CA97" s="30">
        <f t="shared" si="266"/>
        <v>11</v>
      </c>
      <c r="CB97" s="150"/>
      <c r="CC97" s="287"/>
    </row>
    <row r="98" spans="1:81" ht="21.5" thickBot="1" x14ac:dyDescent="0.5">
      <c r="A98" s="282"/>
      <c r="B98" s="99">
        <v>8</v>
      </c>
      <c r="C98" s="100">
        <f t="shared" si="267"/>
        <v>0</v>
      </c>
      <c r="D98" s="100">
        <v>0</v>
      </c>
      <c r="E98" s="101">
        <f t="shared" si="268"/>
        <v>7</v>
      </c>
      <c r="F98" s="153">
        <v>3</v>
      </c>
      <c r="G98" s="287"/>
      <c r="H98" s="174"/>
      <c r="I98" s="282"/>
      <c r="J98" s="99">
        <v>8</v>
      </c>
      <c r="K98" s="100">
        <f t="shared" si="246"/>
        <v>1</v>
      </c>
      <c r="L98" s="100">
        <f t="shared" si="269"/>
        <v>8</v>
      </c>
      <c r="M98" s="101">
        <f t="shared" si="247"/>
        <v>15</v>
      </c>
      <c r="N98" s="153">
        <v>5</v>
      </c>
      <c r="O98" s="288"/>
      <c r="P98" s="51">
        <v>8</v>
      </c>
      <c r="Q98">
        <f t="shared" si="248"/>
        <v>2</v>
      </c>
      <c r="R98" s="53">
        <f t="shared" si="270"/>
        <v>16</v>
      </c>
      <c r="S98" s="54">
        <f t="shared" si="249"/>
        <v>7</v>
      </c>
      <c r="T98" s="161">
        <v>13</v>
      </c>
      <c r="U98" s="287"/>
      <c r="V98" s="174"/>
      <c r="W98" s="282"/>
      <c r="X98" s="129">
        <v>8</v>
      </c>
      <c r="Y98" s="100">
        <f t="shared" si="250"/>
        <v>3</v>
      </c>
      <c r="Z98" s="130">
        <f t="shared" si="271"/>
        <v>24</v>
      </c>
      <c r="AA98" s="131">
        <f t="shared" si="251"/>
        <v>15</v>
      </c>
      <c r="AB98" s="151"/>
      <c r="AC98" s="288"/>
      <c r="AD98" s="51">
        <v>8</v>
      </c>
      <c r="AE98">
        <f t="shared" si="252"/>
        <v>3</v>
      </c>
      <c r="AF98" s="53">
        <f t="shared" si="272"/>
        <v>24</v>
      </c>
      <c r="AG98" s="54">
        <f t="shared" si="253"/>
        <v>15</v>
      </c>
      <c r="AH98" s="151">
        <v>11</v>
      </c>
      <c r="AI98" s="288"/>
      <c r="AJ98" s="51">
        <v>8</v>
      </c>
      <c r="AK98">
        <f t="shared" si="245"/>
        <v>0</v>
      </c>
      <c r="AL98" s="53">
        <f t="shared" si="273"/>
        <v>0</v>
      </c>
      <c r="AM98" s="54">
        <f t="shared" si="254"/>
        <v>7</v>
      </c>
      <c r="AN98" s="151">
        <v>23</v>
      </c>
      <c r="AO98" s="287"/>
      <c r="AP98" s="174"/>
      <c r="AQ98" s="282"/>
      <c r="AR98" s="51">
        <v>8</v>
      </c>
      <c r="AS98">
        <f t="shared" si="255"/>
        <v>1</v>
      </c>
      <c r="AT98" s="53">
        <f t="shared" si="274"/>
        <v>8</v>
      </c>
      <c r="AU98" s="54">
        <f t="shared" si="256"/>
        <v>15</v>
      </c>
      <c r="AV98" s="97">
        <v>3</v>
      </c>
      <c r="AW98" s="288"/>
      <c r="AX98" s="51">
        <v>8</v>
      </c>
      <c r="AY98">
        <f t="shared" si="257"/>
        <v>2</v>
      </c>
      <c r="AZ98" s="53">
        <f t="shared" si="275"/>
        <v>16</v>
      </c>
      <c r="BA98" s="54">
        <f t="shared" si="258"/>
        <v>7</v>
      </c>
      <c r="BB98" s="97"/>
      <c r="BC98" s="288"/>
      <c r="BD98" s="51">
        <v>8</v>
      </c>
      <c r="BE98">
        <f t="shared" ref="BE98" si="281">IF(BB98="", AY98,IF(BB98=MIN(BB$91:BB$98),AY98+1,0))</f>
        <v>2</v>
      </c>
      <c r="BF98" s="53">
        <f t="shared" si="276"/>
        <v>16</v>
      </c>
      <c r="BG98" s="54">
        <f t="shared" si="260"/>
        <v>7</v>
      </c>
      <c r="BH98" s="97">
        <v>25</v>
      </c>
      <c r="BI98" s="287"/>
      <c r="BJ98" s="171"/>
      <c r="BK98" s="282"/>
      <c r="BL98" s="51">
        <v>8</v>
      </c>
      <c r="BM98">
        <f t="shared" si="261"/>
        <v>3</v>
      </c>
      <c r="BN98" s="53">
        <f t="shared" si="277"/>
        <v>24</v>
      </c>
      <c r="BO98" s="54">
        <f t="shared" si="262"/>
        <v>15</v>
      </c>
      <c r="BP98" s="151">
        <v>3</v>
      </c>
      <c r="BQ98" s="288"/>
      <c r="BR98" s="51">
        <v>8</v>
      </c>
      <c r="BS98">
        <f t="shared" si="263"/>
        <v>4</v>
      </c>
      <c r="BT98" s="53">
        <f t="shared" si="278"/>
        <v>32</v>
      </c>
      <c r="BU98" s="54">
        <f t="shared" si="264"/>
        <v>7</v>
      </c>
      <c r="BV98" s="151"/>
      <c r="BW98" s="288"/>
      <c r="BX98" s="51">
        <v>8</v>
      </c>
      <c r="BY98">
        <f t="shared" si="265"/>
        <v>4</v>
      </c>
      <c r="BZ98" s="53">
        <f t="shared" si="279"/>
        <v>32</v>
      </c>
      <c r="CA98" s="54">
        <f t="shared" si="266"/>
        <v>7</v>
      </c>
      <c r="CB98" s="151">
        <v>21</v>
      </c>
      <c r="CC98" s="287"/>
    </row>
    <row r="99" spans="1:81" x14ac:dyDescent="0.45">
      <c r="A99" s="272"/>
      <c r="B99" s="272"/>
      <c r="C99" s="272"/>
      <c r="D99" s="272"/>
      <c r="E99" s="272"/>
      <c r="K99" s="83"/>
      <c r="P99" s="125"/>
      <c r="Q99" s="135"/>
      <c r="R99" s="125"/>
      <c r="S99" s="125"/>
      <c r="T99" s="162"/>
    </row>
    <row r="102" spans="1:81" x14ac:dyDescent="0.45">
      <c r="A102" t="s">
        <v>163</v>
      </c>
    </row>
  </sheetData>
  <mergeCells count="145">
    <mergeCell ref="BW89:BW98"/>
    <mergeCell ref="AW89:AW98"/>
    <mergeCell ref="BC29:BC38"/>
    <mergeCell ref="BC39:BC48"/>
    <mergeCell ref="BC49:BC58"/>
    <mergeCell ref="BC59:BC68"/>
    <mergeCell ref="BC69:BC78"/>
    <mergeCell ref="BC79:BC88"/>
    <mergeCell ref="BC89:BC98"/>
    <mergeCell ref="BQ89:BQ98"/>
    <mergeCell ref="BI89:BI98"/>
    <mergeCell ref="CC89:CC98"/>
    <mergeCell ref="BK19:BK28"/>
    <mergeCell ref="BK29:BK38"/>
    <mergeCell ref="BK39:BK48"/>
    <mergeCell ref="BK49:BK58"/>
    <mergeCell ref="BK59:BK68"/>
    <mergeCell ref="BK69:BK78"/>
    <mergeCell ref="BK79:BK88"/>
    <mergeCell ref="BK89:BK98"/>
    <mergeCell ref="BQ19:BQ28"/>
    <mergeCell ref="BQ29:BQ38"/>
    <mergeCell ref="BQ39:BQ48"/>
    <mergeCell ref="BQ49:BQ58"/>
    <mergeCell ref="BQ59:BQ68"/>
    <mergeCell ref="BQ69:BQ78"/>
    <mergeCell ref="BQ79:BQ88"/>
    <mergeCell ref="CC39:CC48"/>
    <mergeCell ref="CC49:CC58"/>
    <mergeCell ref="CC59:CC68"/>
    <mergeCell ref="CC69:CC78"/>
    <mergeCell ref="CC79:CC88"/>
    <mergeCell ref="BW19:BW28"/>
    <mergeCell ref="BW29:BW38"/>
    <mergeCell ref="BW39:BW48"/>
    <mergeCell ref="AQ16:BH16"/>
    <mergeCell ref="CC19:CC28"/>
    <mergeCell ref="CC29:CC38"/>
    <mergeCell ref="AW29:AW38"/>
    <mergeCell ref="BK16:CB16"/>
    <mergeCell ref="BI59:BI68"/>
    <mergeCell ref="BI69:BI78"/>
    <mergeCell ref="BI79:BI88"/>
    <mergeCell ref="AO79:AO88"/>
    <mergeCell ref="AW19:AW28"/>
    <mergeCell ref="AW69:AW78"/>
    <mergeCell ref="AW79:AW88"/>
    <mergeCell ref="BW49:BW58"/>
    <mergeCell ref="BW59:BW68"/>
    <mergeCell ref="BW69:BW78"/>
    <mergeCell ref="BW79:BW88"/>
    <mergeCell ref="BC19:BC28"/>
    <mergeCell ref="BI19:BI28"/>
    <mergeCell ref="BI29:BI38"/>
    <mergeCell ref="BI39:BI48"/>
    <mergeCell ref="BI49:BI58"/>
    <mergeCell ref="AW39:AW48"/>
    <mergeCell ref="AW49:AW58"/>
    <mergeCell ref="AW59:AW68"/>
    <mergeCell ref="W16:AN16"/>
    <mergeCell ref="AC39:AC48"/>
    <mergeCell ref="AC49:AC58"/>
    <mergeCell ref="AC59:AC68"/>
    <mergeCell ref="I16:T16"/>
    <mergeCell ref="O19:O28"/>
    <mergeCell ref="W29:W38"/>
    <mergeCell ref="W39:W48"/>
    <mergeCell ref="W49:W58"/>
    <mergeCell ref="W59:W68"/>
    <mergeCell ref="AC19:AC28"/>
    <mergeCell ref="AC29:AC38"/>
    <mergeCell ref="O29:O38"/>
    <mergeCell ref="O39:O48"/>
    <mergeCell ref="O49:O58"/>
    <mergeCell ref="U29:U38"/>
    <mergeCell ref="U39:U48"/>
    <mergeCell ref="U49:U58"/>
    <mergeCell ref="U59:U68"/>
    <mergeCell ref="W19:W28"/>
    <mergeCell ref="I19:I28"/>
    <mergeCell ref="U19:U28"/>
    <mergeCell ref="A16:F16"/>
    <mergeCell ref="A29:A38"/>
    <mergeCell ref="A39:A48"/>
    <mergeCell ref="A49:A58"/>
    <mergeCell ref="A59:A68"/>
    <mergeCell ref="B18:E18"/>
    <mergeCell ref="A1:E1"/>
    <mergeCell ref="A3:F3"/>
    <mergeCell ref="A19:A28"/>
    <mergeCell ref="G39:G48"/>
    <mergeCell ref="G49:G58"/>
    <mergeCell ref="G59:G68"/>
    <mergeCell ref="I59:I68"/>
    <mergeCell ref="I69:I78"/>
    <mergeCell ref="I79:I88"/>
    <mergeCell ref="U69:U78"/>
    <mergeCell ref="I29:I38"/>
    <mergeCell ref="I39:I48"/>
    <mergeCell ref="I49:I58"/>
    <mergeCell ref="G19:G28"/>
    <mergeCell ref="U89:U98"/>
    <mergeCell ref="A99:E99"/>
    <mergeCell ref="A69:A78"/>
    <mergeCell ref="A79:A88"/>
    <mergeCell ref="A89:A98"/>
    <mergeCell ref="AI59:AI68"/>
    <mergeCell ref="G69:G78"/>
    <mergeCell ref="G79:G88"/>
    <mergeCell ref="G89:G98"/>
    <mergeCell ref="AC89:AC98"/>
    <mergeCell ref="O69:O78"/>
    <mergeCell ref="O79:O88"/>
    <mergeCell ref="AI89:AI98"/>
    <mergeCell ref="O89:O98"/>
    <mergeCell ref="W89:W98"/>
    <mergeCell ref="W69:W78"/>
    <mergeCell ref="W79:W88"/>
    <mergeCell ref="U79:U88"/>
    <mergeCell ref="AI69:AI78"/>
    <mergeCell ref="AI79:AI88"/>
    <mergeCell ref="O59:O68"/>
    <mergeCell ref="I89:I98"/>
    <mergeCell ref="G29:G38"/>
    <mergeCell ref="AQ69:AQ78"/>
    <mergeCell ref="AQ79:AQ88"/>
    <mergeCell ref="AQ89:AQ98"/>
    <mergeCell ref="AI19:AI28"/>
    <mergeCell ref="AI29:AI38"/>
    <mergeCell ref="AI39:AI48"/>
    <mergeCell ref="AC69:AC78"/>
    <mergeCell ref="AC79:AC88"/>
    <mergeCell ref="AI49:AI58"/>
    <mergeCell ref="AQ39:AQ48"/>
    <mergeCell ref="AQ19:AQ28"/>
    <mergeCell ref="AQ29:AQ38"/>
    <mergeCell ref="AQ49:AQ58"/>
    <mergeCell ref="AQ59:AQ68"/>
    <mergeCell ref="AO19:AO28"/>
    <mergeCell ref="AO29:AO38"/>
    <mergeCell ref="AO39:AO48"/>
    <mergeCell ref="AO49:AO58"/>
    <mergeCell ref="AO59:AO68"/>
    <mergeCell ref="AO69:AO78"/>
    <mergeCell ref="AO89:AO98"/>
  </mergeCells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CEB9-C056-4E75-A03F-007B155F23CF}">
  <dimension ref="A1:CJ102"/>
  <sheetViews>
    <sheetView topLeftCell="A30" zoomScaleNormal="100" workbookViewId="0">
      <selection activeCell="B66" sqref="A1:XFD1048576"/>
    </sheetView>
  </sheetViews>
  <sheetFormatPr defaultRowHeight="21" x14ac:dyDescent="0.45"/>
  <cols>
    <col min="2" max="2" width="9" customWidth="1"/>
    <col min="3" max="3" width="9.33203125" bestFit="1" customWidth="1"/>
    <col min="4" max="4" width="13.5" customWidth="1"/>
    <col min="5" max="5" width="12.5" customWidth="1"/>
    <col min="6" max="6" width="12.33203125" customWidth="1"/>
    <col min="9" max="9" width="11.58203125" bestFit="1" customWidth="1"/>
    <col min="10" max="10" width="9" customWidth="1"/>
    <col min="11" max="11" width="12.33203125" customWidth="1"/>
    <col min="12" max="12" width="10.83203125" customWidth="1"/>
    <col min="13" max="13" width="9.75" customWidth="1"/>
    <col min="14" max="14" width="15.25" customWidth="1"/>
    <col min="15" max="15" width="9" customWidth="1"/>
    <col min="16" max="16" width="8.83203125" customWidth="1"/>
    <col min="20" max="20" width="12.08203125" style="138" customWidth="1"/>
    <col min="25" max="25" width="9" customWidth="1"/>
    <col min="68" max="68" width="9" style="138"/>
    <col min="74" max="74" width="9" style="138"/>
    <col min="80" max="80" width="9" style="138"/>
  </cols>
  <sheetData>
    <row r="1" spans="1:82" x14ac:dyDescent="0.45">
      <c r="A1" t="s">
        <v>181</v>
      </c>
      <c r="D1">
        <v>4</v>
      </c>
      <c r="G1">
        <f>D1</f>
        <v>4</v>
      </c>
    </row>
    <row r="2" spans="1:82" x14ac:dyDescent="0.45">
      <c r="A2" t="s">
        <v>184</v>
      </c>
      <c r="E2" s="199" t="s">
        <v>182</v>
      </c>
      <c r="G2" s="5">
        <f>2^G1</f>
        <v>16</v>
      </c>
      <c r="H2" s="5"/>
      <c r="T2" s="154"/>
      <c r="AA2" s="6"/>
      <c r="AG2" s="6"/>
      <c r="AM2" s="6"/>
    </row>
    <row r="3" spans="1:82" x14ac:dyDescent="0.45">
      <c r="A3" s="6" t="s">
        <v>185</v>
      </c>
      <c r="B3" s="6"/>
      <c r="C3" s="6"/>
      <c r="D3" s="6">
        <v>8</v>
      </c>
      <c r="E3" s="6" t="s">
        <v>183</v>
      </c>
      <c r="F3">
        <f>1/D3</f>
        <v>0.125</v>
      </c>
      <c r="G3" s="5">
        <f>G2*F3</f>
        <v>2</v>
      </c>
    </row>
    <row r="4" spans="1:82" x14ac:dyDescent="0.45">
      <c r="A4" s="6" t="s">
        <v>173</v>
      </c>
      <c r="B4" s="6"/>
      <c r="C4" s="6"/>
      <c r="D4" s="6"/>
      <c r="E4" s="6"/>
      <c r="F4" s="6"/>
      <c r="G4" s="6"/>
      <c r="H4" s="6"/>
    </row>
    <row r="5" spans="1:82" x14ac:dyDescent="0.45">
      <c r="B5" s="9"/>
      <c r="C5" s="9" t="s">
        <v>24</v>
      </c>
      <c r="D5" s="10"/>
      <c r="E5" s="10" t="s">
        <v>3</v>
      </c>
      <c r="F5" s="11" t="s">
        <v>28</v>
      </c>
      <c r="G5" s="33"/>
      <c r="H5" s="172"/>
      <c r="K5" s="9"/>
      <c r="L5" s="20" t="s">
        <v>26</v>
      </c>
      <c r="M5" s="21"/>
      <c r="N5" s="10" t="s">
        <v>27</v>
      </c>
      <c r="O5" s="24" t="s">
        <v>6</v>
      </c>
    </row>
    <row r="6" spans="1:82" x14ac:dyDescent="0.45">
      <c r="B6" s="12" t="s">
        <v>9</v>
      </c>
      <c r="C6" s="7" t="s">
        <v>33</v>
      </c>
      <c r="D6" s="7"/>
      <c r="E6" s="7" t="s">
        <v>2</v>
      </c>
      <c r="F6" s="13">
        <f>HEX2DEC(E6)</f>
        <v>975202823</v>
      </c>
      <c r="G6" s="67">
        <f t="shared" ref="G6:G13" si="0">MOD(F6,$G$2)</f>
        <v>7</v>
      </c>
      <c r="H6" s="173"/>
      <c r="K6" s="12" t="s">
        <v>9</v>
      </c>
      <c r="L6" s="17" t="s">
        <v>107</v>
      </c>
      <c r="M6" s="7"/>
      <c r="N6" s="7">
        <v>1694767713</v>
      </c>
      <c r="O6" s="22">
        <f t="shared" ref="O6:O13" si="1">MOD(N6,$G$2)</f>
        <v>1</v>
      </c>
    </row>
    <row r="7" spans="1:82" x14ac:dyDescent="0.45">
      <c r="B7" s="12" t="s">
        <v>8</v>
      </c>
      <c r="C7" s="8" t="s">
        <v>34</v>
      </c>
      <c r="D7" s="8"/>
      <c r="E7" s="8" t="s">
        <v>1</v>
      </c>
      <c r="F7" s="13">
        <f t="shared" ref="F7:F13" si="2">HEX2DEC(E7)</f>
        <v>2369628931</v>
      </c>
      <c r="G7" s="67">
        <f t="shared" si="0"/>
        <v>3</v>
      </c>
      <c r="H7" s="173"/>
      <c r="K7" s="12" t="s">
        <v>8</v>
      </c>
      <c r="L7" s="18" t="s">
        <v>109</v>
      </c>
      <c r="M7" s="19"/>
      <c r="N7" s="19">
        <v>1694780381</v>
      </c>
      <c r="O7" s="23">
        <f t="shared" si="1"/>
        <v>13</v>
      </c>
    </row>
    <row r="8" spans="1:82" x14ac:dyDescent="0.45">
      <c r="B8" s="12" t="s">
        <v>7</v>
      </c>
      <c r="C8" s="8" t="s">
        <v>35</v>
      </c>
      <c r="D8" s="8"/>
      <c r="E8" s="8" t="s">
        <v>0</v>
      </c>
      <c r="F8" s="13">
        <f t="shared" si="2"/>
        <v>1411115022</v>
      </c>
      <c r="G8" s="67">
        <f t="shared" si="0"/>
        <v>14</v>
      </c>
      <c r="H8" s="173"/>
      <c r="K8" s="12" t="s">
        <v>7</v>
      </c>
      <c r="L8" s="17" t="s">
        <v>110</v>
      </c>
      <c r="M8" s="7"/>
      <c r="N8" s="7">
        <v>1694866776</v>
      </c>
      <c r="O8" s="22">
        <f t="shared" si="1"/>
        <v>8</v>
      </c>
    </row>
    <row r="9" spans="1:82" x14ac:dyDescent="0.45">
      <c r="B9" s="12" t="s">
        <v>19</v>
      </c>
      <c r="C9" s="8" t="s">
        <v>36</v>
      </c>
      <c r="D9" s="8"/>
      <c r="E9" s="8" t="s">
        <v>12</v>
      </c>
      <c r="F9" s="13">
        <f t="shared" si="2"/>
        <v>3808831754</v>
      </c>
      <c r="G9" s="67">
        <f t="shared" si="0"/>
        <v>10</v>
      </c>
      <c r="H9" s="173"/>
      <c r="K9" s="12" t="s">
        <v>19</v>
      </c>
      <c r="L9" s="17" t="s">
        <v>111</v>
      </c>
      <c r="M9" s="7"/>
      <c r="N9" s="7">
        <v>1694870435</v>
      </c>
      <c r="O9" s="22">
        <f t="shared" si="1"/>
        <v>3</v>
      </c>
    </row>
    <row r="10" spans="1:82" x14ac:dyDescent="0.45">
      <c r="B10" s="12" t="s">
        <v>20</v>
      </c>
      <c r="C10" s="8" t="s">
        <v>37</v>
      </c>
      <c r="D10" s="8"/>
      <c r="E10" s="8" t="s">
        <v>14</v>
      </c>
      <c r="F10" s="13">
        <f t="shared" si="2"/>
        <v>3864423956</v>
      </c>
      <c r="G10" s="67">
        <f t="shared" si="0"/>
        <v>4</v>
      </c>
      <c r="H10" s="173"/>
      <c r="K10" s="12" t="s">
        <v>20</v>
      </c>
      <c r="L10" s="17" t="s">
        <v>112</v>
      </c>
      <c r="M10" s="7"/>
      <c r="N10" s="7">
        <v>1694956842</v>
      </c>
      <c r="O10" s="22">
        <f t="shared" si="1"/>
        <v>10</v>
      </c>
    </row>
    <row r="11" spans="1:82" x14ac:dyDescent="0.45">
      <c r="B11" s="12" t="s">
        <v>21</v>
      </c>
      <c r="C11" s="8" t="s">
        <v>38</v>
      </c>
      <c r="D11" s="8"/>
      <c r="E11" s="8" t="s">
        <v>15</v>
      </c>
      <c r="F11" s="13">
        <f t="shared" si="2"/>
        <v>1363914512</v>
      </c>
      <c r="G11" s="67">
        <f t="shared" si="0"/>
        <v>0</v>
      </c>
      <c r="H11" s="173"/>
      <c r="K11" s="12" t="s">
        <v>21</v>
      </c>
      <c r="L11" s="17" t="s">
        <v>115</v>
      </c>
      <c r="M11" s="7"/>
      <c r="N11" s="7">
        <v>1695027046</v>
      </c>
      <c r="O11" s="22">
        <f t="shared" si="1"/>
        <v>6</v>
      </c>
    </row>
    <row r="12" spans="1:82" x14ac:dyDescent="0.45">
      <c r="B12" s="12" t="s">
        <v>22</v>
      </c>
      <c r="C12" s="8" t="s">
        <v>39</v>
      </c>
      <c r="D12" s="8"/>
      <c r="E12" s="8" t="s">
        <v>16</v>
      </c>
      <c r="F12" s="13">
        <f t="shared" si="2"/>
        <v>2288905245</v>
      </c>
      <c r="G12" s="67">
        <f t="shared" si="0"/>
        <v>13</v>
      </c>
      <c r="H12" s="173"/>
      <c r="K12" s="12" t="s">
        <v>22</v>
      </c>
      <c r="L12" s="17" t="s">
        <v>113</v>
      </c>
      <c r="M12" s="7"/>
      <c r="N12" s="7">
        <v>1695027404</v>
      </c>
      <c r="O12" s="22">
        <f t="shared" si="1"/>
        <v>12</v>
      </c>
    </row>
    <row r="13" spans="1:82" x14ac:dyDescent="0.45">
      <c r="B13" s="14" t="s">
        <v>23</v>
      </c>
      <c r="C13" s="15" t="s">
        <v>40</v>
      </c>
      <c r="D13" s="15"/>
      <c r="E13" s="15" t="s">
        <v>17</v>
      </c>
      <c r="F13" s="16">
        <f t="shared" si="2"/>
        <v>1064316185</v>
      </c>
      <c r="G13" s="68">
        <f t="shared" si="0"/>
        <v>9</v>
      </c>
      <c r="H13" s="173"/>
      <c r="K13" s="14" t="s">
        <v>23</v>
      </c>
      <c r="L13" s="17" t="s">
        <v>114</v>
      </c>
      <c r="M13" s="7"/>
      <c r="N13" s="7">
        <v>1695027407</v>
      </c>
      <c r="O13" s="22">
        <f t="shared" si="1"/>
        <v>15</v>
      </c>
    </row>
    <row r="14" spans="1:82" x14ac:dyDescent="0.45">
      <c r="A14" s="1" t="s">
        <v>179</v>
      </c>
      <c r="B14" s="83"/>
      <c r="L14">
        <f>2^$G$3</f>
        <v>4</v>
      </c>
    </row>
    <row r="15" spans="1:82" ht="21.5" thickBot="1" x14ac:dyDescent="0.5">
      <c r="A15" s="83" t="s">
        <v>180</v>
      </c>
      <c r="B15" s="83"/>
      <c r="C15">
        <f>(8+ 2^(1-1))</f>
        <v>9</v>
      </c>
      <c r="AB15" s="170"/>
      <c r="AH15" s="170"/>
      <c r="AN15" s="170"/>
      <c r="AR15" s="169"/>
      <c r="AS15" s="170"/>
      <c r="AU15" s="170"/>
      <c r="AV15" s="170"/>
      <c r="AW15" s="170"/>
      <c r="AX15" s="170"/>
      <c r="AY15" s="170"/>
      <c r="BA15" s="170"/>
      <c r="BB15" s="170"/>
      <c r="BC15" s="170"/>
      <c r="BD15" s="170"/>
      <c r="BE15" s="170"/>
      <c r="BG15" s="170"/>
      <c r="BH15" s="170"/>
      <c r="BI15" s="170"/>
      <c r="BJ15" s="170"/>
    </row>
    <row r="16" spans="1:82" ht="37.5" customHeight="1" thickBot="1" x14ac:dyDescent="0.5">
      <c r="A16" s="289" t="s">
        <v>164</v>
      </c>
      <c r="B16" s="290"/>
      <c r="C16" s="290"/>
      <c r="D16" s="290"/>
      <c r="E16" s="290"/>
      <c r="F16" s="291"/>
      <c r="G16" t="s">
        <v>177</v>
      </c>
      <c r="H16" t="s">
        <v>176</v>
      </c>
      <c r="I16" s="289" t="s">
        <v>166</v>
      </c>
      <c r="J16" s="290"/>
      <c r="K16" s="290"/>
      <c r="L16" s="290"/>
      <c r="M16" s="290"/>
      <c r="N16" s="290"/>
      <c r="O16" s="290"/>
      <c r="P16" s="290"/>
      <c r="Q16" s="290"/>
      <c r="R16" s="290"/>
      <c r="S16" s="290"/>
      <c r="T16" s="291"/>
      <c r="U16" t="s">
        <v>177</v>
      </c>
      <c r="V16" t="s">
        <v>176</v>
      </c>
      <c r="W16" s="289" t="s">
        <v>167</v>
      </c>
      <c r="X16" s="290"/>
      <c r="Y16" s="290"/>
      <c r="Z16" s="290"/>
      <c r="AA16" s="290"/>
      <c r="AB16" s="290"/>
      <c r="AC16" s="290"/>
      <c r="AD16" s="290"/>
      <c r="AE16" s="290"/>
      <c r="AF16" s="290"/>
      <c r="AG16" s="290"/>
      <c r="AH16" s="290"/>
      <c r="AI16" s="290"/>
      <c r="AJ16" s="290"/>
      <c r="AK16" s="290"/>
      <c r="AL16" s="290"/>
      <c r="AM16" s="290"/>
      <c r="AN16" s="291"/>
      <c r="AO16" t="s">
        <v>177</v>
      </c>
      <c r="AP16" t="s">
        <v>176</v>
      </c>
      <c r="AQ16" s="289" t="s">
        <v>168</v>
      </c>
      <c r="AR16" s="290"/>
      <c r="AS16" s="290"/>
      <c r="AT16" s="290"/>
      <c r="AU16" s="290"/>
      <c r="AV16" s="290"/>
      <c r="AW16" s="290"/>
      <c r="AX16" s="290"/>
      <c r="AY16" s="290"/>
      <c r="AZ16" s="290"/>
      <c r="BA16" s="290"/>
      <c r="BB16" s="290"/>
      <c r="BC16" s="290"/>
      <c r="BD16" s="290"/>
      <c r="BE16" s="290"/>
      <c r="BF16" s="290"/>
      <c r="BG16" s="290"/>
      <c r="BH16" s="291"/>
      <c r="BI16" t="s">
        <v>177</v>
      </c>
      <c r="BJ16" t="s">
        <v>176</v>
      </c>
      <c r="BK16" s="289" t="s">
        <v>170</v>
      </c>
      <c r="BL16" s="290"/>
      <c r="BM16" s="290"/>
      <c r="BN16" s="290"/>
      <c r="BO16" s="290"/>
      <c r="BP16" s="290"/>
      <c r="BQ16" s="290"/>
      <c r="BR16" s="290"/>
      <c r="BS16" s="290"/>
      <c r="BT16" s="290"/>
      <c r="BU16" s="290"/>
      <c r="BV16" s="290"/>
      <c r="BW16" s="290"/>
      <c r="BX16" s="290"/>
      <c r="BY16" s="290"/>
      <c r="BZ16" s="290"/>
      <c r="CA16" s="290"/>
      <c r="CB16" s="291"/>
      <c r="CC16" t="s">
        <v>177</v>
      </c>
      <c r="CD16" t="s">
        <v>176</v>
      </c>
    </row>
    <row r="17" spans="1:88" ht="21" customHeight="1" thickBot="1" x14ac:dyDescent="0.5"/>
    <row r="18" spans="1:88" s="138" customFormat="1" ht="20.25" customHeight="1" thickBot="1" x14ac:dyDescent="0.5">
      <c r="A18" s="178" t="s">
        <v>165</v>
      </c>
      <c r="B18" s="292"/>
      <c r="C18" s="292"/>
      <c r="D18" s="292"/>
      <c r="E18" s="292"/>
      <c r="F18" s="137">
        <f>COUNT(F19:F98)/2</f>
        <v>5</v>
      </c>
      <c r="G18" s="168">
        <f>SUM(G19:G98)</f>
        <v>5</v>
      </c>
      <c r="H18" s="168">
        <f>COUNT(G19:G98)</f>
        <v>5</v>
      </c>
      <c r="I18" s="178" t="s">
        <v>165</v>
      </c>
      <c r="J18" s="139"/>
      <c r="K18" s="140"/>
      <c r="L18" s="140"/>
      <c r="M18" s="140"/>
      <c r="N18" s="140">
        <f>COUNT(N19:N98)/2</f>
        <v>3</v>
      </c>
      <c r="O18" s="138" t="s">
        <v>165</v>
      </c>
      <c r="P18" s="140"/>
      <c r="Q18" s="140"/>
      <c r="R18" s="140"/>
      <c r="S18" s="140"/>
      <c r="T18" s="137">
        <f>COUNT(T19:T98)/2</f>
        <v>3</v>
      </c>
      <c r="U18" s="168">
        <f>SUM(U19:U98)</f>
        <v>6</v>
      </c>
      <c r="V18" s="168">
        <f>COUNT(U19:U98)</f>
        <v>4</v>
      </c>
      <c r="W18" s="178" t="s">
        <v>165</v>
      </c>
      <c r="X18" s="142"/>
      <c r="Y18" s="142"/>
      <c r="Z18" s="142"/>
      <c r="AA18" s="142"/>
      <c r="AB18" s="145">
        <f>COUNT(AB19:AB98)/2</f>
        <v>6</v>
      </c>
      <c r="AC18" s="136" t="s">
        <v>165</v>
      </c>
      <c r="AD18" s="136"/>
      <c r="AE18" s="141"/>
      <c r="AF18" s="141"/>
      <c r="AG18" s="141"/>
      <c r="AH18" s="145">
        <f>COUNT(AH19:AH98)/2</f>
        <v>2</v>
      </c>
      <c r="AI18" s="136" t="s">
        <v>165</v>
      </c>
      <c r="AJ18" s="142"/>
      <c r="AK18" s="142"/>
      <c r="AL18" s="141"/>
      <c r="AM18" s="142"/>
      <c r="AN18" s="145">
        <f>COUNT(AN19:AN98)/2</f>
        <v>0.5</v>
      </c>
      <c r="AO18" s="168">
        <f>SUM(AO19:AO98)</f>
        <v>8.5</v>
      </c>
      <c r="AP18" s="168">
        <f>COUNT(AO19:AO98)</f>
        <v>6</v>
      </c>
      <c r="AQ18" s="178" t="s">
        <v>165</v>
      </c>
      <c r="AR18" s="143"/>
      <c r="AS18" s="143"/>
      <c r="AT18" s="141"/>
      <c r="AU18" s="143"/>
      <c r="AV18" s="145">
        <f>COUNT(AV19:AV98)/2</f>
        <v>1</v>
      </c>
      <c r="AW18" s="146" t="s">
        <v>165</v>
      </c>
      <c r="AX18" s="143"/>
      <c r="AY18" s="143"/>
      <c r="AZ18" s="141"/>
      <c r="BA18" s="143"/>
      <c r="BB18" s="145">
        <f>COUNT(BB19:BB98)/2</f>
        <v>0.5</v>
      </c>
      <c r="BC18" s="146" t="s">
        <v>165</v>
      </c>
      <c r="BD18" s="143"/>
      <c r="BE18" s="143"/>
      <c r="BF18" s="141"/>
      <c r="BG18" s="143"/>
      <c r="BH18" s="145">
        <f>COUNT(BH19:BH98)/2</f>
        <v>0.5</v>
      </c>
      <c r="BI18" s="168">
        <f>SUM(BI19:BI98)</f>
        <v>2</v>
      </c>
      <c r="BJ18" s="168">
        <f>COUNT(BI19:BI98)</f>
        <v>1</v>
      </c>
      <c r="BK18" s="178" t="s">
        <v>165</v>
      </c>
      <c r="BL18" s="142"/>
      <c r="BM18" s="142"/>
      <c r="BN18" s="141"/>
      <c r="BO18" s="142"/>
      <c r="BP18" s="137">
        <f>COUNT(BP19:BP98)/2</f>
        <v>0.5</v>
      </c>
      <c r="BQ18" s="146" t="s">
        <v>165</v>
      </c>
      <c r="BR18" s="142"/>
      <c r="BS18" s="142"/>
      <c r="BT18" s="141"/>
      <c r="BU18" s="142"/>
      <c r="BV18" s="137">
        <f>COUNT(BV19:BV98)/2</f>
        <v>0.5</v>
      </c>
      <c r="BW18" s="146" t="s">
        <v>165</v>
      </c>
      <c r="BX18" s="142"/>
      <c r="BY18" s="142"/>
      <c r="BZ18" s="141"/>
      <c r="CA18" s="142"/>
      <c r="CB18" s="137">
        <f>COUNT(CB19:CB98)/2</f>
        <v>0</v>
      </c>
      <c r="CC18" s="168">
        <f>SUM(CC19:CC98)</f>
        <v>1</v>
      </c>
      <c r="CD18" s="168">
        <f>COUNT(CC19:CC98)</f>
        <v>1</v>
      </c>
      <c r="CE18"/>
      <c r="CF18"/>
      <c r="CG18"/>
      <c r="CH18"/>
      <c r="CI18"/>
    </row>
    <row r="19" spans="1:88" x14ac:dyDescent="0.45">
      <c r="A19" s="293">
        <v>1</v>
      </c>
      <c r="B19" s="48">
        <f>O6</f>
        <v>1</v>
      </c>
      <c r="C19" s="87" t="s">
        <v>154</v>
      </c>
      <c r="D19" s="10" t="s">
        <v>158</v>
      </c>
      <c r="E19" s="88" t="s">
        <v>152</v>
      </c>
      <c r="F19" s="147" t="s">
        <v>153</v>
      </c>
      <c r="G19" s="287">
        <f>IF(COUNT(F20:F28) &gt;0, COUNT(F20:F28)/2,"")</f>
        <v>1</v>
      </c>
      <c r="H19" s="174"/>
      <c r="I19" s="293">
        <v>1</v>
      </c>
      <c r="J19" s="104"/>
      <c r="K19" s="105" t="s">
        <v>154</v>
      </c>
      <c r="L19" s="10" t="s">
        <v>158</v>
      </c>
      <c r="M19" s="88" t="s">
        <v>152</v>
      </c>
      <c r="N19" s="147" t="s">
        <v>153</v>
      </c>
      <c r="O19" s="283">
        <v>1</v>
      </c>
      <c r="P19" s="132"/>
      <c r="Q19" s="133" t="s">
        <v>154</v>
      </c>
      <c r="R19" s="10" t="s">
        <v>158</v>
      </c>
      <c r="S19" s="88" t="s">
        <v>152</v>
      </c>
      <c r="T19" s="155" t="s">
        <v>153</v>
      </c>
      <c r="U19" s="287">
        <f>IF(COUNT(H20:H28,N20:N28,T20:T28) &gt;0, COUNT(H20:H28,N20:N28,T20:T28) /2,"")</f>
        <v>2</v>
      </c>
      <c r="V19" s="174"/>
      <c r="W19" s="293">
        <v>1</v>
      </c>
      <c r="X19" s="10"/>
      <c r="Y19" s="87" t="s">
        <v>154</v>
      </c>
      <c r="Z19" s="10" t="s">
        <v>158</v>
      </c>
      <c r="AA19" s="88" t="s">
        <v>152</v>
      </c>
      <c r="AB19" s="96" t="s">
        <v>153</v>
      </c>
      <c r="AC19" s="283">
        <v>1</v>
      </c>
      <c r="AD19" s="10"/>
      <c r="AE19" s="87" t="s">
        <v>154</v>
      </c>
      <c r="AF19" s="10" t="s">
        <v>158</v>
      </c>
      <c r="AG19" s="88" t="s">
        <v>152</v>
      </c>
      <c r="AH19" s="96" t="s">
        <v>153</v>
      </c>
      <c r="AI19" s="283">
        <v>1</v>
      </c>
      <c r="AJ19" s="10"/>
      <c r="AK19" s="87" t="s">
        <v>154</v>
      </c>
      <c r="AL19" s="10" t="s">
        <v>158</v>
      </c>
      <c r="AM19" s="88" t="s">
        <v>152</v>
      </c>
      <c r="AN19" s="96" t="s">
        <v>153</v>
      </c>
      <c r="AO19" s="287">
        <f>IF(COUNT(AB20:AB28,AH20:AH28,AN20:AN28) &gt;0, COUNT(AB20:AB28,AH20:AH28,AN20:AN28) /2,"")</f>
        <v>2.5</v>
      </c>
      <c r="AP19" s="174"/>
      <c r="AQ19" s="293">
        <v>1</v>
      </c>
      <c r="AS19" s="144" t="s">
        <v>154</v>
      </c>
      <c r="AT19" s="10" t="s">
        <v>158</v>
      </c>
      <c r="AU19" s="88" t="s">
        <v>152</v>
      </c>
      <c r="AV19" s="96" t="s">
        <v>153</v>
      </c>
      <c r="AW19" s="283">
        <v>1</v>
      </c>
      <c r="AY19" s="144" t="s">
        <v>154</v>
      </c>
      <c r="AZ19" s="10" t="s">
        <v>158</v>
      </c>
      <c r="BA19" s="88" t="s">
        <v>152</v>
      </c>
      <c r="BB19" s="96" t="s">
        <v>153</v>
      </c>
      <c r="BC19" s="283">
        <v>1</v>
      </c>
      <c r="BE19" s="144" t="s">
        <v>154</v>
      </c>
      <c r="BF19" s="10" t="s">
        <v>158</v>
      </c>
      <c r="BG19" s="88" t="s">
        <v>152</v>
      </c>
      <c r="BH19" s="96" t="s">
        <v>153</v>
      </c>
      <c r="BI19" s="287">
        <f>IF(COUNT(AV20:AV28,BB20:BB28,BH20:BH28) &gt;0, COUNT(AV20:AV28,BB20:BB28,BH20:BH28) /2,"")</f>
        <v>2</v>
      </c>
      <c r="BJ19" s="171"/>
      <c r="BK19" s="293">
        <v>1</v>
      </c>
      <c r="BL19" s="10"/>
      <c r="BM19" s="87" t="s">
        <v>154</v>
      </c>
      <c r="BN19" s="10" t="s">
        <v>158</v>
      </c>
      <c r="BO19" s="88" t="s">
        <v>152</v>
      </c>
      <c r="BP19" s="96" t="s">
        <v>153</v>
      </c>
      <c r="BQ19" s="283">
        <v>1</v>
      </c>
      <c r="BR19" s="10"/>
      <c r="BS19" s="87" t="s">
        <v>154</v>
      </c>
      <c r="BT19" s="10" t="s">
        <v>158</v>
      </c>
      <c r="BU19" s="88" t="s">
        <v>152</v>
      </c>
      <c r="BV19" s="96" t="s">
        <v>153</v>
      </c>
      <c r="BW19" s="283">
        <v>1</v>
      </c>
      <c r="BX19" s="10"/>
      <c r="BY19" s="87" t="s">
        <v>154</v>
      </c>
      <c r="BZ19" s="10" t="s">
        <v>158</v>
      </c>
      <c r="CA19" s="88" t="s">
        <v>152</v>
      </c>
      <c r="CB19" s="96" t="s">
        <v>153</v>
      </c>
      <c r="CC19" s="287">
        <f>IF(COUNT(BP20:BP28,BV20:BV28,CB20:CB28) &gt;0, COUNT(BP20:BP28,BV20:BV28,CB20:CB28) /2,"")</f>
        <v>1</v>
      </c>
    </row>
    <row r="20" spans="1:88" ht="27.75" customHeight="1" x14ac:dyDescent="0.45">
      <c r="A20" s="294"/>
      <c r="B20" s="176" t="s">
        <v>162</v>
      </c>
      <c r="C20" s="102" t="s">
        <v>156</v>
      </c>
      <c r="D20" s="89" t="s">
        <v>178</v>
      </c>
      <c r="E20" s="177" t="s">
        <v>174</v>
      </c>
      <c r="F20" s="148"/>
      <c r="G20" s="287"/>
      <c r="H20" s="174"/>
      <c r="I20" s="294"/>
      <c r="J20" s="176" t="s">
        <v>162</v>
      </c>
      <c r="K20" s="90" t="s">
        <v>155</v>
      </c>
      <c r="L20" s="89" t="s">
        <v>178</v>
      </c>
      <c r="M20" s="177" t="s">
        <v>174</v>
      </c>
      <c r="N20" s="148"/>
      <c r="O20" s="284"/>
      <c r="P20" s="176" t="s">
        <v>162</v>
      </c>
      <c r="Q20" s="90" t="s">
        <v>155</v>
      </c>
      <c r="R20" s="89" t="s">
        <v>178</v>
      </c>
      <c r="S20" s="177" t="s">
        <v>174</v>
      </c>
      <c r="T20" s="156"/>
      <c r="U20" s="287"/>
      <c r="V20" s="174"/>
      <c r="W20" s="294"/>
      <c r="X20" s="176" t="s">
        <v>162</v>
      </c>
      <c r="Y20" s="90" t="s">
        <v>155</v>
      </c>
      <c r="Z20" s="89" t="s">
        <v>178</v>
      </c>
      <c r="AA20" s="177" t="s">
        <v>174</v>
      </c>
      <c r="AB20" s="95"/>
      <c r="AC20" s="284"/>
      <c r="AD20" s="176" t="s">
        <v>162</v>
      </c>
      <c r="AE20" s="90" t="s">
        <v>155</v>
      </c>
      <c r="AF20" s="89" t="s">
        <v>178</v>
      </c>
      <c r="AG20" s="177" t="s">
        <v>174</v>
      </c>
      <c r="AH20" s="95"/>
      <c r="AI20" s="284"/>
      <c r="AJ20" s="176" t="s">
        <v>162</v>
      </c>
      <c r="AK20" s="90" t="s">
        <v>155</v>
      </c>
      <c r="AL20" s="89" t="s">
        <v>178</v>
      </c>
      <c r="AM20" s="177" t="s">
        <v>174</v>
      </c>
      <c r="AN20" s="95"/>
      <c r="AO20" s="287"/>
      <c r="AP20" s="174"/>
      <c r="AQ20" s="294"/>
      <c r="AR20" s="176" t="s">
        <v>162</v>
      </c>
      <c r="AS20" s="90" t="s">
        <v>155</v>
      </c>
      <c r="AT20" s="89" t="s">
        <v>178</v>
      </c>
      <c r="AU20" s="177" t="s">
        <v>174</v>
      </c>
      <c r="AV20" s="95"/>
      <c r="AW20" s="284"/>
      <c r="AX20" s="176" t="s">
        <v>162</v>
      </c>
      <c r="AY20" s="90" t="s">
        <v>155</v>
      </c>
      <c r="AZ20" s="89" t="s">
        <v>178</v>
      </c>
      <c r="BA20" s="177" t="s">
        <v>174</v>
      </c>
      <c r="BB20" s="95"/>
      <c r="BC20" s="284"/>
      <c r="BD20" s="176" t="s">
        <v>162</v>
      </c>
      <c r="BE20" s="90" t="s">
        <v>155</v>
      </c>
      <c r="BF20" s="89" t="s">
        <v>178</v>
      </c>
      <c r="BG20" s="177" t="s">
        <v>174</v>
      </c>
      <c r="BH20" s="95"/>
      <c r="BI20" s="287"/>
      <c r="BJ20" s="171"/>
      <c r="BK20" s="294"/>
      <c r="BL20" s="176" t="s">
        <v>162</v>
      </c>
      <c r="BM20" s="90" t="s">
        <v>155</v>
      </c>
      <c r="BN20" s="89" t="s">
        <v>178</v>
      </c>
      <c r="BO20" s="177" t="s">
        <v>174</v>
      </c>
      <c r="BP20" s="95"/>
      <c r="BQ20" s="284"/>
      <c r="BR20" s="176" t="s">
        <v>162</v>
      </c>
      <c r="BS20" s="90" t="s">
        <v>155</v>
      </c>
      <c r="BT20" s="89" t="s">
        <v>178</v>
      </c>
      <c r="BU20" s="177" t="s">
        <v>174</v>
      </c>
      <c r="BV20" s="95"/>
      <c r="BW20" s="284"/>
      <c r="BX20" s="176" t="s">
        <v>162</v>
      </c>
      <c r="BY20" s="90" t="s">
        <v>155</v>
      </c>
      <c r="BZ20" s="89" t="s">
        <v>178</v>
      </c>
      <c r="CA20" s="177" t="s">
        <v>174</v>
      </c>
      <c r="CB20" s="95"/>
      <c r="CC20" s="287"/>
    </row>
    <row r="21" spans="1:88" s="181" customFormat="1" x14ac:dyDescent="0.45">
      <c r="A21" s="294"/>
      <c r="B21" s="180">
        <v>1</v>
      </c>
      <c r="C21" s="181">
        <v>0</v>
      </c>
      <c r="D21" s="37">
        <f t="shared" ref="D21:D28" si="3">(C21+$B$19)*$G$3</f>
        <v>2</v>
      </c>
      <c r="E21" s="182">
        <f t="shared" ref="E21:E28" si="4">MOD($F6+D21,$G$2)</f>
        <v>9</v>
      </c>
      <c r="F21" s="183">
        <v>1</v>
      </c>
      <c r="G21" s="287"/>
      <c r="H21" s="184"/>
      <c r="I21" s="294"/>
      <c r="J21" s="180">
        <v>1</v>
      </c>
      <c r="K21" s="181">
        <f>IF(F21="",C21,IF(F21=MIN(F$21:F$28),C21+1,0))</f>
        <v>1</v>
      </c>
      <c r="L21" s="37">
        <f t="shared" ref="L21:L28" si="5">(K21+$B$19)*$G$3</f>
        <v>4</v>
      </c>
      <c r="M21" s="182">
        <f t="shared" ref="M21:M28" si="6">MOD($F6+L21,$G$2)</f>
        <v>11</v>
      </c>
      <c r="N21" s="183">
        <v>1</v>
      </c>
      <c r="O21" s="284"/>
      <c r="P21" s="180">
        <v>1</v>
      </c>
      <c r="Q21" s="181">
        <f>IF(N21="",K21,IF(N21=MIN(N$21:N$28),K21+1,0))</f>
        <v>2</v>
      </c>
      <c r="R21" s="37">
        <f t="shared" ref="R21:R28" si="7">(Q21+$B$19)*$G$3</f>
        <v>6</v>
      </c>
      <c r="S21" s="182">
        <f t="shared" ref="S21:S28" si="8">MOD($F6+R21,$G$2)</f>
        <v>13</v>
      </c>
      <c r="T21" s="185">
        <v>1</v>
      </c>
      <c r="U21" s="287"/>
      <c r="V21" s="184"/>
      <c r="W21" s="294"/>
      <c r="X21" s="180">
        <v>1</v>
      </c>
      <c r="Y21" s="181">
        <f>IF(T21="",Q21,IF(T21=MIN(T$21:T$28),Q21+1,0))</f>
        <v>3</v>
      </c>
      <c r="Z21" s="37">
        <f t="shared" ref="Z21:Z28" si="9">(Y21+$B$19)*$G$3</f>
        <v>8</v>
      </c>
      <c r="AA21" s="182">
        <f t="shared" ref="AA21:AA28" si="10">MOD($F6+Z21,$G$2)</f>
        <v>15</v>
      </c>
      <c r="AB21" s="186">
        <v>1</v>
      </c>
      <c r="AC21" s="284"/>
      <c r="AD21" s="180">
        <v>1</v>
      </c>
      <c r="AE21" s="181">
        <f>IF(AB21="",Y21,IF(AB21=MIN(AB$21:AB$28),Y21+1,0))</f>
        <v>4</v>
      </c>
      <c r="AF21" s="37">
        <f t="shared" ref="AF21:AF28" si="11">(AE21+$B$19)*$G$3</f>
        <v>10</v>
      </c>
      <c r="AG21" s="182">
        <f t="shared" ref="AG21:AG28" si="12">MOD($F6+AF21,$G$2)</f>
        <v>1</v>
      </c>
      <c r="AH21" s="186">
        <v>1</v>
      </c>
      <c r="AI21" s="284"/>
      <c r="AJ21" s="180">
        <v>1</v>
      </c>
      <c r="AK21" s="181">
        <f>IF(AH21="",AE21,IF(AH21=MIN(AH$21:AH$28),AE21+1,0))</f>
        <v>5</v>
      </c>
      <c r="AL21" s="37">
        <f t="shared" ref="AL21:AL28" si="13">(AK21+$B$19)*$G$3</f>
        <v>12</v>
      </c>
      <c r="AM21" s="182">
        <f t="shared" ref="AM21:AM28" si="14">MOD($F6+AL21,$G$2)</f>
        <v>3</v>
      </c>
      <c r="AN21" s="186">
        <v>1</v>
      </c>
      <c r="AO21" s="287"/>
      <c r="AP21" s="184"/>
      <c r="AQ21" s="294"/>
      <c r="AR21" s="180">
        <v>1</v>
      </c>
      <c r="AS21" s="181">
        <f t="shared" ref="AS21:AS28" si="15">IF(AN21="",AK21,IF(AN21=MIN(AN$21:AN$28),AK21+1,0))</f>
        <v>6</v>
      </c>
      <c r="AT21" s="37">
        <f t="shared" ref="AT21:AT28" si="16">(AS21+$B$19)*$G$3</f>
        <v>14</v>
      </c>
      <c r="AU21" s="182">
        <f t="shared" ref="AU21:AU28" si="17">MOD($F6+AT21,$G$2)</f>
        <v>5</v>
      </c>
      <c r="AV21" s="186">
        <v>1</v>
      </c>
      <c r="AW21" s="284"/>
      <c r="AX21" s="180">
        <v>1</v>
      </c>
      <c r="AY21" s="181">
        <f>IF(AV21="",AS21,IF(AV21=MIN(AV$21:AV$28),AS21+1,0))</f>
        <v>7</v>
      </c>
      <c r="AZ21" s="37">
        <f t="shared" ref="AZ21:AZ28" si="18">(AY21+$B$19)*$G$3</f>
        <v>16</v>
      </c>
      <c r="BA21" s="182">
        <f t="shared" ref="BA21:BA28" si="19">MOD($F6+AZ21,$G$2)</f>
        <v>7</v>
      </c>
      <c r="BB21" s="186">
        <v>1</v>
      </c>
      <c r="BC21" s="284"/>
      <c r="BD21" s="180">
        <v>1</v>
      </c>
      <c r="BE21" s="181">
        <f>IF(BB21="",AY21,IF(BB21=MIN(BB$21:BB$28),AY21+1,0))</f>
        <v>8</v>
      </c>
      <c r="BF21" s="37">
        <f t="shared" ref="BF21:BF28" si="20">(BE21+$B$19)*$G$3</f>
        <v>18</v>
      </c>
      <c r="BG21" s="182">
        <f t="shared" ref="BG21:BG28" si="21">MOD($F6+BF21,$G$2)</f>
        <v>9</v>
      </c>
      <c r="BH21" s="186">
        <v>1</v>
      </c>
      <c r="BI21" s="287"/>
      <c r="BJ21" s="187"/>
      <c r="BK21" s="294"/>
      <c r="BL21" s="180">
        <v>1</v>
      </c>
      <c r="BM21" s="181">
        <f>IF(BH21="",BE21,IF(BH21=MIN(BH$21:BH$28),BE21+1,0))</f>
        <v>9</v>
      </c>
      <c r="BN21" s="37">
        <f t="shared" ref="BN21:BN28" si="22">(BM21+$B$19)*$G$3</f>
        <v>20</v>
      </c>
      <c r="BO21" s="182">
        <f t="shared" ref="BO21:BO28" si="23">MOD($F6+BN21,$G$2)</f>
        <v>11</v>
      </c>
      <c r="BP21" s="186">
        <v>1</v>
      </c>
      <c r="BQ21" s="284"/>
      <c r="BR21" s="180">
        <v>1</v>
      </c>
      <c r="BS21" s="181">
        <f>IF(BP21="",BM21,IF(BP21=MIN(BP$21:BP$28),BM21+1,0))</f>
        <v>10</v>
      </c>
      <c r="BT21" s="37">
        <f t="shared" ref="BT21:BT28" si="24">(BS21+$B$19)*$G$3</f>
        <v>22</v>
      </c>
      <c r="BU21" s="182">
        <f t="shared" ref="BU21:BU28" si="25">MOD($F6+BT21,$G$2)</f>
        <v>13</v>
      </c>
      <c r="BV21" s="186">
        <v>1</v>
      </c>
      <c r="BW21" s="284"/>
      <c r="BX21" s="180">
        <v>1</v>
      </c>
      <c r="BY21" s="181">
        <f>IF(BV21="",BS21,IF(BV21=MIN(BV$21:BV$28),BS21+1,0))</f>
        <v>11</v>
      </c>
      <c r="BZ21" s="37">
        <f t="shared" ref="BZ21:BZ28" si="26">(BY21+$B$19)*$G$3</f>
        <v>24</v>
      </c>
      <c r="CA21" s="182">
        <f t="shared" ref="CA21:CA28" si="27">MOD($F6+BZ21,$G$2)</f>
        <v>15</v>
      </c>
      <c r="CB21" s="186"/>
      <c r="CC21" s="287"/>
    </row>
    <row r="22" spans="1:88" x14ac:dyDescent="0.45">
      <c r="A22" s="294"/>
      <c r="B22" s="195">
        <v>2</v>
      </c>
      <c r="C22" s="37">
        <f t="shared" ref="C22:C28" si="28">IF(B22=MIN(B$21:B$28),1,0)</f>
        <v>0</v>
      </c>
      <c r="D22" s="37">
        <f t="shared" si="3"/>
        <v>2</v>
      </c>
      <c r="E22" s="196">
        <f t="shared" si="4"/>
        <v>5</v>
      </c>
      <c r="F22" s="150"/>
      <c r="G22" s="287"/>
      <c r="H22" s="174"/>
      <c r="I22" s="294"/>
      <c r="J22" s="1">
        <v>2</v>
      </c>
      <c r="K22">
        <f>IF(F22="",C22,IF(F22=MIN(F$21:F$28),C22+1,0))</f>
        <v>0</v>
      </c>
      <c r="L22" s="37">
        <f t="shared" si="5"/>
        <v>2</v>
      </c>
      <c r="M22" s="196">
        <f t="shared" si="6"/>
        <v>5</v>
      </c>
      <c r="N22" s="150"/>
      <c r="O22" s="284"/>
      <c r="P22" s="1">
        <v>2</v>
      </c>
      <c r="Q22">
        <f>IF(N22="",K22,IF(N22=MIN(N$21:N$28),K22+1,0))</f>
        <v>0</v>
      </c>
      <c r="R22" s="37">
        <f t="shared" si="7"/>
        <v>2</v>
      </c>
      <c r="S22" s="196">
        <f t="shared" si="8"/>
        <v>5</v>
      </c>
      <c r="T22" s="158"/>
      <c r="U22" s="287"/>
      <c r="V22" s="174"/>
      <c r="W22" s="294"/>
      <c r="X22" s="1">
        <v>2</v>
      </c>
      <c r="Y22">
        <f>IF(T22="",Q22,IF(T22=MIN(T$21:T$28),Q22+1,0))</f>
        <v>0</v>
      </c>
      <c r="Z22" s="37">
        <f t="shared" si="9"/>
        <v>2</v>
      </c>
      <c r="AA22" s="196">
        <f t="shared" si="10"/>
        <v>5</v>
      </c>
      <c r="AB22" s="96"/>
      <c r="AC22" s="284"/>
      <c r="AD22" s="1">
        <v>2</v>
      </c>
      <c r="AE22">
        <f>IF(AB22="",Y22,IF(AB22=MIN(AB$21:AB$28),Y22+1,0))</f>
        <v>0</v>
      </c>
      <c r="AF22" s="37">
        <f t="shared" si="11"/>
        <v>2</v>
      </c>
      <c r="AG22" s="196">
        <f t="shared" si="12"/>
        <v>5</v>
      </c>
      <c r="AH22" s="96"/>
      <c r="AI22" s="284"/>
      <c r="AJ22" s="1">
        <v>2</v>
      </c>
      <c r="AK22">
        <f t="shared" ref="AK22:AK85" si="29">IF(AH22="",AE22,IF(AH22=MIN(AH$21:AH$28),AE22+1,0))</f>
        <v>0</v>
      </c>
      <c r="AL22" s="37">
        <f t="shared" si="13"/>
        <v>2</v>
      </c>
      <c r="AM22" s="196">
        <f t="shared" si="14"/>
        <v>5</v>
      </c>
      <c r="AN22" s="96"/>
      <c r="AO22" s="287"/>
      <c r="AP22" s="174"/>
      <c r="AQ22" s="294"/>
      <c r="AR22" s="1">
        <v>2</v>
      </c>
      <c r="AS22">
        <f t="shared" si="15"/>
        <v>0</v>
      </c>
      <c r="AT22" s="37">
        <f t="shared" si="16"/>
        <v>2</v>
      </c>
      <c r="AU22" s="196">
        <f t="shared" si="17"/>
        <v>5</v>
      </c>
      <c r="AV22" s="96">
        <v>2</v>
      </c>
      <c r="AW22" s="284"/>
      <c r="AX22" s="1">
        <v>2</v>
      </c>
      <c r="AY22">
        <f>IF(AV22="",AS22,IF(AV22=MIN(AV$21:AV$28),AS22+1,0))</f>
        <v>0</v>
      </c>
      <c r="AZ22" s="37">
        <f t="shared" si="18"/>
        <v>2</v>
      </c>
      <c r="BA22" s="196">
        <f t="shared" si="19"/>
        <v>5</v>
      </c>
      <c r="BB22" s="96"/>
      <c r="BC22" s="284"/>
      <c r="BD22" s="1">
        <v>2</v>
      </c>
      <c r="BE22">
        <f>IF(BB22="",AY22,IF(BB22=MIN(BB$21:BB$28),AY22+1,0))</f>
        <v>0</v>
      </c>
      <c r="BF22" s="37">
        <f t="shared" si="20"/>
        <v>2</v>
      </c>
      <c r="BG22" s="196">
        <f t="shared" si="21"/>
        <v>5</v>
      </c>
      <c r="BH22" s="96"/>
      <c r="BI22" s="287"/>
      <c r="BJ22" s="171"/>
      <c r="BK22" s="294"/>
      <c r="BL22" s="1">
        <v>2</v>
      </c>
      <c r="BM22">
        <f t="shared" ref="BM22:BM28" si="30">IF(BH22="",BE22,IF(BH22=MIN(BH$21:BH$28),BE22+1,0))</f>
        <v>0</v>
      </c>
      <c r="BN22" s="37">
        <f t="shared" si="22"/>
        <v>2</v>
      </c>
      <c r="BO22" s="196">
        <f t="shared" si="23"/>
        <v>5</v>
      </c>
      <c r="BP22" s="96"/>
      <c r="BQ22" s="284"/>
      <c r="BR22" s="1">
        <v>2</v>
      </c>
      <c r="BS22">
        <f>IF(BP22="",BM22,IF(BP22=MIN(BP$21:BP$28),BM22+1,0))</f>
        <v>0</v>
      </c>
      <c r="BT22" s="37">
        <f t="shared" si="24"/>
        <v>2</v>
      </c>
      <c r="BU22" s="196">
        <f t="shared" si="25"/>
        <v>5</v>
      </c>
      <c r="BV22" s="96"/>
      <c r="BW22" s="284"/>
      <c r="BX22" s="1">
        <v>2</v>
      </c>
      <c r="BY22">
        <f>IF(BV22="",BS22,IF(BV22=MIN(BV$21:BV$28),BS22+1,0))</f>
        <v>0</v>
      </c>
      <c r="BZ22" s="37">
        <f t="shared" si="26"/>
        <v>2</v>
      </c>
      <c r="CA22" s="196">
        <f t="shared" si="27"/>
        <v>5</v>
      </c>
      <c r="CB22" s="96"/>
      <c r="CC22" s="287"/>
    </row>
    <row r="23" spans="1:88" s="77" customFormat="1" x14ac:dyDescent="0.45">
      <c r="A23" s="294"/>
      <c r="B23" s="195">
        <v>3</v>
      </c>
      <c r="C23" s="37">
        <f t="shared" si="28"/>
        <v>0</v>
      </c>
      <c r="D23" s="37">
        <f t="shared" si="3"/>
        <v>2</v>
      </c>
      <c r="E23" s="196">
        <f t="shared" si="4"/>
        <v>0</v>
      </c>
      <c r="F23" s="150"/>
      <c r="G23" s="287"/>
      <c r="H23" s="174"/>
      <c r="I23" s="294"/>
      <c r="J23" s="1">
        <v>3</v>
      </c>
      <c r="K23">
        <f t="shared" ref="K23:K28" si="31">IF(F23="",C23,IF(F23=MIN(F$21:F$28),C23+1,0))</f>
        <v>0</v>
      </c>
      <c r="L23" s="37">
        <f t="shared" si="5"/>
        <v>2</v>
      </c>
      <c r="M23" s="196">
        <f t="shared" si="6"/>
        <v>0</v>
      </c>
      <c r="N23" s="150">
        <v>2</v>
      </c>
      <c r="O23" s="284"/>
      <c r="P23" s="1">
        <v>3</v>
      </c>
      <c r="Q23">
        <f t="shared" ref="Q23:Q28" si="32">IF(N23="",K23,IF(N23=MIN(N$21:N$28),K23+1,0))</f>
        <v>0</v>
      </c>
      <c r="R23" s="37">
        <f t="shared" si="7"/>
        <v>2</v>
      </c>
      <c r="S23" s="196">
        <f t="shared" si="8"/>
        <v>0</v>
      </c>
      <c r="T23" s="158"/>
      <c r="U23" s="287"/>
      <c r="V23" s="174"/>
      <c r="W23" s="294"/>
      <c r="X23" s="1">
        <v>3</v>
      </c>
      <c r="Y23">
        <f t="shared" ref="Y23:Y28" si="33">IF(T23="",Q23,IF(T23=MIN(T$21:T$28),Q23+1,0))</f>
        <v>0</v>
      </c>
      <c r="Z23" s="37">
        <f t="shared" si="9"/>
        <v>2</v>
      </c>
      <c r="AA23" s="196">
        <f t="shared" si="10"/>
        <v>0</v>
      </c>
      <c r="AB23" s="96"/>
      <c r="AC23" s="284"/>
      <c r="AD23" s="1">
        <v>3</v>
      </c>
      <c r="AE23">
        <f t="shared" ref="AE23:AE28" si="34">IF(AB23="",Y23,IF(AB23=MIN(AB$21:AB$28),Y23+1,0))</f>
        <v>0</v>
      </c>
      <c r="AF23" s="37">
        <f t="shared" si="11"/>
        <v>2</v>
      </c>
      <c r="AG23" s="196">
        <f t="shared" si="12"/>
        <v>0</v>
      </c>
      <c r="AH23" s="96"/>
      <c r="AI23" s="284"/>
      <c r="AJ23" s="1">
        <v>3</v>
      </c>
      <c r="AK23">
        <f t="shared" si="29"/>
        <v>0</v>
      </c>
      <c r="AL23" s="37">
        <f t="shared" si="13"/>
        <v>2</v>
      </c>
      <c r="AM23" s="196">
        <f t="shared" si="14"/>
        <v>0</v>
      </c>
      <c r="AN23" s="96"/>
      <c r="AO23" s="287"/>
      <c r="AP23" s="174"/>
      <c r="AQ23" s="294"/>
      <c r="AR23" s="1">
        <v>3</v>
      </c>
      <c r="AS23">
        <f t="shared" si="15"/>
        <v>0</v>
      </c>
      <c r="AT23" s="37">
        <f t="shared" si="16"/>
        <v>2</v>
      </c>
      <c r="AU23" s="196">
        <f t="shared" si="17"/>
        <v>0</v>
      </c>
      <c r="AV23" s="96"/>
      <c r="AW23" s="284"/>
      <c r="AX23" s="1">
        <v>3</v>
      </c>
      <c r="AY23">
        <f t="shared" ref="AY23:AY28" si="35">IF(AV23="",AS23,IF(AV23=MIN(AV$21:AV$28),AS23+1,0))</f>
        <v>0</v>
      </c>
      <c r="AZ23" s="37">
        <f t="shared" si="18"/>
        <v>2</v>
      </c>
      <c r="BA23" s="196">
        <f t="shared" si="19"/>
        <v>0</v>
      </c>
      <c r="BB23" s="96"/>
      <c r="BC23" s="284"/>
      <c r="BD23" s="1">
        <v>3</v>
      </c>
      <c r="BE23">
        <f t="shared" ref="BE23:BE26" si="36">IF(BB23="",AY23,IF(BB23=MIN(BB$21:BB$28),AY23+1,0))</f>
        <v>0</v>
      </c>
      <c r="BF23" s="37">
        <f t="shared" si="20"/>
        <v>2</v>
      </c>
      <c r="BG23" s="196">
        <f t="shared" si="21"/>
        <v>0</v>
      </c>
      <c r="BH23" s="96"/>
      <c r="BI23" s="287"/>
      <c r="BJ23" s="171"/>
      <c r="BK23" s="294"/>
      <c r="BL23" s="1">
        <v>3</v>
      </c>
      <c r="BM23">
        <f t="shared" si="30"/>
        <v>0</v>
      </c>
      <c r="BN23" s="37">
        <f t="shared" si="22"/>
        <v>2</v>
      </c>
      <c r="BO23" s="196">
        <f t="shared" si="23"/>
        <v>0</v>
      </c>
      <c r="BP23" s="96"/>
      <c r="BQ23" s="284"/>
      <c r="BR23" s="1">
        <v>3</v>
      </c>
      <c r="BS23">
        <f t="shared" ref="BS23:BS28" si="37">IF(BP23="",BM23,IF(BP23=MIN(BP$21:BP$28),BM23+1,0))</f>
        <v>0</v>
      </c>
      <c r="BT23" s="37">
        <f t="shared" si="24"/>
        <v>2</v>
      </c>
      <c r="BU23" s="196">
        <f t="shared" si="25"/>
        <v>0</v>
      </c>
      <c r="BV23" s="96"/>
      <c r="BW23" s="284"/>
      <c r="BX23" s="1">
        <v>3</v>
      </c>
      <c r="BY23">
        <f t="shared" ref="BY23:BY28" si="38">IF(BV23="",BS23,IF(BV23=MIN(BV$21:BV$28),BS23+1,0))</f>
        <v>0</v>
      </c>
      <c r="BZ23" s="37">
        <f t="shared" si="26"/>
        <v>2</v>
      </c>
      <c r="CA23" s="196">
        <f t="shared" si="27"/>
        <v>0</v>
      </c>
      <c r="CB23" s="96"/>
      <c r="CC23" s="287"/>
      <c r="CD23"/>
      <c r="CE23"/>
      <c r="CF23"/>
      <c r="CG23"/>
      <c r="CH23"/>
      <c r="CI23"/>
      <c r="CJ23"/>
    </row>
    <row r="24" spans="1:88" x14ac:dyDescent="0.45">
      <c r="A24" s="294"/>
      <c r="B24" s="195">
        <v>4</v>
      </c>
      <c r="C24" s="37">
        <f t="shared" si="28"/>
        <v>0</v>
      </c>
      <c r="D24" s="37">
        <f t="shared" si="3"/>
        <v>2</v>
      </c>
      <c r="E24" s="196">
        <f t="shared" si="4"/>
        <v>12</v>
      </c>
      <c r="F24" s="150">
        <v>2</v>
      </c>
      <c r="G24" s="287"/>
      <c r="H24" s="174"/>
      <c r="I24" s="294"/>
      <c r="J24" s="1">
        <v>4</v>
      </c>
      <c r="K24">
        <f t="shared" si="31"/>
        <v>0</v>
      </c>
      <c r="L24" s="37">
        <f t="shared" si="5"/>
        <v>2</v>
      </c>
      <c r="M24" s="196">
        <f t="shared" si="6"/>
        <v>12</v>
      </c>
      <c r="N24" s="150"/>
      <c r="O24" s="284"/>
      <c r="P24" s="1">
        <v>4</v>
      </c>
      <c r="Q24">
        <f t="shared" si="32"/>
        <v>0</v>
      </c>
      <c r="R24" s="37">
        <f t="shared" si="7"/>
        <v>2</v>
      </c>
      <c r="S24" s="196">
        <f t="shared" si="8"/>
        <v>12</v>
      </c>
      <c r="T24" s="158"/>
      <c r="U24" s="287"/>
      <c r="V24" s="174"/>
      <c r="W24" s="294"/>
      <c r="X24" s="1">
        <v>4</v>
      </c>
      <c r="Y24">
        <f t="shared" si="33"/>
        <v>0</v>
      </c>
      <c r="Z24" s="37">
        <f t="shared" si="9"/>
        <v>2</v>
      </c>
      <c r="AA24" s="196">
        <f t="shared" si="10"/>
        <v>12</v>
      </c>
      <c r="AB24" s="96"/>
      <c r="AC24" s="284"/>
      <c r="AD24" s="1">
        <v>4</v>
      </c>
      <c r="AE24">
        <f t="shared" si="34"/>
        <v>0</v>
      </c>
      <c r="AF24" s="37">
        <f t="shared" si="11"/>
        <v>2</v>
      </c>
      <c r="AG24" s="196">
        <f t="shared" si="12"/>
        <v>12</v>
      </c>
      <c r="AH24" s="96"/>
      <c r="AI24" s="284"/>
      <c r="AJ24" s="1">
        <v>4</v>
      </c>
      <c r="AK24">
        <f t="shared" si="29"/>
        <v>0</v>
      </c>
      <c r="AL24" s="37">
        <f t="shared" si="13"/>
        <v>2</v>
      </c>
      <c r="AM24" s="196">
        <f t="shared" si="14"/>
        <v>12</v>
      </c>
      <c r="AN24" s="96"/>
      <c r="AO24" s="287"/>
      <c r="AP24" s="174"/>
      <c r="AQ24" s="294"/>
      <c r="AR24" s="1">
        <v>4</v>
      </c>
      <c r="AS24">
        <f t="shared" si="15"/>
        <v>0</v>
      </c>
      <c r="AT24" s="37">
        <f t="shared" si="16"/>
        <v>2</v>
      </c>
      <c r="AU24" s="196">
        <f t="shared" si="17"/>
        <v>12</v>
      </c>
      <c r="AV24" s="96"/>
      <c r="AW24" s="284"/>
      <c r="AX24" s="1">
        <v>4</v>
      </c>
      <c r="AY24">
        <f t="shared" si="35"/>
        <v>0</v>
      </c>
      <c r="AZ24" s="37">
        <f t="shared" si="18"/>
        <v>2</v>
      </c>
      <c r="BA24" s="196">
        <f t="shared" si="19"/>
        <v>12</v>
      </c>
      <c r="BB24" s="96"/>
      <c r="BC24" s="284"/>
      <c r="BD24" s="1">
        <v>4</v>
      </c>
      <c r="BE24">
        <f t="shared" si="36"/>
        <v>0</v>
      </c>
      <c r="BF24" s="37">
        <f t="shared" si="20"/>
        <v>2</v>
      </c>
      <c r="BG24" s="196">
        <f t="shared" si="21"/>
        <v>12</v>
      </c>
      <c r="BH24" s="96"/>
      <c r="BI24" s="287"/>
      <c r="BJ24" s="171"/>
      <c r="BK24" s="294"/>
      <c r="BL24" s="1">
        <v>4</v>
      </c>
      <c r="BM24">
        <f t="shared" si="30"/>
        <v>0</v>
      </c>
      <c r="BN24" s="37">
        <f t="shared" si="22"/>
        <v>2</v>
      </c>
      <c r="BO24" s="196">
        <f t="shared" si="23"/>
        <v>12</v>
      </c>
      <c r="BP24" s="96"/>
      <c r="BQ24" s="284"/>
      <c r="BR24" s="1">
        <v>4</v>
      </c>
      <c r="BS24">
        <f t="shared" si="37"/>
        <v>0</v>
      </c>
      <c r="BT24" s="37">
        <f t="shared" si="24"/>
        <v>2</v>
      </c>
      <c r="BU24" s="196">
        <f t="shared" si="25"/>
        <v>12</v>
      </c>
      <c r="BV24" s="96"/>
      <c r="BW24" s="284"/>
      <c r="BX24" s="1">
        <v>4</v>
      </c>
      <c r="BY24">
        <f t="shared" si="38"/>
        <v>0</v>
      </c>
      <c r="BZ24" s="37">
        <f t="shared" si="26"/>
        <v>2</v>
      </c>
      <c r="CA24" s="196">
        <f t="shared" si="27"/>
        <v>12</v>
      </c>
      <c r="CB24" s="96"/>
      <c r="CC24" s="287"/>
    </row>
    <row r="25" spans="1:88" x14ac:dyDescent="0.45">
      <c r="A25" s="294"/>
      <c r="B25" s="195">
        <v>5</v>
      </c>
      <c r="C25" s="37">
        <f t="shared" si="28"/>
        <v>0</v>
      </c>
      <c r="D25" s="37">
        <f t="shared" si="3"/>
        <v>2</v>
      </c>
      <c r="E25" s="196">
        <f t="shared" si="4"/>
        <v>6</v>
      </c>
      <c r="F25" s="150"/>
      <c r="G25" s="287"/>
      <c r="H25" s="174"/>
      <c r="I25" s="294"/>
      <c r="J25" s="1">
        <v>5</v>
      </c>
      <c r="K25">
        <f t="shared" si="31"/>
        <v>0</v>
      </c>
      <c r="L25" s="37">
        <f t="shared" si="5"/>
        <v>2</v>
      </c>
      <c r="M25" s="196">
        <f t="shared" si="6"/>
        <v>6</v>
      </c>
      <c r="N25" s="150"/>
      <c r="O25" s="284"/>
      <c r="P25" s="1">
        <v>5</v>
      </c>
      <c r="Q25">
        <f t="shared" si="32"/>
        <v>0</v>
      </c>
      <c r="R25" s="37">
        <f t="shared" si="7"/>
        <v>2</v>
      </c>
      <c r="S25" s="196">
        <f t="shared" si="8"/>
        <v>6</v>
      </c>
      <c r="T25" s="158"/>
      <c r="U25" s="287"/>
      <c r="V25" s="174"/>
      <c r="W25" s="294"/>
      <c r="X25" s="1">
        <v>5</v>
      </c>
      <c r="Y25">
        <f t="shared" si="33"/>
        <v>0</v>
      </c>
      <c r="Z25" s="37">
        <f t="shared" si="9"/>
        <v>2</v>
      </c>
      <c r="AA25" s="196">
        <f t="shared" si="10"/>
        <v>6</v>
      </c>
      <c r="AB25" s="96">
        <v>2</v>
      </c>
      <c r="AC25" s="284"/>
      <c r="AD25" s="1">
        <v>5</v>
      </c>
      <c r="AE25">
        <f t="shared" si="34"/>
        <v>0</v>
      </c>
      <c r="AF25" s="37">
        <f t="shared" si="11"/>
        <v>2</v>
      </c>
      <c r="AG25" s="196">
        <f t="shared" si="12"/>
        <v>6</v>
      </c>
      <c r="AH25" s="96"/>
      <c r="AI25" s="284"/>
      <c r="AJ25" s="1">
        <v>5</v>
      </c>
      <c r="AK25">
        <f t="shared" si="29"/>
        <v>0</v>
      </c>
      <c r="AL25" s="37">
        <f t="shared" si="13"/>
        <v>2</v>
      </c>
      <c r="AM25" s="196">
        <f t="shared" si="14"/>
        <v>6</v>
      </c>
      <c r="AN25" s="96"/>
      <c r="AO25" s="287"/>
      <c r="AP25" s="174"/>
      <c r="AQ25" s="294"/>
      <c r="AR25" s="1">
        <v>5</v>
      </c>
      <c r="AS25">
        <f t="shared" si="15"/>
        <v>0</v>
      </c>
      <c r="AT25" s="37">
        <f t="shared" si="16"/>
        <v>2</v>
      </c>
      <c r="AU25" s="196">
        <f t="shared" si="17"/>
        <v>6</v>
      </c>
      <c r="AV25" s="96"/>
      <c r="AW25" s="284"/>
      <c r="AX25" s="1">
        <v>5</v>
      </c>
      <c r="AY25">
        <f t="shared" si="35"/>
        <v>0</v>
      </c>
      <c r="AZ25" s="37">
        <f t="shared" si="18"/>
        <v>2</v>
      </c>
      <c r="BA25" s="196">
        <f t="shared" si="19"/>
        <v>6</v>
      </c>
      <c r="BB25" s="96"/>
      <c r="BC25" s="284"/>
      <c r="BD25" s="1">
        <v>5</v>
      </c>
      <c r="BE25">
        <f t="shared" si="36"/>
        <v>0</v>
      </c>
      <c r="BF25" s="37">
        <f t="shared" si="20"/>
        <v>2</v>
      </c>
      <c r="BG25" s="196">
        <f t="shared" si="21"/>
        <v>6</v>
      </c>
      <c r="BH25" s="96"/>
      <c r="BI25" s="287"/>
      <c r="BJ25" s="171"/>
      <c r="BK25" s="294"/>
      <c r="BL25" s="1">
        <v>5</v>
      </c>
      <c r="BM25">
        <f t="shared" si="30"/>
        <v>0</v>
      </c>
      <c r="BN25" s="37">
        <f t="shared" si="22"/>
        <v>2</v>
      </c>
      <c r="BO25" s="196">
        <f t="shared" si="23"/>
        <v>6</v>
      </c>
      <c r="BP25" s="96"/>
      <c r="BQ25" s="284"/>
      <c r="BR25" s="1">
        <v>5</v>
      </c>
      <c r="BS25">
        <f t="shared" si="37"/>
        <v>0</v>
      </c>
      <c r="BT25" s="37">
        <f t="shared" si="24"/>
        <v>2</v>
      </c>
      <c r="BU25" s="196">
        <f t="shared" si="25"/>
        <v>6</v>
      </c>
      <c r="BV25" s="96"/>
      <c r="BW25" s="284"/>
      <c r="BX25" s="1">
        <v>5</v>
      </c>
      <c r="BY25">
        <f t="shared" si="38"/>
        <v>0</v>
      </c>
      <c r="BZ25" s="37">
        <f t="shared" si="26"/>
        <v>2</v>
      </c>
      <c r="CA25" s="196">
        <f t="shared" si="27"/>
        <v>6</v>
      </c>
      <c r="CB25" s="96"/>
      <c r="CC25" s="287"/>
    </row>
    <row r="26" spans="1:88" x14ac:dyDescent="0.45">
      <c r="A26" s="294"/>
      <c r="B26" s="195">
        <v>6</v>
      </c>
      <c r="C26" s="37">
        <f t="shared" si="28"/>
        <v>0</v>
      </c>
      <c r="D26" s="37">
        <f t="shared" si="3"/>
        <v>2</v>
      </c>
      <c r="E26" s="196">
        <f t="shared" si="4"/>
        <v>2</v>
      </c>
      <c r="F26" s="150"/>
      <c r="G26" s="287"/>
      <c r="H26" s="174"/>
      <c r="I26" s="294"/>
      <c r="J26" s="1">
        <v>6</v>
      </c>
      <c r="K26">
        <f t="shared" si="31"/>
        <v>0</v>
      </c>
      <c r="L26" s="37">
        <f t="shared" si="5"/>
        <v>2</v>
      </c>
      <c r="M26" s="196">
        <f t="shared" si="6"/>
        <v>2</v>
      </c>
      <c r="N26" s="150"/>
      <c r="O26" s="284"/>
      <c r="P26" s="1">
        <v>6</v>
      </c>
      <c r="Q26">
        <f t="shared" si="32"/>
        <v>0</v>
      </c>
      <c r="R26" s="37">
        <f t="shared" si="7"/>
        <v>2</v>
      </c>
      <c r="S26" s="196">
        <f t="shared" si="8"/>
        <v>2</v>
      </c>
      <c r="T26" s="158">
        <v>2</v>
      </c>
      <c r="U26" s="287"/>
      <c r="V26" s="174"/>
      <c r="W26" s="294"/>
      <c r="X26" s="1">
        <v>6</v>
      </c>
      <c r="Y26">
        <f>IF(T26="",Q26,IF(T26=MIN(T$21:T$28),Q26+1,0))</f>
        <v>0</v>
      </c>
      <c r="Z26" s="37">
        <f t="shared" si="9"/>
        <v>2</v>
      </c>
      <c r="AA26" s="196">
        <f t="shared" si="10"/>
        <v>2</v>
      </c>
      <c r="AB26" s="96"/>
      <c r="AC26" s="284"/>
      <c r="AD26" s="1">
        <v>6</v>
      </c>
      <c r="AE26">
        <f t="shared" si="34"/>
        <v>0</v>
      </c>
      <c r="AF26" s="37">
        <f t="shared" si="11"/>
        <v>2</v>
      </c>
      <c r="AG26" s="196">
        <f t="shared" si="12"/>
        <v>2</v>
      </c>
      <c r="AH26" s="96"/>
      <c r="AI26" s="284"/>
      <c r="AJ26" s="1">
        <v>6</v>
      </c>
      <c r="AK26">
        <f t="shared" si="29"/>
        <v>0</v>
      </c>
      <c r="AL26" s="37">
        <f t="shared" si="13"/>
        <v>2</v>
      </c>
      <c r="AM26" s="196">
        <f t="shared" si="14"/>
        <v>2</v>
      </c>
      <c r="AN26" s="96"/>
      <c r="AO26" s="287"/>
      <c r="AP26" s="174"/>
      <c r="AQ26" s="294"/>
      <c r="AR26" s="1">
        <v>6</v>
      </c>
      <c r="AS26">
        <f t="shared" si="15"/>
        <v>0</v>
      </c>
      <c r="AT26" s="37">
        <f t="shared" si="16"/>
        <v>2</v>
      </c>
      <c r="AU26" s="196">
        <f t="shared" si="17"/>
        <v>2</v>
      </c>
      <c r="AV26" s="96"/>
      <c r="AW26" s="284"/>
      <c r="AX26" s="1">
        <v>6</v>
      </c>
      <c r="AY26">
        <f t="shared" si="35"/>
        <v>0</v>
      </c>
      <c r="AZ26" s="37">
        <f t="shared" si="18"/>
        <v>2</v>
      </c>
      <c r="BA26" s="196">
        <f t="shared" si="19"/>
        <v>2</v>
      </c>
      <c r="BB26" s="96"/>
      <c r="BC26" s="284"/>
      <c r="BD26" s="1">
        <v>6</v>
      </c>
      <c r="BE26">
        <f t="shared" si="36"/>
        <v>0</v>
      </c>
      <c r="BF26" s="37">
        <f t="shared" si="20"/>
        <v>2</v>
      </c>
      <c r="BG26" s="196">
        <f t="shared" si="21"/>
        <v>2</v>
      </c>
      <c r="BH26" s="96"/>
      <c r="BI26" s="287"/>
      <c r="BJ26" s="171"/>
      <c r="BK26" s="294"/>
      <c r="BL26" s="1">
        <v>6</v>
      </c>
      <c r="BM26">
        <f t="shared" si="30"/>
        <v>0</v>
      </c>
      <c r="BN26" s="37">
        <f t="shared" si="22"/>
        <v>2</v>
      </c>
      <c r="BO26" s="196">
        <f t="shared" si="23"/>
        <v>2</v>
      </c>
      <c r="BP26" s="96"/>
      <c r="BQ26" s="284"/>
      <c r="BR26" s="1">
        <v>6</v>
      </c>
      <c r="BS26">
        <f t="shared" si="37"/>
        <v>0</v>
      </c>
      <c r="BT26" s="37">
        <f t="shared" si="24"/>
        <v>2</v>
      </c>
      <c r="BU26" s="196">
        <f t="shared" si="25"/>
        <v>2</v>
      </c>
      <c r="BV26" s="96"/>
      <c r="BW26" s="284"/>
      <c r="BX26" s="1">
        <v>6</v>
      </c>
      <c r="BY26">
        <f t="shared" si="38"/>
        <v>0</v>
      </c>
      <c r="BZ26" s="37">
        <f t="shared" si="26"/>
        <v>2</v>
      </c>
      <c r="CA26" s="196">
        <f t="shared" si="27"/>
        <v>2</v>
      </c>
      <c r="CB26" s="96"/>
      <c r="CC26" s="287"/>
    </row>
    <row r="27" spans="1:88" x14ac:dyDescent="0.45">
      <c r="A27" s="294"/>
      <c r="B27" s="195">
        <v>7</v>
      </c>
      <c r="C27" s="37">
        <f t="shared" si="28"/>
        <v>0</v>
      </c>
      <c r="D27" s="37">
        <f t="shared" si="3"/>
        <v>2</v>
      </c>
      <c r="E27" s="196">
        <f t="shared" si="4"/>
        <v>15</v>
      </c>
      <c r="F27" s="150"/>
      <c r="G27" s="287"/>
      <c r="H27" s="174"/>
      <c r="I27" s="294"/>
      <c r="J27" s="1">
        <v>7</v>
      </c>
      <c r="K27">
        <f t="shared" si="31"/>
        <v>0</v>
      </c>
      <c r="L27" s="37">
        <f t="shared" si="5"/>
        <v>2</v>
      </c>
      <c r="M27" s="196">
        <f t="shared" si="6"/>
        <v>15</v>
      </c>
      <c r="N27" s="150"/>
      <c r="O27" s="284"/>
      <c r="P27" s="1">
        <v>7</v>
      </c>
      <c r="Q27">
        <f t="shared" si="32"/>
        <v>0</v>
      </c>
      <c r="R27" s="37">
        <f t="shared" si="7"/>
        <v>2</v>
      </c>
      <c r="S27" s="196">
        <f t="shared" si="8"/>
        <v>15</v>
      </c>
      <c r="T27" s="158"/>
      <c r="U27" s="287"/>
      <c r="V27" s="174"/>
      <c r="W27" s="294"/>
      <c r="X27" s="1">
        <v>7</v>
      </c>
      <c r="Y27">
        <f t="shared" si="33"/>
        <v>0</v>
      </c>
      <c r="Z27" s="37">
        <f t="shared" si="9"/>
        <v>2</v>
      </c>
      <c r="AA27" s="196">
        <f t="shared" si="10"/>
        <v>15</v>
      </c>
      <c r="AB27" s="96"/>
      <c r="AC27" s="284"/>
      <c r="AD27" s="1">
        <v>7</v>
      </c>
      <c r="AE27">
        <f t="shared" si="34"/>
        <v>0</v>
      </c>
      <c r="AF27" s="37">
        <f t="shared" si="11"/>
        <v>2</v>
      </c>
      <c r="AG27" s="196">
        <f t="shared" si="12"/>
        <v>15</v>
      </c>
      <c r="AH27" s="96"/>
      <c r="AI27" s="284"/>
      <c r="AJ27" s="1">
        <v>7</v>
      </c>
      <c r="AK27">
        <f t="shared" si="29"/>
        <v>0</v>
      </c>
      <c r="AL27" s="37">
        <f t="shared" si="13"/>
        <v>2</v>
      </c>
      <c r="AM27" s="196">
        <f t="shared" si="14"/>
        <v>15</v>
      </c>
      <c r="AN27" s="96"/>
      <c r="AO27" s="287"/>
      <c r="AP27" s="174"/>
      <c r="AQ27" s="294"/>
      <c r="AR27" s="1">
        <v>7</v>
      </c>
      <c r="AS27">
        <f t="shared" si="15"/>
        <v>0</v>
      </c>
      <c r="AT27" s="37">
        <f t="shared" si="16"/>
        <v>2</v>
      </c>
      <c r="AU27" s="196">
        <f t="shared" si="17"/>
        <v>15</v>
      </c>
      <c r="AV27" s="96"/>
      <c r="AW27" s="284"/>
      <c r="AX27" s="1">
        <v>7</v>
      </c>
      <c r="AY27">
        <f>IF(AV27="",AS27,IF(AV27=MIN(AV$21:AV$28),AS27+1,0))</f>
        <v>0</v>
      </c>
      <c r="AZ27" s="37">
        <f t="shared" si="18"/>
        <v>2</v>
      </c>
      <c r="BA27" s="196">
        <f t="shared" si="19"/>
        <v>15</v>
      </c>
      <c r="BB27" s="96"/>
      <c r="BC27" s="284"/>
      <c r="BD27" s="1">
        <v>7</v>
      </c>
      <c r="BE27">
        <f>IF(BB27="",AY27,IF(BB27=MIN(BB$21:BB$28),AY27+1,0))</f>
        <v>0</v>
      </c>
      <c r="BF27" s="37">
        <f t="shared" si="20"/>
        <v>2</v>
      </c>
      <c r="BG27" s="196">
        <f t="shared" si="21"/>
        <v>15</v>
      </c>
      <c r="BH27" s="96"/>
      <c r="BI27" s="287"/>
      <c r="BJ27" s="171"/>
      <c r="BK27" s="294"/>
      <c r="BL27" s="1">
        <v>7</v>
      </c>
      <c r="BM27">
        <f>IF(BH27="",BE27,IF(BH27=MIN(BH$21:BH$28),BE27+1,0))</f>
        <v>0</v>
      </c>
      <c r="BN27" s="37">
        <f t="shared" si="22"/>
        <v>2</v>
      </c>
      <c r="BO27" s="196">
        <f t="shared" si="23"/>
        <v>15</v>
      </c>
      <c r="BP27" s="96"/>
      <c r="BQ27" s="284"/>
      <c r="BR27" s="1">
        <v>7</v>
      </c>
      <c r="BS27">
        <f>IF(BP27="",BM27,IF(BP27=MIN(BP$21:BP$28),BM27+1,0))</f>
        <v>0</v>
      </c>
      <c r="BT27" s="37">
        <f t="shared" si="24"/>
        <v>2</v>
      </c>
      <c r="BU27" s="196">
        <f t="shared" si="25"/>
        <v>15</v>
      </c>
      <c r="BV27" s="96"/>
      <c r="BW27" s="284"/>
      <c r="BX27" s="1">
        <v>7</v>
      </c>
      <c r="BY27">
        <f>IF(BV27="",BS27,IF(BV27=MIN(BV$21:BV$28),BS27+1,0))</f>
        <v>0</v>
      </c>
      <c r="BZ27" s="37">
        <f t="shared" si="26"/>
        <v>2</v>
      </c>
      <c r="CA27" s="196">
        <f t="shared" si="27"/>
        <v>15</v>
      </c>
      <c r="CB27" s="96"/>
      <c r="CC27" s="287"/>
    </row>
    <row r="28" spans="1:88" x14ac:dyDescent="0.45">
      <c r="A28" s="296"/>
      <c r="B28" s="197">
        <v>8</v>
      </c>
      <c r="C28" s="198">
        <f t="shared" si="28"/>
        <v>0</v>
      </c>
      <c r="D28" s="37">
        <f t="shared" si="3"/>
        <v>2</v>
      </c>
      <c r="E28" s="196">
        <f t="shared" si="4"/>
        <v>11</v>
      </c>
      <c r="F28" s="151"/>
      <c r="G28" s="287"/>
      <c r="H28" s="174"/>
      <c r="I28" s="296"/>
      <c r="J28" s="51">
        <v>8</v>
      </c>
      <c r="K28">
        <f t="shared" si="31"/>
        <v>0</v>
      </c>
      <c r="L28" s="37">
        <f t="shared" si="5"/>
        <v>2</v>
      </c>
      <c r="M28" s="196">
        <f t="shared" si="6"/>
        <v>11</v>
      </c>
      <c r="N28" s="151"/>
      <c r="O28" s="285"/>
      <c r="P28" s="51">
        <v>8</v>
      </c>
      <c r="Q28">
        <f t="shared" si="32"/>
        <v>0</v>
      </c>
      <c r="R28" s="37">
        <f t="shared" si="7"/>
        <v>2</v>
      </c>
      <c r="S28" s="196">
        <f t="shared" si="8"/>
        <v>11</v>
      </c>
      <c r="T28" s="159"/>
      <c r="U28" s="287"/>
      <c r="V28" s="174"/>
      <c r="W28" s="296"/>
      <c r="X28" s="51">
        <v>8</v>
      </c>
      <c r="Y28">
        <f t="shared" si="33"/>
        <v>0</v>
      </c>
      <c r="Z28" s="37">
        <f t="shared" si="9"/>
        <v>2</v>
      </c>
      <c r="AA28" s="196">
        <f t="shared" si="10"/>
        <v>11</v>
      </c>
      <c r="AB28" s="97"/>
      <c r="AC28" s="285"/>
      <c r="AD28" s="51">
        <v>8</v>
      </c>
      <c r="AE28">
        <f t="shared" si="34"/>
        <v>0</v>
      </c>
      <c r="AF28" s="37">
        <f t="shared" si="11"/>
        <v>2</v>
      </c>
      <c r="AG28" s="196">
        <f t="shared" si="12"/>
        <v>11</v>
      </c>
      <c r="AH28" s="97">
        <v>2</v>
      </c>
      <c r="AI28" s="285"/>
      <c r="AJ28" s="51">
        <v>8</v>
      </c>
      <c r="AK28">
        <f t="shared" si="29"/>
        <v>0</v>
      </c>
      <c r="AL28" s="37">
        <f t="shared" si="13"/>
        <v>2</v>
      </c>
      <c r="AM28" s="196">
        <f t="shared" si="14"/>
        <v>11</v>
      </c>
      <c r="AN28" s="97"/>
      <c r="AO28" s="287"/>
      <c r="AP28" s="174"/>
      <c r="AQ28" s="296"/>
      <c r="AR28" s="51">
        <v>8</v>
      </c>
      <c r="AS28">
        <f t="shared" si="15"/>
        <v>0</v>
      </c>
      <c r="AT28" s="37">
        <f t="shared" si="16"/>
        <v>2</v>
      </c>
      <c r="AU28" s="196">
        <f t="shared" si="17"/>
        <v>11</v>
      </c>
      <c r="AV28" s="97"/>
      <c r="AW28" s="285"/>
      <c r="AX28" s="51">
        <v>8</v>
      </c>
      <c r="AY28">
        <f t="shared" si="35"/>
        <v>0</v>
      </c>
      <c r="AZ28" s="37">
        <f t="shared" si="18"/>
        <v>2</v>
      </c>
      <c r="BA28" s="196">
        <f t="shared" si="19"/>
        <v>11</v>
      </c>
      <c r="BB28" s="97"/>
      <c r="BC28" s="285"/>
      <c r="BD28" s="51">
        <v>8</v>
      </c>
      <c r="BE28">
        <f t="shared" ref="BE28" si="39">IF(BB28="",AY28,IF(BB28=MIN(BB$21:BB$28),AY28+1,0))</f>
        <v>0</v>
      </c>
      <c r="BF28" s="37">
        <f t="shared" si="20"/>
        <v>2</v>
      </c>
      <c r="BG28" s="196">
        <f t="shared" si="21"/>
        <v>11</v>
      </c>
      <c r="BH28" s="97"/>
      <c r="BI28" s="287"/>
      <c r="BJ28" s="171"/>
      <c r="BK28" s="296"/>
      <c r="BL28" s="51">
        <v>8</v>
      </c>
      <c r="BM28">
        <f t="shared" si="30"/>
        <v>0</v>
      </c>
      <c r="BN28" s="37">
        <f t="shared" si="22"/>
        <v>2</v>
      </c>
      <c r="BO28" s="196">
        <f t="shared" si="23"/>
        <v>11</v>
      </c>
      <c r="BP28" s="97"/>
      <c r="BQ28" s="285"/>
      <c r="BR28" s="51">
        <v>8</v>
      </c>
      <c r="BS28">
        <f t="shared" si="37"/>
        <v>0</v>
      </c>
      <c r="BT28" s="37">
        <f t="shared" si="24"/>
        <v>2</v>
      </c>
      <c r="BU28" s="196">
        <f t="shared" si="25"/>
        <v>11</v>
      </c>
      <c r="BV28" s="97"/>
      <c r="BW28" s="285"/>
      <c r="BX28" s="51">
        <v>8</v>
      </c>
      <c r="BY28">
        <f t="shared" si="38"/>
        <v>0</v>
      </c>
      <c r="BZ28" s="37">
        <f t="shared" si="26"/>
        <v>2</v>
      </c>
      <c r="CA28" s="196">
        <f t="shared" si="27"/>
        <v>11</v>
      </c>
      <c r="CB28" s="97"/>
      <c r="CC28" s="287"/>
    </row>
    <row r="29" spans="1:88" s="79" customFormat="1" x14ac:dyDescent="0.45">
      <c r="A29" s="293">
        <v>2</v>
      </c>
      <c r="B29" s="48">
        <f>O7</f>
        <v>13</v>
      </c>
      <c r="C29" s="87" t="s">
        <v>154</v>
      </c>
      <c r="D29" s="10" t="s">
        <v>158</v>
      </c>
      <c r="E29" s="88" t="s">
        <v>152</v>
      </c>
      <c r="F29" s="152"/>
      <c r="G29" s="287" t="str">
        <f>IF(COUNT(F30:F38) &gt;0, COUNT(F30:F38)/2,"")</f>
        <v/>
      </c>
      <c r="H29" s="174"/>
      <c r="I29" s="293">
        <v>2</v>
      </c>
      <c r="J29" s="48">
        <f>W6</f>
        <v>0</v>
      </c>
      <c r="K29" s="87" t="s">
        <v>154</v>
      </c>
      <c r="L29" s="10" t="s">
        <v>158</v>
      </c>
      <c r="M29" s="88" t="s">
        <v>152</v>
      </c>
      <c r="N29" s="152"/>
      <c r="O29" s="286">
        <v>2</v>
      </c>
      <c r="P29" s="48">
        <f>AC6</f>
        <v>0</v>
      </c>
      <c r="Q29" s="87" t="s">
        <v>154</v>
      </c>
      <c r="R29" s="10" t="s">
        <v>158</v>
      </c>
      <c r="S29" s="88" t="s">
        <v>152</v>
      </c>
      <c r="T29" s="152"/>
      <c r="U29" s="287">
        <f>IF(COUNT(H30:H38,N30:N38,T30:T38) &gt;0, COUNT(H30:H38,N30:N38,T30:T38) /2,"")</f>
        <v>1</v>
      </c>
      <c r="V29" s="174"/>
      <c r="W29" s="293">
        <v>2</v>
      </c>
      <c r="X29" s="48">
        <f>AK6</f>
        <v>0</v>
      </c>
      <c r="Y29" s="87" t="s">
        <v>154</v>
      </c>
      <c r="Z29" s="10" t="s">
        <v>158</v>
      </c>
      <c r="AA29" s="88" t="s">
        <v>152</v>
      </c>
      <c r="AB29" s="94"/>
      <c r="AC29" s="286">
        <v>2</v>
      </c>
      <c r="AD29" s="48">
        <f>AQ6</f>
        <v>0</v>
      </c>
      <c r="AE29" s="87" t="s">
        <v>154</v>
      </c>
      <c r="AF29" s="10" t="s">
        <v>158</v>
      </c>
      <c r="AG29" s="88" t="s">
        <v>152</v>
      </c>
      <c r="AH29" s="94"/>
      <c r="AI29" s="286">
        <v>2</v>
      </c>
      <c r="AJ29" s="48">
        <f>AW6</f>
        <v>0</v>
      </c>
      <c r="AK29" t="str">
        <f t="shared" si="29"/>
        <v xml:space="preserve">CTR </v>
      </c>
      <c r="AL29" s="10" t="s">
        <v>158</v>
      </c>
      <c r="AM29" s="88" t="s">
        <v>152</v>
      </c>
      <c r="AN29" s="94"/>
      <c r="AO29" s="287">
        <f>IF(COUNT(AB30:AB38,AH30:AH38,AN30:AN38) &gt;0, COUNT(AB30:AB38,AH30:AH38,AN30:AN38) /2,"")</f>
        <v>2</v>
      </c>
      <c r="AP29" s="174"/>
      <c r="AQ29" s="293">
        <v>2</v>
      </c>
      <c r="AR29" s="48">
        <f>BE6</f>
        <v>0</v>
      </c>
      <c r="AS29" s="87" t="s">
        <v>154</v>
      </c>
      <c r="AT29" s="10" t="s">
        <v>158</v>
      </c>
      <c r="AU29" s="88" t="s">
        <v>152</v>
      </c>
      <c r="AV29" s="94"/>
      <c r="AW29" s="286">
        <v>2</v>
      </c>
      <c r="AX29" s="48">
        <f>BK6</f>
        <v>0</v>
      </c>
      <c r="AY29" s="87" t="s">
        <v>154</v>
      </c>
      <c r="AZ29" s="10" t="s">
        <v>158</v>
      </c>
      <c r="BA29" s="88" t="s">
        <v>152</v>
      </c>
      <c r="BB29" s="94"/>
      <c r="BC29" s="286">
        <v>2</v>
      </c>
      <c r="BD29" s="48">
        <f>BQ6</f>
        <v>0</v>
      </c>
      <c r="BE29" s="87" t="s">
        <v>154</v>
      </c>
      <c r="BF29" s="10" t="s">
        <v>158</v>
      </c>
      <c r="BG29" s="88" t="s">
        <v>152</v>
      </c>
      <c r="BH29" s="94"/>
      <c r="BI29" s="287" t="str">
        <f>IF(COUNT(AV30:AV38,BB30:BB38,BH30:BH38) &gt;0, COUNT(AV30:AV38,BB30:BB38,BH30:BH38) /2,"")</f>
        <v/>
      </c>
      <c r="BJ29" s="171"/>
      <c r="BK29" s="293">
        <v>2</v>
      </c>
      <c r="BL29" s="48">
        <f>BY6</f>
        <v>0</v>
      </c>
      <c r="BM29" s="87" t="s">
        <v>154</v>
      </c>
      <c r="BN29" s="10" t="s">
        <v>158</v>
      </c>
      <c r="BO29" s="88" t="s">
        <v>152</v>
      </c>
      <c r="BP29" s="94"/>
      <c r="BQ29" s="286">
        <v>2</v>
      </c>
      <c r="BR29" s="48">
        <f>CE6</f>
        <v>0</v>
      </c>
      <c r="BS29" s="87" t="s">
        <v>154</v>
      </c>
      <c r="BT29" s="10" t="s">
        <v>158</v>
      </c>
      <c r="BU29" s="88" t="s">
        <v>152</v>
      </c>
      <c r="BV29" s="94"/>
      <c r="BW29" s="286">
        <v>2</v>
      </c>
      <c r="BX29" s="48">
        <f>CK6</f>
        <v>0</v>
      </c>
      <c r="BY29" s="87" t="s">
        <v>154</v>
      </c>
      <c r="BZ29" s="10" t="s">
        <v>158</v>
      </c>
      <c r="CA29" s="88" t="s">
        <v>152</v>
      </c>
      <c r="CB29" s="94"/>
      <c r="CC29" s="287" t="str">
        <f>IF(COUNT(BP30:BP38,BV30:BV38,CB30:CB38) &gt;0, COUNT(BP30:BP38,BV30:BV38,CB30:CB38) /2,"")</f>
        <v/>
      </c>
      <c r="CD29"/>
      <c r="CE29"/>
      <c r="CF29"/>
      <c r="CG29"/>
      <c r="CH29"/>
      <c r="CI29"/>
      <c r="CJ29" s="138"/>
    </row>
    <row r="30" spans="1:88" ht="27.75" customHeight="1" x14ac:dyDescent="0.45">
      <c r="A30" s="294"/>
      <c r="B30" s="176" t="s">
        <v>162</v>
      </c>
      <c r="C30" s="102" t="s">
        <v>156</v>
      </c>
      <c r="D30" s="89" t="s">
        <v>175</v>
      </c>
      <c r="E30" s="177" t="s">
        <v>174</v>
      </c>
      <c r="F30" s="148"/>
      <c r="G30" s="287"/>
      <c r="H30" s="174"/>
      <c r="I30" s="294"/>
      <c r="J30" s="176" t="s">
        <v>162</v>
      </c>
      <c r="K30" s="90" t="s">
        <v>155</v>
      </c>
      <c r="L30" s="89" t="s">
        <v>175</v>
      </c>
      <c r="M30" s="177" t="s">
        <v>174</v>
      </c>
      <c r="N30" s="148"/>
      <c r="O30" s="284"/>
      <c r="P30" s="176" t="s">
        <v>162</v>
      </c>
      <c r="Q30" s="90" t="s">
        <v>155</v>
      </c>
      <c r="R30" s="89" t="s">
        <v>175</v>
      </c>
      <c r="S30" s="177" t="s">
        <v>174</v>
      </c>
      <c r="T30" s="156"/>
      <c r="U30" s="287"/>
      <c r="V30" s="174"/>
      <c r="W30" s="294"/>
      <c r="X30" s="176" t="s">
        <v>162</v>
      </c>
      <c r="Y30" s="90" t="s">
        <v>155</v>
      </c>
      <c r="Z30" s="89" t="s">
        <v>175</v>
      </c>
      <c r="AA30" s="177" t="s">
        <v>174</v>
      </c>
      <c r="AB30" s="95"/>
      <c r="AC30" s="284"/>
      <c r="AD30" s="176" t="s">
        <v>162</v>
      </c>
      <c r="AE30" s="90" t="s">
        <v>155</v>
      </c>
      <c r="AF30" s="89" t="s">
        <v>175</v>
      </c>
      <c r="AG30" s="177" t="s">
        <v>174</v>
      </c>
      <c r="AH30" s="95"/>
      <c r="AI30" s="284"/>
      <c r="AJ30" s="176" t="s">
        <v>162</v>
      </c>
      <c r="AK30" s="90" t="s">
        <v>155</v>
      </c>
      <c r="AL30" s="89" t="s">
        <v>175</v>
      </c>
      <c r="AM30" s="177" t="s">
        <v>174</v>
      </c>
      <c r="AN30" s="95"/>
      <c r="AO30" s="287"/>
      <c r="AP30" s="174"/>
      <c r="AQ30" s="294"/>
      <c r="AR30" s="176" t="s">
        <v>162</v>
      </c>
      <c r="AS30" s="90" t="s">
        <v>155</v>
      </c>
      <c r="AT30" s="89" t="s">
        <v>175</v>
      </c>
      <c r="AU30" s="177" t="s">
        <v>174</v>
      </c>
      <c r="AV30" s="95"/>
      <c r="AW30" s="284"/>
      <c r="AX30" s="176" t="s">
        <v>162</v>
      </c>
      <c r="AY30" s="90" t="s">
        <v>155</v>
      </c>
      <c r="AZ30" s="89" t="s">
        <v>175</v>
      </c>
      <c r="BA30" s="177" t="s">
        <v>174</v>
      </c>
      <c r="BB30" s="95"/>
      <c r="BC30" s="284"/>
      <c r="BD30" s="176" t="s">
        <v>162</v>
      </c>
      <c r="BE30" s="90" t="s">
        <v>155</v>
      </c>
      <c r="BF30" s="89" t="s">
        <v>175</v>
      </c>
      <c r="BG30" s="177" t="s">
        <v>174</v>
      </c>
      <c r="BH30" s="95"/>
      <c r="BI30" s="287"/>
      <c r="BJ30" s="171"/>
      <c r="BK30" s="294"/>
      <c r="BL30" s="176" t="s">
        <v>162</v>
      </c>
      <c r="BM30" s="90" t="s">
        <v>155</v>
      </c>
      <c r="BN30" s="89" t="s">
        <v>175</v>
      </c>
      <c r="BO30" s="177" t="s">
        <v>174</v>
      </c>
      <c r="BP30" s="95"/>
      <c r="BQ30" s="284"/>
      <c r="BR30" s="176" t="s">
        <v>162</v>
      </c>
      <c r="BS30" s="90" t="s">
        <v>155</v>
      </c>
      <c r="BT30" s="89" t="s">
        <v>175</v>
      </c>
      <c r="BU30" s="177" t="s">
        <v>174</v>
      </c>
      <c r="BV30" s="95"/>
      <c r="BW30" s="284"/>
      <c r="BX30" s="176" t="s">
        <v>162</v>
      </c>
      <c r="BY30" s="90" t="s">
        <v>155</v>
      </c>
      <c r="BZ30" s="89" t="s">
        <v>175</v>
      </c>
      <c r="CA30" s="177" t="s">
        <v>174</v>
      </c>
      <c r="CB30" s="95"/>
      <c r="CC30" s="287"/>
    </row>
    <row r="31" spans="1:88" x14ac:dyDescent="0.45">
      <c r="A31" s="294"/>
      <c r="B31" s="1">
        <v>1</v>
      </c>
      <c r="C31">
        <v>0</v>
      </c>
      <c r="D31" s="37">
        <f t="shared" ref="D31:D38" si="40">(C31+$B$19)*$G$3</f>
        <v>2</v>
      </c>
      <c r="E31" s="30">
        <f t="shared" ref="E31:E38" si="41">MOD($F6+D31,$G$2)</f>
        <v>9</v>
      </c>
      <c r="F31" s="149"/>
      <c r="G31" s="287"/>
      <c r="H31" s="174"/>
      <c r="I31" s="294"/>
      <c r="J31" s="1">
        <v>1</v>
      </c>
      <c r="K31">
        <f>IF(F31="", C31,IF(F31=MIN(F$31:F$38),C31+1,0))</f>
        <v>0</v>
      </c>
      <c r="L31" s="37">
        <f t="shared" ref="L31:L38" si="42">(K31+$B$19)*$G$3</f>
        <v>2</v>
      </c>
      <c r="M31" s="30">
        <f t="shared" ref="M31:M38" si="43">MOD($F6+L31,$G$2)</f>
        <v>9</v>
      </c>
      <c r="N31" s="149"/>
      <c r="O31" s="284"/>
      <c r="P31" s="1">
        <v>1</v>
      </c>
      <c r="Q31">
        <f t="shared" ref="Q31" si="44">IF(N31="", K31,IF(N31=MIN(N$31:N$38),K31+1,0))</f>
        <v>0</v>
      </c>
      <c r="R31" s="37">
        <f t="shared" ref="R31:R38" si="45">(Q31+$B$19)*$G$3</f>
        <v>2</v>
      </c>
      <c r="S31" s="30">
        <f t="shared" ref="S31:S38" si="46">MOD($F6+R31,$G$2)</f>
        <v>9</v>
      </c>
      <c r="T31" s="149"/>
      <c r="U31" s="287"/>
      <c r="V31" s="174"/>
      <c r="W31" s="294"/>
      <c r="X31" s="1">
        <v>1</v>
      </c>
      <c r="Y31">
        <f>IF(T31="", Q31,IF(T31=MIN(T$31:T$38),Q31+1,0))</f>
        <v>0</v>
      </c>
      <c r="Z31" s="37">
        <f t="shared" ref="Z31:Z38" si="47">(Y31+$B$19)*$G$3</f>
        <v>2</v>
      </c>
      <c r="AA31" s="30">
        <f t="shared" ref="AA31:AA38" si="48">MOD($F6+Z31,$G$2)</f>
        <v>9</v>
      </c>
      <c r="AB31" s="98"/>
      <c r="AC31" s="284"/>
      <c r="AD31" s="1">
        <v>1</v>
      </c>
      <c r="AE31">
        <f t="shared" ref="AE31:AE38" si="49">IF(AB31="", Y31,IF(AB31=MIN(AB$31:AB$38),Y31+1,0))</f>
        <v>0</v>
      </c>
      <c r="AF31" s="37">
        <f t="shared" ref="AF31:AF38" si="50">(AE31+$B$19)*$G$3</f>
        <v>2</v>
      </c>
      <c r="AG31" s="30">
        <f t="shared" ref="AG31:AG38" si="51">MOD($F6+AF31,$G$2)</f>
        <v>9</v>
      </c>
      <c r="AH31" s="98"/>
      <c r="AI31" s="284"/>
      <c r="AJ31" s="1">
        <v>1</v>
      </c>
      <c r="AK31">
        <f t="shared" si="29"/>
        <v>0</v>
      </c>
      <c r="AL31" s="37">
        <f t="shared" ref="AL31:AL38" si="52">(AK31+$B$19)*$G$3</f>
        <v>2</v>
      </c>
      <c r="AM31" s="30">
        <f t="shared" ref="AM31:AM38" si="53">MOD($F6+AL31,$G$2)</f>
        <v>9</v>
      </c>
      <c r="AN31" s="98"/>
      <c r="AO31" s="287"/>
      <c r="AP31" s="174"/>
      <c r="AQ31" s="294"/>
      <c r="AR31" s="1">
        <v>1</v>
      </c>
      <c r="AS31">
        <f t="shared" ref="AS31:AS38" si="54">IF(AN31="", AK31,IF(AN31=MIN(AN$31:AN$38),AK31+1,0))</f>
        <v>0</v>
      </c>
      <c r="AT31" s="37">
        <f t="shared" ref="AT31:AT38" si="55">(AS31+$B$19)*$G$3</f>
        <v>2</v>
      </c>
      <c r="AU31" s="30">
        <f t="shared" ref="AU31:AU38" si="56">MOD($F6+AT31,$G$2)</f>
        <v>9</v>
      </c>
      <c r="AV31" s="98"/>
      <c r="AW31" s="284"/>
      <c r="AX31" s="1">
        <v>1</v>
      </c>
      <c r="AY31">
        <f>IF(AV31="", AS31,IF(AV31=MIN(AV$31:AV$38),AS31+1,0))</f>
        <v>0</v>
      </c>
      <c r="AZ31" s="37">
        <f t="shared" ref="AZ31:AZ38" si="57">(AY31+$B$19)*$G$3</f>
        <v>2</v>
      </c>
      <c r="BA31" s="30">
        <f t="shared" ref="BA31:BA38" si="58">MOD($F6+AZ31,$G$2)</f>
        <v>9</v>
      </c>
      <c r="BB31" s="98"/>
      <c r="BC31" s="284"/>
      <c r="BD31" s="1">
        <v>1</v>
      </c>
      <c r="BE31">
        <f>IF(BB31="", AY31,IF(BB31=MIN(BB$31:BB$38),AY31+1,0))</f>
        <v>0</v>
      </c>
      <c r="BF31" s="37">
        <f t="shared" ref="BF31:BF38" si="59">(BE31+$B$19)*$G$3</f>
        <v>2</v>
      </c>
      <c r="BG31" s="30">
        <f t="shared" ref="BG31:BG38" si="60">MOD($F6+BF31,$G$2)</f>
        <v>9</v>
      </c>
      <c r="BH31" s="98"/>
      <c r="BI31" s="287"/>
      <c r="BJ31" s="171"/>
      <c r="BK31" s="294"/>
      <c r="BL31" s="1">
        <v>1</v>
      </c>
      <c r="BM31">
        <f>IF(BH31="", BE31,IF(BH31=MIN(BH$31:BH$38),BE31+1,0))</f>
        <v>0</v>
      </c>
      <c r="BN31" s="37">
        <f t="shared" ref="BN31:BN38" si="61">(BM31+$B$19)*$G$3</f>
        <v>2</v>
      </c>
      <c r="BO31" s="30">
        <f t="shared" ref="BO31:BO38" si="62">MOD($F6+BN31,$G$2)</f>
        <v>9</v>
      </c>
      <c r="BP31" s="98"/>
      <c r="BQ31" s="284"/>
      <c r="BR31" s="1">
        <v>1</v>
      </c>
      <c r="BS31">
        <f>IF(BP31="", BM31,IF(BP31=MIN(BP$31:BP$38),BM31+1,0))</f>
        <v>0</v>
      </c>
      <c r="BT31" s="37">
        <f t="shared" ref="BT31:BT38" si="63">(BS31+$B$19)*$G$3</f>
        <v>2</v>
      </c>
      <c r="BU31" s="30">
        <f t="shared" ref="BU31:BU38" si="64">MOD($F6+BT31,$G$2)</f>
        <v>9</v>
      </c>
      <c r="BV31" s="98"/>
      <c r="BW31" s="284"/>
      <c r="BX31" s="1">
        <v>1</v>
      </c>
      <c r="BY31">
        <f>IF(BV31="", BS31,IF(BV31=MIN(BV$31:BV$38),BS31+1,0))</f>
        <v>0</v>
      </c>
      <c r="BZ31" s="37">
        <f t="shared" ref="BZ31:BZ38" si="65">(BY31+$B$19)*$G$3</f>
        <v>2</v>
      </c>
      <c r="CA31" s="30">
        <f t="shared" ref="CA31:CA38" si="66">MOD($F6+BZ31,$G$2)</f>
        <v>9</v>
      </c>
      <c r="CB31" s="98"/>
      <c r="CC31" s="287"/>
    </row>
    <row r="32" spans="1:88" s="181" customFormat="1" x14ac:dyDescent="0.45">
      <c r="A32" s="294"/>
      <c r="B32" s="180">
        <v>2</v>
      </c>
      <c r="C32" s="181">
        <f t="shared" ref="C32:C38" si="67">IF(B32=MIN(B$21:B$28),1,0)</f>
        <v>0</v>
      </c>
      <c r="D32" s="37">
        <f t="shared" si="40"/>
        <v>2</v>
      </c>
      <c r="E32" s="30">
        <f t="shared" si="41"/>
        <v>5</v>
      </c>
      <c r="F32" s="188"/>
      <c r="G32" s="287"/>
      <c r="H32" s="184"/>
      <c r="I32" s="294"/>
      <c r="J32" s="180">
        <v>2</v>
      </c>
      <c r="K32" s="181">
        <f t="shared" ref="K32:K38" si="68">IF(F32="", C32,IF(F32=MIN(F$31:F$38),C32+1,0))</f>
        <v>0</v>
      </c>
      <c r="L32" s="37">
        <f t="shared" si="42"/>
        <v>2</v>
      </c>
      <c r="M32" s="30">
        <f t="shared" si="43"/>
        <v>5</v>
      </c>
      <c r="N32" s="188"/>
      <c r="O32" s="284"/>
      <c r="P32" s="180">
        <v>2</v>
      </c>
      <c r="Q32" s="181">
        <f>IF(N32="", K32,IF(N32=MIN(N$31:N$38),K32+1,0))</f>
        <v>0</v>
      </c>
      <c r="R32" s="37">
        <f t="shared" si="45"/>
        <v>2</v>
      </c>
      <c r="S32" s="30">
        <f t="shared" si="46"/>
        <v>5</v>
      </c>
      <c r="T32" s="188">
        <v>15</v>
      </c>
      <c r="U32" s="287"/>
      <c r="V32" s="184"/>
      <c r="W32" s="294"/>
      <c r="X32" s="180">
        <v>2</v>
      </c>
      <c r="Y32" s="181">
        <f t="shared" ref="Y32:Y38" si="69">IF(T32="", Q32,IF(T32=MIN(T$31:T$38),Q32+1,0))</f>
        <v>1</v>
      </c>
      <c r="Z32" s="37">
        <f t="shared" si="47"/>
        <v>4</v>
      </c>
      <c r="AA32" s="30">
        <f t="shared" si="48"/>
        <v>7</v>
      </c>
      <c r="AB32" s="189">
        <v>3</v>
      </c>
      <c r="AC32" s="284"/>
      <c r="AD32" s="180">
        <v>2</v>
      </c>
      <c r="AE32" s="181">
        <f>IF(AB32="", Y32,IF(AB32=MIN(AB$31:AB$38),Y32+1,0))</f>
        <v>2</v>
      </c>
      <c r="AF32" s="37">
        <f t="shared" si="50"/>
        <v>6</v>
      </c>
      <c r="AG32" s="30">
        <f t="shared" si="51"/>
        <v>9</v>
      </c>
      <c r="AH32" s="189">
        <v>15</v>
      </c>
      <c r="AI32" s="284"/>
      <c r="AJ32" s="180">
        <v>2</v>
      </c>
      <c r="AK32" s="181">
        <f t="shared" si="29"/>
        <v>0</v>
      </c>
      <c r="AL32" s="37">
        <f t="shared" si="52"/>
        <v>2</v>
      </c>
      <c r="AM32" s="30">
        <f t="shared" si="53"/>
        <v>5</v>
      </c>
      <c r="AN32" s="189"/>
      <c r="AO32" s="287"/>
      <c r="AP32" s="184"/>
      <c r="AQ32" s="294"/>
      <c r="AR32" s="180">
        <v>2</v>
      </c>
      <c r="AS32" s="181">
        <f t="shared" si="54"/>
        <v>0</v>
      </c>
      <c r="AT32" s="37">
        <f t="shared" si="55"/>
        <v>2</v>
      </c>
      <c r="AU32" s="30">
        <f t="shared" si="56"/>
        <v>5</v>
      </c>
      <c r="AV32" s="189"/>
      <c r="AW32" s="284"/>
      <c r="AX32" s="180">
        <v>2</v>
      </c>
      <c r="AY32" s="181">
        <f>IF(AV32="", AS32,IF(AV32=MIN(AV$31:AV$38),AS32+1,0))</f>
        <v>0</v>
      </c>
      <c r="AZ32" s="37">
        <f t="shared" si="57"/>
        <v>2</v>
      </c>
      <c r="BA32" s="30">
        <f t="shared" si="58"/>
        <v>5</v>
      </c>
      <c r="BB32" s="189"/>
      <c r="BC32" s="284"/>
      <c r="BD32" s="180">
        <v>2</v>
      </c>
      <c r="BE32" s="181">
        <f>IF(BB32="", AY32,IF(BB32=MIN(BB$31:BB$38),AY32+1,0))</f>
        <v>0</v>
      </c>
      <c r="BF32" s="37">
        <f t="shared" si="59"/>
        <v>2</v>
      </c>
      <c r="BG32" s="30">
        <f t="shared" si="60"/>
        <v>5</v>
      </c>
      <c r="BH32" s="189"/>
      <c r="BI32" s="287"/>
      <c r="BJ32" s="187"/>
      <c r="BK32" s="294"/>
      <c r="BL32" s="180">
        <v>2</v>
      </c>
      <c r="BM32" s="181">
        <f t="shared" ref="BM32:BM38" si="70">IF(BH32="", BE32,IF(BH32=MIN(BH$31:BH$38),BE32+1,0))</f>
        <v>0</v>
      </c>
      <c r="BN32" s="37">
        <f t="shared" si="61"/>
        <v>2</v>
      </c>
      <c r="BO32" s="30">
        <f t="shared" si="62"/>
        <v>5</v>
      </c>
      <c r="BP32" s="189"/>
      <c r="BQ32" s="284"/>
      <c r="BR32" s="180">
        <v>2</v>
      </c>
      <c r="BS32" s="181">
        <f>IF(BP32="", BM32,IF(BP32=MIN(BP$31:BP$38),BM32+1,0))</f>
        <v>0</v>
      </c>
      <c r="BT32" s="37">
        <f t="shared" si="63"/>
        <v>2</v>
      </c>
      <c r="BU32" s="30">
        <f t="shared" si="64"/>
        <v>5</v>
      </c>
      <c r="BV32" s="189"/>
      <c r="BW32" s="284"/>
      <c r="BX32" s="180">
        <v>2</v>
      </c>
      <c r="BY32" s="181">
        <f>IF(BV32="", BS32,IF(BV32=MIN(BV$31:BV$38),BS32+1,0))</f>
        <v>0</v>
      </c>
      <c r="BZ32" s="37">
        <f t="shared" si="65"/>
        <v>2</v>
      </c>
      <c r="CA32" s="30">
        <f t="shared" si="66"/>
        <v>5</v>
      </c>
      <c r="CB32" s="189"/>
      <c r="CC32" s="287"/>
    </row>
    <row r="33" spans="1:88" s="71" customFormat="1" x14ac:dyDescent="0.45">
      <c r="A33" s="294"/>
      <c r="B33" s="1">
        <v>3</v>
      </c>
      <c r="C33">
        <f t="shared" si="67"/>
        <v>0</v>
      </c>
      <c r="D33" s="37">
        <f t="shared" si="40"/>
        <v>2</v>
      </c>
      <c r="E33" s="30">
        <f t="shared" si="41"/>
        <v>0</v>
      </c>
      <c r="F33" s="150"/>
      <c r="G33" s="287"/>
      <c r="H33" s="174"/>
      <c r="I33" s="294"/>
      <c r="J33" s="1">
        <v>3</v>
      </c>
      <c r="K33">
        <f t="shared" si="68"/>
        <v>0</v>
      </c>
      <c r="L33" s="37">
        <f t="shared" si="42"/>
        <v>2</v>
      </c>
      <c r="M33" s="30">
        <f t="shared" si="43"/>
        <v>0</v>
      </c>
      <c r="N33" s="150"/>
      <c r="O33" s="284"/>
      <c r="P33" s="1">
        <v>3</v>
      </c>
      <c r="Q33">
        <f t="shared" ref="Q33:Q38" si="71">IF(N33="", K33,IF(N33=MIN(N$31:N$38),K33+1,0))</f>
        <v>0</v>
      </c>
      <c r="R33" s="37">
        <f t="shared" si="45"/>
        <v>2</v>
      </c>
      <c r="S33" s="30">
        <f t="shared" si="46"/>
        <v>0</v>
      </c>
      <c r="T33" s="150">
        <v>16</v>
      </c>
      <c r="U33" s="287"/>
      <c r="V33" s="174"/>
      <c r="W33" s="294"/>
      <c r="X33" s="1">
        <v>3</v>
      </c>
      <c r="Y33">
        <f t="shared" si="69"/>
        <v>0</v>
      </c>
      <c r="Z33" s="37">
        <f t="shared" si="47"/>
        <v>2</v>
      </c>
      <c r="AA33" s="30">
        <f t="shared" si="48"/>
        <v>0</v>
      </c>
      <c r="AB33" s="96"/>
      <c r="AC33" s="284"/>
      <c r="AD33" s="1">
        <v>3</v>
      </c>
      <c r="AE33">
        <f t="shared" si="49"/>
        <v>0</v>
      </c>
      <c r="AF33" s="37">
        <f t="shared" si="50"/>
        <v>2</v>
      </c>
      <c r="AG33" s="30">
        <f t="shared" si="51"/>
        <v>0</v>
      </c>
      <c r="AH33" s="96"/>
      <c r="AI33" s="284"/>
      <c r="AJ33" s="1">
        <v>3</v>
      </c>
      <c r="AK33">
        <f t="shared" si="29"/>
        <v>0</v>
      </c>
      <c r="AL33" s="37">
        <f t="shared" si="52"/>
        <v>2</v>
      </c>
      <c r="AM33" s="30">
        <f t="shared" si="53"/>
        <v>0</v>
      </c>
      <c r="AN33" s="96"/>
      <c r="AO33" s="287"/>
      <c r="AP33" s="174"/>
      <c r="AQ33" s="294"/>
      <c r="AR33" s="1">
        <v>3</v>
      </c>
      <c r="AS33">
        <f t="shared" si="54"/>
        <v>0</v>
      </c>
      <c r="AT33" s="37">
        <f t="shared" si="55"/>
        <v>2</v>
      </c>
      <c r="AU33" s="30">
        <f t="shared" si="56"/>
        <v>0</v>
      </c>
      <c r="AV33" s="96"/>
      <c r="AW33" s="284"/>
      <c r="AX33" s="1">
        <v>3</v>
      </c>
      <c r="AY33">
        <f t="shared" ref="AY33:AY38" si="72">IF(AV33="", AS33,IF(AV33=MIN(AV$31:AV$38),AS33+1,0))</f>
        <v>0</v>
      </c>
      <c r="AZ33" s="37">
        <f t="shared" si="57"/>
        <v>2</v>
      </c>
      <c r="BA33" s="30">
        <f t="shared" si="58"/>
        <v>0</v>
      </c>
      <c r="BB33" s="96"/>
      <c r="BC33" s="284"/>
      <c r="BD33" s="1">
        <v>3</v>
      </c>
      <c r="BE33">
        <f t="shared" ref="BE33:BE38" si="73">IF(BB33="", AY33,IF(BB33=MIN(BB$31:BB$38),AY33+1,0))</f>
        <v>0</v>
      </c>
      <c r="BF33" s="37">
        <f t="shared" si="59"/>
        <v>2</v>
      </c>
      <c r="BG33" s="30">
        <f t="shared" si="60"/>
        <v>0</v>
      </c>
      <c r="BH33" s="96"/>
      <c r="BI33" s="287"/>
      <c r="BJ33" s="171"/>
      <c r="BK33" s="294"/>
      <c r="BL33" s="1">
        <v>3</v>
      </c>
      <c r="BM33">
        <f t="shared" si="70"/>
        <v>0</v>
      </c>
      <c r="BN33" s="37">
        <f t="shared" si="61"/>
        <v>2</v>
      </c>
      <c r="BO33" s="30">
        <f t="shared" si="62"/>
        <v>0</v>
      </c>
      <c r="BP33" s="96"/>
      <c r="BQ33" s="284"/>
      <c r="BR33" s="1">
        <v>3</v>
      </c>
      <c r="BS33">
        <f t="shared" ref="BS33:BS38" si="74">IF(BP33="", BM33,IF(BP33=MIN(BP$31:BP$38),BM33+1,0))</f>
        <v>0</v>
      </c>
      <c r="BT33" s="37">
        <f t="shared" si="63"/>
        <v>2</v>
      </c>
      <c r="BU33" s="30">
        <f t="shared" si="64"/>
        <v>0</v>
      </c>
      <c r="BV33" s="96"/>
      <c r="BW33" s="284"/>
      <c r="BX33" s="1">
        <v>3</v>
      </c>
      <c r="BY33">
        <f t="shared" ref="BY33:BY38" si="75">IF(BV33="", BS33,IF(BV33=MIN(BV$31:BV$38),BS33+1,0))</f>
        <v>0</v>
      </c>
      <c r="BZ33" s="37">
        <f t="shared" si="65"/>
        <v>2</v>
      </c>
      <c r="CA33" s="30">
        <f t="shared" si="66"/>
        <v>0</v>
      </c>
      <c r="CB33" s="96"/>
      <c r="CC33" s="287"/>
      <c r="CD33"/>
      <c r="CE33"/>
      <c r="CF33"/>
      <c r="CG33"/>
      <c r="CH33"/>
      <c r="CI33"/>
      <c r="CJ33"/>
    </row>
    <row r="34" spans="1:88" x14ac:dyDescent="0.45">
      <c r="A34" s="294"/>
      <c r="B34" s="1">
        <v>4</v>
      </c>
      <c r="C34">
        <f t="shared" si="67"/>
        <v>0</v>
      </c>
      <c r="D34" s="37">
        <f t="shared" si="40"/>
        <v>2</v>
      </c>
      <c r="E34" s="30">
        <f t="shared" si="41"/>
        <v>12</v>
      </c>
      <c r="F34" s="150"/>
      <c r="G34" s="287"/>
      <c r="H34" s="174"/>
      <c r="I34" s="294"/>
      <c r="J34" s="1">
        <v>4</v>
      </c>
      <c r="K34">
        <f t="shared" si="68"/>
        <v>0</v>
      </c>
      <c r="L34" s="37">
        <f t="shared" si="42"/>
        <v>2</v>
      </c>
      <c r="M34" s="30">
        <f t="shared" si="43"/>
        <v>12</v>
      </c>
      <c r="N34" s="150"/>
      <c r="O34" s="284"/>
      <c r="P34" s="1">
        <v>4</v>
      </c>
      <c r="Q34">
        <f t="shared" si="71"/>
        <v>0</v>
      </c>
      <c r="R34" s="37">
        <f t="shared" si="45"/>
        <v>2</v>
      </c>
      <c r="S34" s="30">
        <f t="shared" si="46"/>
        <v>12</v>
      </c>
      <c r="T34" s="150"/>
      <c r="U34" s="287"/>
      <c r="V34" s="174"/>
      <c r="W34" s="294"/>
      <c r="X34" s="1">
        <v>4</v>
      </c>
      <c r="Y34">
        <f t="shared" si="69"/>
        <v>0</v>
      </c>
      <c r="Z34" s="37">
        <f t="shared" si="47"/>
        <v>2</v>
      </c>
      <c r="AA34" s="30">
        <f t="shared" si="48"/>
        <v>12</v>
      </c>
      <c r="AB34" s="96"/>
      <c r="AC34" s="284"/>
      <c r="AD34" s="1">
        <v>4</v>
      </c>
      <c r="AE34">
        <f t="shared" si="49"/>
        <v>0</v>
      </c>
      <c r="AF34" s="37">
        <f t="shared" si="50"/>
        <v>2</v>
      </c>
      <c r="AG34" s="30">
        <f t="shared" si="51"/>
        <v>12</v>
      </c>
      <c r="AH34" s="96"/>
      <c r="AI34" s="284"/>
      <c r="AJ34" s="1">
        <v>4</v>
      </c>
      <c r="AK34">
        <f t="shared" si="29"/>
        <v>0</v>
      </c>
      <c r="AL34" s="37">
        <f t="shared" si="52"/>
        <v>2</v>
      </c>
      <c r="AM34" s="30">
        <f t="shared" si="53"/>
        <v>12</v>
      </c>
      <c r="AN34" s="96"/>
      <c r="AO34" s="287"/>
      <c r="AP34" s="174"/>
      <c r="AQ34" s="294"/>
      <c r="AR34" s="1">
        <v>4</v>
      </c>
      <c r="AS34">
        <f t="shared" si="54"/>
        <v>0</v>
      </c>
      <c r="AT34" s="37">
        <f t="shared" si="55"/>
        <v>2</v>
      </c>
      <c r="AU34" s="30">
        <f t="shared" si="56"/>
        <v>12</v>
      </c>
      <c r="AV34" s="96"/>
      <c r="AW34" s="284"/>
      <c r="AX34" s="1">
        <v>4</v>
      </c>
      <c r="AY34">
        <f t="shared" si="72"/>
        <v>0</v>
      </c>
      <c r="AZ34" s="37">
        <f t="shared" si="57"/>
        <v>2</v>
      </c>
      <c r="BA34" s="30">
        <f t="shared" si="58"/>
        <v>12</v>
      </c>
      <c r="BB34" s="96"/>
      <c r="BC34" s="284"/>
      <c r="BD34" s="1">
        <v>4</v>
      </c>
      <c r="BE34">
        <f t="shared" si="73"/>
        <v>0</v>
      </c>
      <c r="BF34" s="37">
        <f t="shared" si="59"/>
        <v>2</v>
      </c>
      <c r="BG34" s="30">
        <f t="shared" si="60"/>
        <v>12</v>
      </c>
      <c r="BH34" s="96"/>
      <c r="BI34" s="287"/>
      <c r="BJ34" s="171"/>
      <c r="BK34" s="294"/>
      <c r="BL34" s="1">
        <v>4</v>
      </c>
      <c r="BM34">
        <f t="shared" si="70"/>
        <v>0</v>
      </c>
      <c r="BN34" s="37">
        <f t="shared" si="61"/>
        <v>2</v>
      </c>
      <c r="BO34" s="30">
        <f t="shared" si="62"/>
        <v>12</v>
      </c>
      <c r="BP34" s="96"/>
      <c r="BQ34" s="284"/>
      <c r="BR34" s="1">
        <v>4</v>
      </c>
      <c r="BS34">
        <f t="shared" si="74"/>
        <v>0</v>
      </c>
      <c r="BT34" s="37">
        <f t="shared" si="63"/>
        <v>2</v>
      </c>
      <c r="BU34" s="30">
        <f t="shared" si="64"/>
        <v>12</v>
      </c>
      <c r="BV34" s="96"/>
      <c r="BW34" s="284"/>
      <c r="BX34" s="1">
        <v>4</v>
      </c>
      <c r="BY34">
        <f t="shared" si="75"/>
        <v>0</v>
      </c>
      <c r="BZ34" s="37">
        <f t="shared" si="65"/>
        <v>2</v>
      </c>
      <c r="CA34" s="30">
        <f t="shared" si="66"/>
        <v>12</v>
      </c>
      <c r="CB34" s="96"/>
      <c r="CC34" s="287"/>
    </row>
    <row r="35" spans="1:88" x14ac:dyDescent="0.45">
      <c r="A35" s="294"/>
      <c r="B35" s="1">
        <v>5</v>
      </c>
      <c r="C35">
        <f t="shared" si="67"/>
        <v>0</v>
      </c>
      <c r="D35" s="37">
        <f t="shared" si="40"/>
        <v>2</v>
      </c>
      <c r="E35" s="30">
        <f t="shared" si="41"/>
        <v>6</v>
      </c>
      <c r="F35" s="150"/>
      <c r="G35" s="287"/>
      <c r="H35" s="174"/>
      <c r="I35" s="294"/>
      <c r="J35" s="1">
        <v>5</v>
      </c>
      <c r="K35">
        <f t="shared" si="68"/>
        <v>0</v>
      </c>
      <c r="L35" s="37">
        <f t="shared" si="42"/>
        <v>2</v>
      </c>
      <c r="M35" s="30">
        <f t="shared" si="43"/>
        <v>6</v>
      </c>
      <c r="N35" s="150"/>
      <c r="O35" s="284"/>
      <c r="P35" s="1">
        <v>5</v>
      </c>
      <c r="Q35">
        <f t="shared" si="71"/>
        <v>0</v>
      </c>
      <c r="R35" s="37">
        <f t="shared" si="45"/>
        <v>2</v>
      </c>
      <c r="S35" s="30">
        <f t="shared" si="46"/>
        <v>6</v>
      </c>
      <c r="T35" s="150"/>
      <c r="U35" s="287"/>
      <c r="V35" s="174"/>
      <c r="W35" s="294"/>
      <c r="X35" s="1">
        <v>5</v>
      </c>
      <c r="Y35">
        <f t="shared" si="69"/>
        <v>0</v>
      </c>
      <c r="Z35" s="37">
        <f t="shared" si="47"/>
        <v>2</v>
      </c>
      <c r="AA35" s="30">
        <f t="shared" si="48"/>
        <v>6</v>
      </c>
      <c r="AB35" s="96"/>
      <c r="AC35" s="284"/>
      <c r="AD35" s="1">
        <v>5</v>
      </c>
      <c r="AE35">
        <f t="shared" si="49"/>
        <v>0</v>
      </c>
      <c r="AF35" s="37">
        <f t="shared" si="50"/>
        <v>2</v>
      </c>
      <c r="AG35" s="30">
        <f t="shared" si="51"/>
        <v>6</v>
      </c>
      <c r="AH35" s="96"/>
      <c r="AI35" s="284"/>
      <c r="AJ35" s="1">
        <v>5</v>
      </c>
      <c r="AK35">
        <f t="shared" si="29"/>
        <v>0</v>
      </c>
      <c r="AL35" s="37">
        <f t="shared" si="52"/>
        <v>2</v>
      </c>
      <c r="AM35" s="30">
        <f t="shared" si="53"/>
        <v>6</v>
      </c>
      <c r="AN35" s="96"/>
      <c r="AO35" s="287"/>
      <c r="AP35" s="174"/>
      <c r="AQ35" s="294"/>
      <c r="AR35" s="1">
        <v>5</v>
      </c>
      <c r="AS35">
        <f t="shared" si="54"/>
        <v>0</v>
      </c>
      <c r="AT35" s="37">
        <f t="shared" si="55"/>
        <v>2</v>
      </c>
      <c r="AU35" s="30">
        <f t="shared" si="56"/>
        <v>6</v>
      </c>
      <c r="AV35" s="96"/>
      <c r="AW35" s="284"/>
      <c r="AX35" s="1">
        <v>5</v>
      </c>
      <c r="AY35">
        <f t="shared" si="72"/>
        <v>0</v>
      </c>
      <c r="AZ35" s="37">
        <f t="shared" si="57"/>
        <v>2</v>
      </c>
      <c r="BA35" s="30">
        <f t="shared" si="58"/>
        <v>6</v>
      </c>
      <c r="BB35" s="96"/>
      <c r="BC35" s="284"/>
      <c r="BD35" s="1">
        <v>5</v>
      </c>
      <c r="BE35">
        <f t="shared" si="73"/>
        <v>0</v>
      </c>
      <c r="BF35" s="37">
        <f t="shared" si="59"/>
        <v>2</v>
      </c>
      <c r="BG35" s="30">
        <f t="shared" si="60"/>
        <v>6</v>
      </c>
      <c r="BH35" s="96"/>
      <c r="BI35" s="287"/>
      <c r="BJ35" s="171"/>
      <c r="BK35" s="294"/>
      <c r="BL35" s="1">
        <v>5</v>
      </c>
      <c r="BM35">
        <f t="shared" si="70"/>
        <v>0</v>
      </c>
      <c r="BN35" s="37">
        <f t="shared" si="61"/>
        <v>2</v>
      </c>
      <c r="BO35" s="30">
        <f t="shared" si="62"/>
        <v>6</v>
      </c>
      <c r="BP35" s="96"/>
      <c r="BQ35" s="284"/>
      <c r="BR35" s="1">
        <v>5</v>
      </c>
      <c r="BS35">
        <f t="shared" si="74"/>
        <v>0</v>
      </c>
      <c r="BT35" s="37">
        <f t="shared" si="63"/>
        <v>2</v>
      </c>
      <c r="BU35" s="30">
        <f t="shared" si="64"/>
        <v>6</v>
      </c>
      <c r="BV35" s="96"/>
      <c r="BW35" s="284"/>
      <c r="BX35" s="1">
        <v>5</v>
      </c>
      <c r="BY35">
        <f t="shared" si="75"/>
        <v>0</v>
      </c>
      <c r="BZ35" s="37">
        <f t="shared" si="65"/>
        <v>2</v>
      </c>
      <c r="CA35" s="30">
        <f t="shared" si="66"/>
        <v>6</v>
      </c>
      <c r="CB35" s="96"/>
      <c r="CC35" s="287"/>
    </row>
    <row r="36" spans="1:88" x14ac:dyDescent="0.45">
      <c r="A36" s="294"/>
      <c r="B36" s="1">
        <v>6</v>
      </c>
      <c r="C36">
        <f t="shared" si="67"/>
        <v>0</v>
      </c>
      <c r="D36" s="37">
        <f t="shared" si="40"/>
        <v>2</v>
      </c>
      <c r="E36" s="30">
        <f t="shared" si="41"/>
        <v>2</v>
      </c>
      <c r="F36" s="150"/>
      <c r="G36" s="287"/>
      <c r="H36" s="174"/>
      <c r="I36" s="294"/>
      <c r="J36" s="1">
        <v>6</v>
      </c>
      <c r="K36">
        <f t="shared" si="68"/>
        <v>0</v>
      </c>
      <c r="L36" s="37">
        <f t="shared" si="42"/>
        <v>2</v>
      </c>
      <c r="M36" s="30">
        <f t="shared" si="43"/>
        <v>2</v>
      </c>
      <c r="N36" s="150"/>
      <c r="O36" s="284"/>
      <c r="P36" s="1">
        <v>6</v>
      </c>
      <c r="Q36">
        <f t="shared" si="71"/>
        <v>0</v>
      </c>
      <c r="R36" s="37">
        <f t="shared" si="45"/>
        <v>2</v>
      </c>
      <c r="S36" s="30">
        <f t="shared" si="46"/>
        <v>2</v>
      </c>
      <c r="T36" s="150"/>
      <c r="U36" s="287"/>
      <c r="V36" s="174"/>
      <c r="W36" s="294"/>
      <c r="X36" s="1">
        <v>6</v>
      </c>
      <c r="Y36">
        <f t="shared" si="69"/>
        <v>0</v>
      </c>
      <c r="Z36" s="37">
        <f t="shared" si="47"/>
        <v>2</v>
      </c>
      <c r="AA36" s="30">
        <f t="shared" si="48"/>
        <v>2</v>
      </c>
      <c r="AB36" s="96"/>
      <c r="AC36" s="284"/>
      <c r="AD36" s="1">
        <v>6</v>
      </c>
      <c r="AE36">
        <f t="shared" si="49"/>
        <v>0</v>
      </c>
      <c r="AF36" s="37">
        <f t="shared" si="50"/>
        <v>2</v>
      </c>
      <c r="AG36" s="30">
        <f t="shared" si="51"/>
        <v>2</v>
      </c>
      <c r="AH36" s="96"/>
      <c r="AI36" s="284"/>
      <c r="AJ36" s="1">
        <v>6</v>
      </c>
      <c r="AK36">
        <f t="shared" si="29"/>
        <v>0</v>
      </c>
      <c r="AL36" s="37">
        <f t="shared" si="52"/>
        <v>2</v>
      </c>
      <c r="AM36" s="30">
        <f t="shared" si="53"/>
        <v>2</v>
      </c>
      <c r="AN36" s="96"/>
      <c r="AO36" s="287"/>
      <c r="AP36" s="174"/>
      <c r="AQ36" s="294"/>
      <c r="AR36" s="1">
        <v>6</v>
      </c>
      <c r="AS36">
        <f t="shared" si="54"/>
        <v>0</v>
      </c>
      <c r="AT36" s="37">
        <f t="shared" si="55"/>
        <v>2</v>
      </c>
      <c r="AU36" s="30">
        <f t="shared" si="56"/>
        <v>2</v>
      </c>
      <c r="AV36" s="96"/>
      <c r="AW36" s="284"/>
      <c r="AX36" s="1">
        <v>6</v>
      </c>
      <c r="AY36">
        <f t="shared" si="72"/>
        <v>0</v>
      </c>
      <c r="AZ36" s="37">
        <f t="shared" si="57"/>
        <v>2</v>
      </c>
      <c r="BA36" s="30">
        <f t="shared" si="58"/>
        <v>2</v>
      </c>
      <c r="BB36" s="96"/>
      <c r="BC36" s="284"/>
      <c r="BD36" s="1">
        <v>6</v>
      </c>
      <c r="BE36">
        <f t="shared" si="73"/>
        <v>0</v>
      </c>
      <c r="BF36" s="37">
        <f t="shared" si="59"/>
        <v>2</v>
      </c>
      <c r="BG36" s="30">
        <f t="shared" si="60"/>
        <v>2</v>
      </c>
      <c r="BH36" s="96"/>
      <c r="BI36" s="287"/>
      <c r="BJ36" s="171"/>
      <c r="BK36" s="294"/>
      <c r="BL36" s="1">
        <v>6</v>
      </c>
      <c r="BM36">
        <f t="shared" si="70"/>
        <v>0</v>
      </c>
      <c r="BN36" s="37">
        <f t="shared" si="61"/>
        <v>2</v>
      </c>
      <c r="BO36" s="30">
        <f t="shared" si="62"/>
        <v>2</v>
      </c>
      <c r="BP36" s="96"/>
      <c r="BQ36" s="284"/>
      <c r="BR36" s="1">
        <v>6</v>
      </c>
      <c r="BS36">
        <f t="shared" si="74"/>
        <v>0</v>
      </c>
      <c r="BT36" s="37">
        <f t="shared" si="63"/>
        <v>2</v>
      </c>
      <c r="BU36" s="30">
        <f t="shared" si="64"/>
        <v>2</v>
      </c>
      <c r="BV36" s="96"/>
      <c r="BW36" s="284"/>
      <c r="BX36" s="1">
        <v>6</v>
      </c>
      <c r="BY36">
        <f t="shared" si="75"/>
        <v>0</v>
      </c>
      <c r="BZ36" s="37">
        <f t="shared" si="65"/>
        <v>2</v>
      </c>
      <c r="CA36" s="30">
        <f t="shared" si="66"/>
        <v>2</v>
      </c>
      <c r="CB36" s="96"/>
      <c r="CC36" s="287"/>
    </row>
    <row r="37" spans="1:88" x14ac:dyDescent="0.45">
      <c r="A37" s="294"/>
      <c r="B37" s="1">
        <v>7</v>
      </c>
      <c r="C37">
        <f t="shared" si="67"/>
        <v>0</v>
      </c>
      <c r="D37" s="37">
        <f t="shared" si="40"/>
        <v>2</v>
      </c>
      <c r="E37" s="30">
        <f t="shared" si="41"/>
        <v>15</v>
      </c>
      <c r="F37" s="150"/>
      <c r="G37" s="287"/>
      <c r="H37" s="174"/>
      <c r="I37" s="294"/>
      <c r="J37" s="1">
        <v>7</v>
      </c>
      <c r="K37">
        <f t="shared" si="68"/>
        <v>0</v>
      </c>
      <c r="L37" s="37">
        <f t="shared" si="42"/>
        <v>2</v>
      </c>
      <c r="M37" s="30">
        <f t="shared" si="43"/>
        <v>15</v>
      </c>
      <c r="N37" s="150"/>
      <c r="O37" s="284"/>
      <c r="P37" s="1">
        <v>7</v>
      </c>
      <c r="Q37">
        <f t="shared" si="71"/>
        <v>0</v>
      </c>
      <c r="R37" s="37">
        <f t="shared" si="45"/>
        <v>2</v>
      </c>
      <c r="S37" s="30">
        <f t="shared" si="46"/>
        <v>15</v>
      </c>
      <c r="T37" s="150"/>
      <c r="U37" s="287"/>
      <c r="V37" s="174"/>
      <c r="W37" s="294"/>
      <c r="X37" s="1">
        <v>7</v>
      </c>
      <c r="Y37">
        <f t="shared" si="69"/>
        <v>0</v>
      </c>
      <c r="Z37" s="37">
        <f t="shared" si="47"/>
        <v>2</v>
      </c>
      <c r="AA37" s="30">
        <f t="shared" si="48"/>
        <v>15</v>
      </c>
      <c r="AB37" s="96">
        <v>4</v>
      </c>
      <c r="AC37" s="284"/>
      <c r="AD37" s="1">
        <v>7</v>
      </c>
      <c r="AE37">
        <f t="shared" si="49"/>
        <v>0</v>
      </c>
      <c r="AF37" s="37">
        <f t="shared" si="50"/>
        <v>2</v>
      </c>
      <c r="AG37" s="30">
        <f t="shared" si="51"/>
        <v>15</v>
      </c>
      <c r="AH37" s="96">
        <v>16</v>
      </c>
      <c r="AI37" s="284"/>
      <c r="AJ37" s="1">
        <v>7</v>
      </c>
      <c r="AK37">
        <f t="shared" si="29"/>
        <v>0</v>
      </c>
      <c r="AL37" s="37">
        <f t="shared" si="52"/>
        <v>2</v>
      </c>
      <c r="AM37" s="30">
        <f t="shared" si="53"/>
        <v>15</v>
      </c>
      <c r="AN37" s="96"/>
      <c r="AO37" s="287"/>
      <c r="AP37" s="174"/>
      <c r="AQ37" s="294"/>
      <c r="AR37" s="1">
        <v>7</v>
      </c>
      <c r="AS37">
        <f t="shared" si="54"/>
        <v>0</v>
      </c>
      <c r="AT37" s="37">
        <f t="shared" si="55"/>
        <v>2</v>
      </c>
      <c r="AU37" s="30">
        <f t="shared" si="56"/>
        <v>15</v>
      </c>
      <c r="AV37" s="96"/>
      <c r="AW37" s="284"/>
      <c r="AX37" s="1">
        <v>7</v>
      </c>
      <c r="AY37">
        <f t="shared" si="72"/>
        <v>0</v>
      </c>
      <c r="AZ37" s="37">
        <f t="shared" si="57"/>
        <v>2</v>
      </c>
      <c r="BA37" s="30">
        <f t="shared" si="58"/>
        <v>15</v>
      </c>
      <c r="BB37" s="96"/>
      <c r="BC37" s="284"/>
      <c r="BD37" s="1">
        <v>7</v>
      </c>
      <c r="BE37">
        <f t="shared" si="73"/>
        <v>0</v>
      </c>
      <c r="BF37" s="37">
        <f t="shared" si="59"/>
        <v>2</v>
      </c>
      <c r="BG37" s="30">
        <f t="shared" si="60"/>
        <v>15</v>
      </c>
      <c r="BH37" s="96"/>
      <c r="BI37" s="287"/>
      <c r="BJ37" s="171"/>
      <c r="BK37" s="294"/>
      <c r="BL37" s="1">
        <v>7</v>
      </c>
      <c r="BM37">
        <f t="shared" si="70"/>
        <v>0</v>
      </c>
      <c r="BN37" s="37">
        <f t="shared" si="61"/>
        <v>2</v>
      </c>
      <c r="BO37" s="30">
        <f t="shared" si="62"/>
        <v>15</v>
      </c>
      <c r="BP37" s="96"/>
      <c r="BQ37" s="284"/>
      <c r="BR37" s="1">
        <v>7</v>
      </c>
      <c r="BS37">
        <f t="shared" si="74"/>
        <v>0</v>
      </c>
      <c r="BT37" s="37">
        <f t="shared" si="63"/>
        <v>2</v>
      </c>
      <c r="BU37" s="30">
        <f t="shared" si="64"/>
        <v>15</v>
      </c>
      <c r="BV37" s="96"/>
      <c r="BW37" s="284"/>
      <c r="BX37" s="1">
        <v>7</v>
      </c>
      <c r="BY37">
        <f t="shared" si="75"/>
        <v>0</v>
      </c>
      <c r="BZ37" s="37">
        <f t="shared" si="65"/>
        <v>2</v>
      </c>
      <c r="CA37" s="30">
        <f t="shared" si="66"/>
        <v>15</v>
      </c>
      <c r="CB37" s="96"/>
      <c r="CC37" s="287"/>
    </row>
    <row r="38" spans="1:88" s="79" customFormat="1" x14ac:dyDescent="0.45">
      <c r="A38" s="296"/>
      <c r="B38" s="51">
        <v>8</v>
      </c>
      <c r="C38" s="53">
        <f t="shared" si="67"/>
        <v>0</v>
      </c>
      <c r="D38" s="37">
        <f t="shared" si="40"/>
        <v>2</v>
      </c>
      <c r="E38" s="30">
        <f t="shared" si="41"/>
        <v>11</v>
      </c>
      <c r="F38" s="151"/>
      <c r="G38" s="287"/>
      <c r="H38" s="174"/>
      <c r="I38" s="296"/>
      <c r="J38" s="51">
        <v>8</v>
      </c>
      <c r="K38">
        <f t="shared" si="68"/>
        <v>0</v>
      </c>
      <c r="L38" s="37">
        <f t="shared" si="42"/>
        <v>2</v>
      </c>
      <c r="M38" s="30">
        <f t="shared" si="43"/>
        <v>11</v>
      </c>
      <c r="N38" s="151"/>
      <c r="O38" s="285"/>
      <c r="P38" s="51">
        <v>8</v>
      </c>
      <c r="Q38">
        <f t="shared" si="71"/>
        <v>0</v>
      </c>
      <c r="R38" s="37">
        <f t="shared" si="45"/>
        <v>2</v>
      </c>
      <c r="S38" s="30">
        <f t="shared" si="46"/>
        <v>11</v>
      </c>
      <c r="T38" s="151"/>
      <c r="U38" s="287"/>
      <c r="V38" s="174"/>
      <c r="W38" s="296"/>
      <c r="X38" s="51">
        <v>8</v>
      </c>
      <c r="Y38">
        <f t="shared" si="69"/>
        <v>0</v>
      </c>
      <c r="Z38" s="37">
        <f t="shared" si="47"/>
        <v>2</v>
      </c>
      <c r="AA38" s="30">
        <f t="shared" si="48"/>
        <v>11</v>
      </c>
      <c r="AB38" s="97"/>
      <c r="AC38" s="285"/>
      <c r="AD38" s="51">
        <v>8</v>
      </c>
      <c r="AE38">
        <f t="shared" si="49"/>
        <v>0</v>
      </c>
      <c r="AF38" s="37">
        <f t="shared" si="50"/>
        <v>2</v>
      </c>
      <c r="AG38" s="30">
        <f t="shared" si="51"/>
        <v>11</v>
      </c>
      <c r="AH38" s="97"/>
      <c r="AI38" s="285"/>
      <c r="AJ38" s="51">
        <v>8</v>
      </c>
      <c r="AK38">
        <f t="shared" si="29"/>
        <v>0</v>
      </c>
      <c r="AL38" s="37">
        <f t="shared" si="52"/>
        <v>2</v>
      </c>
      <c r="AM38" s="30">
        <f t="shared" si="53"/>
        <v>11</v>
      </c>
      <c r="AN38" s="97"/>
      <c r="AO38" s="287"/>
      <c r="AP38" s="174"/>
      <c r="AQ38" s="296"/>
      <c r="AR38" s="51">
        <v>8</v>
      </c>
      <c r="AS38">
        <f t="shared" si="54"/>
        <v>0</v>
      </c>
      <c r="AT38" s="37">
        <f t="shared" si="55"/>
        <v>2</v>
      </c>
      <c r="AU38" s="30">
        <f t="shared" si="56"/>
        <v>11</v>
      </c>
      <c r="AV38" s="97"/>
      <c r="AW38" s="285"/>
      <c r="AX38" s="51">
        <v>8</v>
      </c>
      <c r="AY38">
        <f t="shared" si="72"/>
        <v>0</v>
      </c>
      <c r="AZ38" s="37">
        <f t="shared" si="57"/>
        <v>2</v>
      </c>
      <c r="BA38" s="30">
        <f t="shared" si="58"/>
        <v>11</v>
      </c>
      <c r="BB38" s="97"/>
      <c r="BC38" s="285"/>
      <c r="BD38" s="51">
        <v>8</v>
      </c>
      <c r="BE38">
        <f t="shared" si="73"/>
        <v>0</v>
      </c>
      <c r="BF38" s="37">
        <f t="shared" si="59"/>
        <v>2</v>
      </c>
      <c r="BG38" s="30">
        <f t="shared" si="60"/>
        <v>11</v>
      </c>
      <c r="BH38" s="97"/>
      <c r="BI38" s="287"/>
      <c r="BJ38" s="171"/>
      <c r="BK38" s="296"/>
      <c r="BL38" s="51">
        <v>8</v>
      </c>
      <c r="BM38">
        <f t="shared" si="70"/>
        <v>0</v>
      </c>
      <c r="BN38" s="37">
        <f t="shared" si="61"/>
        <v>2</v>
      </c>
      <c r="BO38" s="30">
        <f t="shared" si="62"/>
        <v>11</v>
      </c>
      <c r="BP38" s="97"/>
      <c r="BQ38" s="285"/>
      <c r="BR38" s="51">
        <v>8</v>
      </c>
      <c r="BS38">
        <f t="shared" si="74"/>
        <v>0</v>
      </c>
      <c r="BT38" s="37">
        <f t="shared" si="63"/>
        <v>2</v>
      </c>
      <c r="BU38" s="30">
        <f t="shared" si="64"/>
        <v>11</v>
      </c>
      <c r="BV38" s="97"/>
      <c r="BW38" s="285"/>
      <c r="BX38" s="51">
        <v>8</v>
      </c>
      <c r="BY38">
        <f t="shared" si="75"/>
        <v>0</v>
      </c>
      <c r="BZ38" s="37">
        <f t="shared" si="65"/>
        <v>2</v>
      </c>
      <c r="CA38" s="30">
        <f t="shared" si="66"/>
        <v>11</v>
      </c>
      <c r="CB38" s="97"/>
      <c r="CC38" s="287"/>
      <c r="CD38"/>
      <c r="CE38"/>
      <c r="CF38"/>
      <c r="CG38"/>
      <c r="CH38"/>
      <c r="CI38"/>
      <c r="CJ38"/>
    </row>
    <row r="39" spans="1:88" s="79" customFormat="1" x14ac:dyDescent="0.45">
      <c r="A39" s="293">
        <v>3</v>
      </c>
      <c r="B39" s="48">
        <f>O8</f>
        <v>8</v>
      </c>
      <c r="C39" s="87" t="s">
        <v>154</v>
      </c>
      <c r="D39" s="10" t="s">
        <v>158</v>
      </c>
      <c r="E39" s="88" t="s">
        <v>152</v>
      </c>
      <c r="F39" s="152"/>
      <c r="G39" s="287">
        <f>IF(COUNT(F40:F48) &gt;0, COUNT(F40:F48)/2,"")</f>
        <v>1</v>
      </c>
      <c r="H39" s="174"/>
      <c r="I39" s="293">
        <v>3</v>
      </c>
      <c r="J39" s="48">
        <f>O13</f>
        <v>15</v>
      </c>
      <c r="K39" s="87" t="s">
        <v>154</v>
      </c>
      <c r="L39" s="10" t="s">
        <v>158</v>
      </c>
      <c r="M39" s="88" t="s">
        <v>152</v>
      </c>
      <c r="N39" s="152"/>
      <c r="O39" s="286">
        <v>3</v>
      </c>
      <c r="P39" s="48">
        <f>U7</f>
        <v>0</v>
      </c>
      <c r="Q39" s="87" t="s">
        <v>154</v>
      </c>
      <c r="R39" s="10" t="s">
        <v>158</v>
      </c>
      <c r="S39" s="88" t="s">
        <v>152</v>
      </c>
      <c r="T39" s="152"/>
      <c r="U39" s="287">
        <f>IF(COUNT(H40:H48,N40:N48,T40:T48) &gt;0, COUNT(H40:H48,N40:N48,T40:T48) /2,"")</f>
        <v>2</v>
      </c>
      <c r="V39" s="174"/>
      <c r="W39" s="293">
        <v>3</v>
      </c>
      <c r="X39" s="48">
        <f>AC7</f>
        <v>0</v>
      </c>
      <c r="Y39" s="87" t="s">
        <v>154</v>
      </c>
      <c r="Z39" s="10" t="s">
        <v>158</v>
      </c>
      <c r="AA39" s="88" t="s">
        <v>152</v>
      </c>
      <c r="AB39" s="94"/>
      <c r="AC39" s="286">
        <v>3</v>
      </c>
      <c r="AD39" s="48">
        <f>AI7</f>
        <v>0</v>
      </c>
      <c r="AE39" s="87" t="s">
        <v>154</v>
      </c>
      <c r="AF39" s="10" t="s">
        <v>158</v>
      </c>
      <c r="AG39" s="88" t="s">
        <v>152</v>
      </c>
      <c r="AH39" s="94"/>
      <c r="AI39" s="286">
        <v>3</v>
      </c>
      <c r="AJ39" s="48">
        <f>AO7</f>
        <v>0</v>
      </c>
      <c r="AK39" t="str">
        <f t="shared" si="29"/>
        <v xml:space="preserve">CTR </v>
      </c>
      <c r="AL39" s="10" t="s">
        <v>158</v>
      </c>
      <c r="AM39" s="88" t="s">
        <v>152</v>
      </c>
      <c r="AN39" s="94"/>
      <c r="AO39" s="287">
        <f>IF(COUNT(AB40:AB48,AH40:AH48,AN40:AN48) &gt;0, COUNT(AB40:AB48,AH40:AH48,AN40:AN48) /2,"")</f>
        <v>1</v>
      </c>
      <c r="AP39" s="174"/>
      <c r="AQ39" s="293">
        <v>3</v>
      </c>
      <c r="AR39" s="48">
        <f>AW7</f>
        <v>0</v>
      </c>
      <c r="AS39" s="87" t="s">
        <v>154</v>
      </c>
      <c r="AT39" s="10" t="s">
        <v>158</v>
      </c>
      <c r="AU39" s="88" t="s">
        <v>152</v>
      </c>
      <c r="AV39" s="94"/>
      <c r="AW39" s="286">
        <v>3</v>
      </c>
      <c r="AX39" s="48">
        <f>BC7</f>
        <v>0</v>
      </c>
      <c r="AY39" s="87" t="s">
        <v>154</v>
      </c>
      <c r="AZ39" s="10" t="s">
        <v>158</v>
      </c>
      <c r="BA39" s="88" t="s">
        <v>152</v>
      </c>
      <c r="BB39" s="94"/>
      <c r="BC39" s="286">
        <v>3</v>
      </c>
      <c r="BD39" s="48">
        <f>BI7</f>
        <v>0</v>
      </c>
      <c r="BE39" s="87" t="s">
        <v>154</v>
      </c>
      <c r="BF39" s="10" t="s">
        <v>158</v>
      </c>
      <c r="BG39" s="88" t="s">
        <v>152</v>
      </c>
      <c r="BH39" s="94"/>
      <c r="BI39" s="287" t="str">
        <f>IF(COUNT(AV40:AV48,BB40:BB48,BH40:BH48) &gt;0, COUNT(AV40:AV48,BB40:BB48,BH40:BH48) /2,"")</f>
        <v/>
      </c>
      <c r="BJ39" s="171"/>
      <c r="BK39" s="293">
        <v>3</v>
      </c>
      <c r="BL39" s="48">
        <f>BQ7</f>
        <v>0</v>
      </c>
      <c r="BM39" s="87" t="s">
        <v>154</v>
      </c>
      <c r="BN39" s="10" t="s">
        <v>158</v>
      </c>
      <c r="BO39" s="88" t="s">
        <v>152</v>
      </c>
      <c r="BP39" s="94"/>
      <c r="BQ39" s="286">
        <v>3</v>
      </c>
      <c r="BR39" s="48">
        <f>BW7</f>
        <v>0</v>
      </c>
      <c r="BS39" s="87" t="s">
        <v>154</v>
      </c>
      <c r="BT39" s="10" t="s">
        <v>158</v>
      </c>
      <c r="BU39" s="88" t="s">
        <v>152</v>
      </c>
      <c r="BV39" s="94"/>
      <c r="BW39" s="286">
        <v>3</v>
      </c>
      <c r="BX39" s="48">
        <f>CC7</f>
        <v>0</v>
      </c>
      <c r="BY39" s="87" t="s">
        <v>154</v>
      </c>
      <c r="BZ39" s="10" t="s">
        <v>158</v>
      </c>
      <c r="CA39" s="88" t="s">
        <v>152</v>
      </c>
      <c r="CB39" s="94"/>
      <c r="CC39" s="287" t="str">
        <f>IF(COUNT(BP40:BP48,BV40:BV48,CB40:CB48) &gt;0, COUNT(BP40:BP48,BV40:BV48,CB40:CB48) /2,"")</f>
        <v/>
      </c>
      <c r="CD39"/>
      <c r="CE39"/>
      <c r="CF39"/>
      <c r="CG39"/>
      <c r="CH39"/>
      <c r="CI39"/>
      <c r="CJ39"/>
    </row>
    <row r="40" spans="1:88" ht="27.75" customHeight="1" x14ac:dyDescent="0.45">
      <c r="A40" s="294"/>
      <c r="B40" s="176" t="s">
        <v>162</v>
      </c>
      <c r="C40" s="102" t="s">
        <v>156</v>
      </c>
      <c r="D40" s="89" t="s">
        <v>175</v>
      </c>
      <c r="E40" s="177" t="s">
        <v>174</v>
      </c>
      <c r="F40" s="148"/>
      <c r="G40" s="287"/>
      <c r="H40" s="174"/>
      <c r="I40" s="294"/>
      <c r="J40" s="176" t="s">
        <v>162</v>
      </c>
      <c r="K40" s="90" t="s">
        <v>155</v>
      </c>
      <c r="L40" s="89" t="s">
        <v>175</v>
      </c>
      <c r="M40" s="177" t="s">
        <v>174</v>
      </c>
      <c r="N40" s="148"/>
      <c r="O40" s="284"/>
      <c r="P40" s="176" t="s">
        <v>162</v>
      </c>
      <c r="Q40" s="90" t="s">
        <v>155</v>
      </c>
      <c r="R40" s="89" t="s">
        <v>175</v>
      </c>
      <c r="S40" s="177" t="s">
        <v>174</v>
      </c>
      <c r="T40" s="156"/>
      <c r="U40" s="287"/>
      <c r="V40" s="174"/>
      <c r="W40" s="294"/>
      <c r="X40" s="176" t="s">
        <v>162</v>
      </c>
      <c r="Y40" s="90" t="s">
        <v>155</v>
      </c>
      <c r="Z40" s="89" t="s">
        <v>175</v>
      </c>
      <c r="AA40" s="177" t="s">
        <v>174</v>
      </c>
      <c r="AB40" s="95"/>
      <c r="AC40" s="284"/>
      <c r="AD40" s="176" t="s">
        <v>162</v>
      </c>
      <c r="AE40" s="90" t="s">
        <v>155</v>
      </c>
      <c r="AF40" s="89" t="s">
        <v>175</v>
      </c>
      <c r="AG40" s="177" t="s">
        <v>174</v>
      </c>
      <c r="AH40" s="95"/>
      <c r="AI40" s="284"/>
      <c r="AJ40" s="176" t="s">
        <v>162</v>
      </c>
      <c r="AK40" s="90" t="s">
        <v>155</v>
      </c>
      <c r="AL40" s="89" t="s">
        <v>175</v>
      </c>
      <c r="AM40" s="177" t="s">
        <v>174</v>
      </c>
      <c r="AN40" s="95"/>
      <c r="AO40" s="287"/>
      <c r="AP40" s="174"/>
      <c r="AQ40" s="294"/>
      <c r="AR40" s="176" t="s">
        <v>162</v>
      </c>
      <c r="AS40" s="90" t="s">
        <v>155</v>
      </c>
      <c r="AT40" s="89" t="s">
        <v>175</v>
      </c>
      <c r="AU40" s="177" t="s">
        <v>174</v>
      </c>
      <c r="AV40" s="95"/>
      <c r="AW40" s="284"/>
      <c r="AX40" s="176" t="s">
        <v>162</v>
      </c>
      <c r="AY40" s="90" t="s">
        <v>155</v>
      </c>
      <c r="AZ40" s="89" t="s">
        <v>175</v>
      </c>
      <c r="BA40" s="177" t="s">
        <v>174</v>
      </c>
      <c r="BB40" s="95"/>
      <c r="BC40" s="284"/>
      <c r="BD40" s="176" t="s">
        <v>162</v>
      </c>
      <c r="BE40" s="90" t="s">
        <v>155</v>
      </c>
      <c r="BF40" s="89" t="s">
        <v>175</v>
      </c>
      <c r="BG40" s="177" t="s">
        <v>174</v>
      </c>
      <c r="BH40" s="95"/>
      <c r="BI40" s="287"/>
      <c r="BJ40" s="171"/>
      <c r="BK40" s="294"/>
      <c r="BL40" s="176" t="s">
        <v>162</v>
      </c>
      <c r="BM40" s="90" t="s">
        <v>155</v>
      </c>
      <c r="BN40" s="89" t="s">
        <v>175</v>
      </c>
      <c r="BO40" s="177" t="s">
        <v>174</v>
      </c>
      <c r="BP40" s="95"/>
      <c r="BQ40" s="284"/>
      <c r="BR40" s="176" t="s">
        <v>162</v>
      </c>
      <c r="BS40" s="90" t="s">
        <v>155</v>
      </c>
      <c r="BT40" s="89" t="s">
        <v>175</v>
      </c>
      <c r="BU40" s="177" t="s">
        <v>174</v>
      </c>
      <c r="BV40" s="95"/>
      <c r="BW40" s="284"/>
      <c r="BX40" s="176" t="s">
        <v>162</v>
      </c>
      <c r="BY40" s="90" t="s">
        <v>155</v>
      </c>
      <c r="BZ40" s="89" t="s">
        <v>175</v>
      </c>
      <c r="CA40" s="177" t="s">
        <v>174</v>
      </c>
      <c r="CB40" s="95"/>
      <c r="CC40" s="287"/>
    </row>
    <row r="41" spans="1:88" x14ac:dyDescent="0.45">
      <c r="A41" s="294"/>
      <c r="B41" s="1">
        <v>1</v>
      </c>
      <c r="C41">
        <v>0</v>
      </c>
      <c r="D41" s="37">
        <f t="shared" ref="D41:D48" si="76">(C41+$B$19)*$G$3</f>
        <v>2</v>
      </c>
      <c r="E41" s="30">
        <f t="shared" ref="E41:E48" si="77">MOD($F6+D41,$G$2)</f>
        <v>9</v>
      </c>
      <c r="F41" s="149"/>
      <c r="G41" s="287"/>
      <c r="H41" s="174"/>
      <c r="I41" s="294"/>
      <c r="J41" s="1">
        <v>1</v>
      </c>
      <c r="K41">
        <f t="shared" ref="K41:K48" si="78">IF(F41="", C41,IF(F41=MIN(F$41:F$48),C41+1,0))</f>
        <v>0</v>
      </c>
      <c r="L41" s="37">
        <f t="shared" ref="L41:L48" si="79">(K41+$B$19)*$G$3</f>
        <v>2</v>
      </c>
      <c r="M41" s="30">
        <f t="shared" ref="M41:M48" si="80">MOD($F6+L41,$G$2)</f>
        <v>9</v>
      </c>
      <c r="N41" s="149"/>
      <c r="O41" s="284"/>
      <c r="P41" s="1">
        <v>1</v>
      </c>
      <c r="Q41">
        <f t="shared" ref="Q41:Q48" si="81">IF(N41="", K41,IF(N41=MIN(N$41:N$48),K41+1,0))</f>
        <v>0</v>
      </c>
      <c r="R41" s="37">
        <f t="shared" ref="R41:R48" si="82">(Q41+$B$19)*$G$3</f>
        <v>2</v>
      </c>
      <c r="S41" s="30">
        <f t="shared" ref="S41:S48" si="83">MOD($F6+R41,$G$2)</f>
        <v>9</v>
      </c>
      <c r="T41" s="149"/>
      <c r="U41" s="287"/>
      <c r="V41" s="174"/>
      <c r="W41" s="294"/>
      <c r="X41" s="1">
        <v>1</v>
      </c>
      <c r="Y41">
        <f t="shared" ref="Y41:Y48" si="84">IF(T41="", Q41,IF(T41=MIN(T$41:T$48),Q41+1,0))</f>
        <v>0</v>
      </c>
      <c r="Z41" s="37">
        <f t="shared" ref="Z41:Z48" si="85">(Y41+$B$19)*$G$3</f>
        <v>2</v>
      </c>
      <c r="AA41" s="30">
        <f t="shared" ref="AA41:AA48" si="86">MOD($F6+Z41,$G$2)</f>
        <v>9</v>
      </c>
      <c r="AB41" s="98">
        <v>12</v>
      </c>
      <c r="AC41" s="284"/>
      <c r="AD41" s="1">
        <v>1</v>
      </c>
      <c r="AE41">
        <f t="shared" ref="AE41:AE48" si="87">IF(AB41="", Y41,IF(AB41=MIN(AB$41:AB$48),Y41+1,0))</f>
        <v>0</v>
      </c>
      <c r="AF41" s="37">
        <f t="shared" ref="AF41:AF48" si="88">(AE41+$B$19)*$G$3</f>
        <v>2</v>
      </c>
      <c r="AG41" s="30">
        <f t="shared" ref="AG41:AG48" si="89">MOD($F6+AF41,$G$2)</f>
        <v>9</v>
      </c>
      <c r="AH41" s="98"/>
      <c r="AI41" s="284"/>
      <c r="AJ41" s="1">
        <v>1</v>
      </c>
      <c r="AK41">
        <f t="shared" si="29"/>
        <v>0</v>
      </c>
      <c r="AL41" s="37">
        <f t="shared" ref="AL41:AL48" si="90">(AK41+$B$19)*$G$3</f>
        <v>2</v>
      </c>
      <c r="AM41" s="30">
        <f t="shared" ref="AM41:AM48" si="91">MOD($F6+AL41,$G$2)</f>
        <v>9</v>
      </c>
      <c r="AN41" s="98"/>
      <c r="AO41" s="287"/>
      <c r="AP41" s="174"/>
      <c r="AQ41" s="294"/>
      <c r="AR41" s="1">
        <v>1</v>
      </c>
      <c r="AS41">
        <f t="shared" ref="AS41:AS48" si="92">IF(AN41="", AK41,IF(AN41=MIN(AN$41:AN$48),AK41+1,0))</f>
        <v>0</v>
      </c>
      <c r="AT41" s="37">
        <f t="shared" ref="AT41:AT48" si="93">(AS41+$B$19)*$G$3</f>
        <v>2</v>
      </c>
      <c r="AU41" s="30">
        <f t="shared" ref="AU41:AU48" si="94">MOD($F6+AT41,$G$2)</f>
        <v>9</v>
      </c>
      <c r="AV41" s="98"/>
      <c r="AW41" s="284"/>
      <c r="AX41" s="1">
        <v>1</v>
      </c>
      <c r="AY41">
        <f>IF(AV41="", AS41,IF(AV41=MIN(AV$41:AV$48),AS41+1,0))</f>
        <v>0</v>
      </c>
      <c r="AZ41" s="37">
        <f t="shared" ref="AZ41:AZ48" si="95">(AY41+$B$19)*$G$3</f>
        <v>2</v>
      </c>
      <c r="BA41" s="30">
        <f t="shared" ref="BA41:BA48" si="96">MOD($F6+AZ41,$G$2)</f>
        <v>9</v>
      </c>
      <c r="BB41" s="98"/>
      <c r="BC41" s="284"/>
      <c r="BD41" s="1">
        <v>1</v>
      </c>
      <c r="BE41">
        <f>IF(BB41="", AY41,IF(BB41=MIN(BB$41:BB$48),AY41+1,0))</f>
        <v>0</v>
      </c>
      <c r="BF41" s="37">
        <f t="shared" ref="BF41:BF48" si="97">(BE41+$B$19)*$G$3</f>
        <v>2</v>
      </c>
      <c r="BG41" s="30">
        <f t="shared" ref="BG41:BG48" si="98">MOD($F6+BF41,$G$2)</f>
        <v>9</v>
      </c>
      <c r="BH41" s="98"/>
      <c r="BI41" s="287"/>
      <c r="BJ41" s="171"/>
      <c r="BK41" s="294"/>
      <c r="BL41" s="1">
        <v>1</v>
      </c>
      <c r="BM41">
        <f>IF(BH41="", BE41,IF(BH41=MIN(BH$41:BH$48),BE41+1,0))</f>
        <v>0</v>
      </c>
      <c r="BN41" s="37">
        <f t="shared" ref="BN41:BN48" si="99">(BM41+$B$19)*$G$3</f>
        <v>2</v>
      </c>
      <c r="BO41" s="30">
        <f t="shared" ref="BO41:BO48" si="100">MOD($F6+BN41,$G$2)</f>
        <v>9</v>
      </c>
      <c r="BP41" s="98"/>
      <c r="BQ41" s="284"/>
      <c r="BR41" s="1">
        <v>1</v>
      </c>
      <c r="BS41">
        <f>IF(BP41="", BM41,IF(BP41=MIN(BP$41:BP$48),BM41+1,0))</f>
        <v>0</v>
      </c>
      <c r="BT41" s="37">
        <f t="shared" ref="BT41:BT48" si="101">(BS41+$B$19)*$G$3</f>
        <v>2</v>
      </c>
      <c r="BU41" s="30">
        <f t="shared" ref="BU41:BU48" si="102">MOD($F6+BT41,$G$2)</f>
        <v>9</v>
      </c>
      <c r="BV41" s="98"/>
      <c r="BW41" s="284"/>
      <c r="BX41" s="1">
        <v>1</v>
      </c>
      <c r="BY41">
        <f>IF(BV41="", BS41,IF(BV41=MIN(BV$41:BV$48),BS41+1,0))</f>
        <v>0</v>
      </c>
      <c r="BZ41" s="37">
        <f t="shared" ref="BZ41:BZ48" si="103">(BY41+$B$19)*$G$3</f>
        <v>2</v>
      </c>
      <c r="CA41" s="30">
        <f t="shared" ref="CA41:CA48" si="104">MOD($F6+BZ41,$G$2)</f>
        <v>9</v>
      </c>
      <c r="CB41" s="98"/>
      <c r="CC41" s="287"/>
    </row>
    <row r="42" spans="1:88" x14ac:dyDescent="0.45">
      <c r="A42" s="294"/>
      <c r="B42" s="1">
        <v>2</v>
      </c>
      <c r="C42">
        <f t="shared" ref="C42:C48" si="105">IF(B42=MIN(B$21:B$28),1,0)</f>
        <v>0</v>
      </c>
      <c r="D42" s="37">
        <f t="shared" si="76"/>
        <v>2</v>
      </c>
      <c r="E42" s="30">
        <f t="shared" si="77"/>
        <v>5</v>
      </c>
      <c r="F42" s="150"/>
      <c r="G42" s="287"/>
      <c r="H42" s="174"/>
      <c r="I42" s="294"/>
      <c r="J42" s="1">
        <v>2</v>
      </c>
      <c r="K42">
        <f t="shared" si="78"/>
        <v>0</v>
      </c>
      <c r="L42" s="37">
        <f t="shared" si="79"/>
        <v>2</v>
      </c>
      <c r="M42" s="30">
        <f t="shared" si="80"/>
        <v>5</v>
      </c>
      <c r="N42" s="150"/>
      <c r="O42" s="284"/>
      <c r="P42" s="1">
        <v>2</v>
      </c>
      <c r="Q42">
        <f t="shared" si="81"/>
        <v>0</v>
      </c>
      <c r="R42" s="37">
        <f t="shared" si="82"/>
        <v>2</v>
      </c>
      <c r="S42" s="30">
        <f t="shared" si="83"/>
        <v>5</v>
      </c>
      <c r="T42" s="150"/>
      <c r="U42" s="287"/>
      <c r="V42" s="174"/>
      <c r="W42" s="294"/>
      <c r="X42" s="1">
        <v>2</v>
      </c>
      <c r="Y42">
        <f t="shared" si="84"/>
        <v>0</v>
      </c>
      <c r="Z42" s="37">
        <f t="shared" si="85"/>
        <v>2</v>
      </c>
      <c r="AA42" s="30">
        <f t="shared" si="86"/>
        <v>5</v>
      </c>
      <c r="AB42" s="96"/>
      <c r="AC42" s="284"/>
      <c r="AD42" s="1">
        <v>2</v>
      </c>
      <c r="AE42">
        <f t="shared" si="87"/>
        <v>0</v>
      </c>
      <c r="AF42" s="37">
        <f t="shared" si="88"/>
        <v>2</v>
      </c>
      <c r="AG42" s="30">
        <f t="shared" si="89"/>
        <v>5</v>
      </c>
      <c r="AH42" s="96"/>
      <c r="AI42" s="284"/>
      <c r="AJ42" s="1">
        <v>2</v>
      </c>
      <c r="AK42">
        <f t="shared" si="29"/>
        <v>0</v>
      </c>
      <c r="AL42" s="37">
        <f t="shared" si="90"/>
        <v>2</v>
      </c>
      <c r="AM42" s="30">
        <f t="shared" si="91"/>
        <v>5</v>
      </c>
      <c r="AN42" s="96"/>
      <c r="AO42" s="287"/>
      <c r="AP42" s="174"/>
      <c r="AQ42" s="294"/>
      <c r="AR42" s="1">
        <v>2</v>
      </c>
      <c r="AS42">
        <f t="shared" si="92"/>
        <v>0</v>
      </c>
      <c r="AT42" s="37">
        <f t="shared" si="93"/>
        <v>2</v>
      </c>
      <c r="AU42" s="30">
        <f t="shared" si="94"/>
        <v>5</v>
      </c>
      <c r="AV42" s="96"/>
      <c r="AW42" s="284"/>
      <c r="AX42" s="1">
        <v>2</v>
      </c>
      <c r="AY42">
        <f>IF(AV42="", AS42,IF(AV42=MIN(AV$41:AV$48),AS42+1,0))</f>
        <v>0</v>
      </c>
      <c r="AZ42" s="37">
        <f t="shared" si="95"/>
        <v>2</v>
      </c>
      <c r="BA42" s="30">
        <f t="shared" si="96"/>
        <v>5</v>
      </c>
      <c r="BB42" s="96"/>
      <c r="BC42" s="284"/>
      <c r="BD42" s="1">
        <v>2</v>
      </c>
      <c r="BE42">
        <f>IF(BB42="", AY42,IF(BB42=MIN(BB$41:BB$48),AY42+1,0))</f>
        <v>0</v>
      </c>
      <c r="BF42" s="37">
        <f t="shared" si="97"/>
        <v>2</v>
      </c>
      <c r="BG42" s="30">
        <f t="shared" si="98"/>
        <v>5</v>
      </c>
      <c r="BH42" s="96"/>
      <c r="BI42" s="287"/>
      <c r="BJ42" s="171"/>
      <c r="BK42" s="294"/>
      <c r="BL42" s="1">
        <v>2</v>
      </c>
      <c r="BM42">
        <f t="shared" ref="BM42:BM48" si="106">IF(BH42="", BE42,IF(BH42=MIN(BH$41:BH$48),BE42+1,0))</f>
        <v>0</v>
      </c>
      <c r="BN42" s="37">
        <f t="shared" si="99"/>
        <v>2</v>
      </c>
      <c r="BO42" s="30">
        <f t="shared" si="100"/>
        <v>5</v>
      </c>
      <c r="BP42" s="96"/>
      <c r="BQ42" s="284"/>
      <c r="BR42" s="1">
        <v>2</v>
      </c>
      <c r="BS42">
        <f>IF(BP42="", BM42,IF(BP42=MIN(BP$41:BP$48),BM42+1,0))</f>
        <v>0</v>
      </c>
      <c r="BT42" s="37">
        <f t="shared" si="101"/>
        <v>2</v>
      </c>
      <c r="BU42" s="30">
        <f t="shared" si="102"/>
        <v>5</v>
      </c>
      <c r="BV42" s="96"/>
      <c r="BW42" s="284"/>
      <c r="BX42" s="1">
        <v>2</v>
      </c>
      <c r="BY42">
        <f>IF(BV42="", BS42,IF(BV42=MIN(BV$41:BV$48),BS42+1,0))</f>
        <v>0</v>
      </c>
      <c r="BZ42" s="37">
        <f t="shared" si="103"/>
        <v>2</v>
      </c>
      <c r="CA42" s="30">
        <f t="shared" si="104"/>
        <v>5</v>
      </c>
      <c r="CB42" s="96"/>
      <c r="CC42" s="287"/>
    </row>
    <row r="43" spans="1:88" s="181" customFormat="1" x14ac:dyDescent="0.45">
      <c r="A43" s="294"/>
      <c r="B43" s="180">
        <v>3</v>
      </c>
      <c r="C43" s="181">
        <f t="shared" si="105"/>
        <v>0</v>
      </c>
      <c r="D43" s="37">
        <f t="shared" si="76"/>
        <v>2</v>
      </c>
      <c r="E43" s="30">
        <f t="shared" si="77"/>
        <v>0</v>
      </c>
      <c r="F43" s="188">
        <v>5</v>
      </c>
      <c r="G43" s="287"/>
      <c r="H43" s="184"/>
      <c r="I43" s="294"/>
      <c r="J43" s="180">
        <v>3</v>
      </c>
      <c r="K43" s="181">
        <f t="shared" si="78"/>
        <v>1</v>
      </c>
      <c r="L43" s="37">
        <f t="shared" si="79"/>
        <v>4</v>
      </c>
      <c r="M43" s="30">
        <f t="shared" si="80"/>
        <v>2</v>
      </c>
      <c r="N43" s="188">
        <v>3</v>
      </c>
      <c r="O43" s="284"/>
      <c r="P43" s="180">
        <v>3</v>
      </c>
      <c r="Q43" s="181">
        <f t="shared" si="81"/>
        <v>2</v>
      </c>
      <c r="R43" s="37">
        <f t="shared" si="82"/>
        <v>6</v>
      </c>
      <c r="S43" s="30">
        <f t="shared" si="83"/>
        <v>4</v>
      </c>
      <c r="T43" s="188">
        <v>17</v>
      </c>
      <c r="U43" s="287"/>
      <c r="V43" s="184"/>
      <c r="W43" s="294"/>
      <c r="X43" s="180">
        <v>3</v>
      </c>
      <c r="Y43" s="181">
        <f t="shared" si="84"/>
        <v>3</v>
      </c>
      <c r="Z43" s="37">
        <f t="shared" si="85"/>
        <v>8</v>
      </c>
      <c r="AA43" s="30">
        <f t="shared" si="86"/>
        <v>6</v>
      </c>
      <c r="AB43" s="189">
        <v>11</v>
      </c>
      <c r="AC43" s="284"/>
      <c r="AD43" s="180">
        <v>3</v>
      </c>
      <c r="AE43" s="181">
        <f t="shared" si="87"/>
        <v>4</v>
      </c>
      <c r="AF43" s="37">
        <f t="shared" si="88"/>
        <v>10</v>
      </c>
      <c r="AG43" s="30">
        <f t="shared" si="89"/>
        <v>8</v>
      </c>
      <c r="AH43" s="189"/>
      <c r="AI43" s="284"/>
      <c r="AJ43" s="180">
        <v>3</v>
      </c>
      <c r="AK43" s="181">
        <f t="shared" si="29"/>
        <v>4</v>
      </c>
      <c r="AL43" s="37">
        <f t="shared" si="90"/>
        <v>10</v>
      </c>
      <c r="AM43" s="30">
        <f t="shared" si="91"/>
        <v>8</v>
      </c>
      <c r="AN43" s="189"/>
      <c r="AO43" s="287"/>
      <c r="AP43" s="184"/>
      <c r="AQ43" s="294"/>
      <c r="AR43" s="180">
        <v>3</v>
      </c>
      <c r="AS43" s="181">
        <f t="shared" si="92"/>
        <v>4</v>
      </c>
      <c r="AT43" s="37">
        <f t="shared" si="93"/>
        <v>10</v>
      </c>
      <c r="AU43" s="30">
        <f t="shared" si="94"/>
        <v>8</v>
      </c>
      <c r="AV43" s="189"/>
      <c r="AW43" s="284"/>
      <c r="AX43" s="180">
        <v>3</v>
      </c>
      <c r="AY43" s="181">
        <f>IF(AV43="", AS43,IF(AV43=MIN(AV$41:AV$48),AS43+1,0))</f>
        <v>4</v>
      </c>
      <c r="AZ43" s="37">
        <f t="shared" si="95"/>
        <v>10</v>
      </c>
      <c r="BA43" s="30">
        <f t="shared" si="96"/>
        <v>8</v>
      </c>
      <c r="BB43" s="189"/>
      <c r="BC43" s="284"/>
      <c r="BD43" s="180">
        <v>3</v>
      </c>
      <c r="BE43" s="181">
        <f>IF(BB43="", AY43,IF(BB43=MIN(BB$41:BB$48),AY43+1,0))</f>
        <v>4</v>
      </c>
      <c r="BF43" s="37">
        <f t="shared" si="97"/>
        <v>10</v>
      </c>
      <c r="BG43" s="30">
        <f t="shared" si="98"/>
        <v>8</v>
      </c>
      <c r="BH43" s="189"/>
      <c r="BI43" s="287"/>
      <c r="BJ43" s="187"/>
      <c r="BK43" s="294"/>
      <c r="BL43" s="180">
        <v>3</v>
      </c>
      <c r="BM43" s="181">
        <f t="shared" si="106"/>
        <v>4</v>
      </c>
      <c r="BN43" s="37">
        <f t="shared" si="99"/>
        <v>10</v>
      </c>
      <c r="BO43" s="30">
        <f t="shared" si="100"/>
        <v>8</v>
      </c>
      <c r="BP43" s="189"/>
      <c r="BQ43" s="284"/>
      <c r="BR43" s="180">
        <v>3</v>
      </c>
      <c r="BS43" s="181">
        <f>IF(BP43="", BM43,IF(BP43=MIN(BP$41:BP$48),BM43+1,0))</f>
        <v>4</v>
      </c>
      <c r="BT43" s="37">
        <f t="shared" si="101"/>
        <v>10</v>
      </c>
      <c r="BU43" s="30">
        <f t="shared" si="102"/>
        <v>8</v>
      </c>
      <c r="BV43" s="189"/>
      <c r="BW43" s="284"/>
      <c r="BX43" s="180">
        <v>3</v>
      </c>
      <c r="BY43" s="181">
        <f>IF(BV43="", BS43,IF(BV43=MIN(BV$41:BV$48),BS43+1,0))</f>
        <v>4</v>
      </c>
      <c r="BZ43" s="37">
        <f t="shared" si="103"/>
        <v>10</v>
      </c>
      <c r="CA43" s="30">
        <f t="shared" si="104"/>
        <v>8</v>
      </c>
      <c r="CB43" s="189"/>
      <c r="CC43" s="287"/>
    </row>
    <row r="44" spans="1:88" x14ac:dyDescent="0.45">
      <c r="A44" s="294"/>
      <c r="B44" s="1">
        <v>4</v>
      </c>
      <c r="C44">
        <f t="shared" si="105"/>
        <v>0</v>
      </c>
      <c r="D44" s="37">
        <f t="shared" si="76"/>
        <v>2</v>
      </c>
      <c r="E44" s="30">
        <f t="shared" si="77"/>
        <v>12</v>
      </c>
      <c r="F44" s="150"/>
      <c r="G44" s="287"/>
      <c r="H44" s="174"/>
      <c r="I44" s="294"/>
      <c r="J44" s="1">
        <v>4</v>
      </c>
      <c r="K44">
        <f t="shared" si="78"/>
        <v>0</v>
      </c>
      <c r="L44" s="37">
        <f t="shared" si="79"/>
        <v>2</v>
      </c>
      <c r="M44" s="30">
        <f t="shared" si="80"/>
        <v>12</v>
      </c>
      <c r="N44" s="150"/>
      <c r="O44" s="284"/>
      <c r="P44" s="1">
        <v>4</v>
      </c>
      <c r="Q44">
        <f t="shared" si="81"/>
        <v>0</v>
      </c>
      <c r="R44" s="37">
        <f t="shared" si="82"/>
        <v>2</v>
      </c>
      <c r="S44" s="30">
        <f t="shared" si="83"/>
        <v>12</v>
      </c>
      <c r="T44" s="150"/>
      <c r="U44" s="287"/>
      <c r="V44" s="174"/>
      <c r="W44" s="294"/>
      <c r="X44" s="1">
        <v>4</v>
      </c>
      <c r="Y44">
        <f t="shared" si="84"/>
        <v>0</v>
      </c>
      <c r="Z44" s="37">
        <f t="shared" si="85"/>
        <v>2</v>
      </c>
      <c r="AA44" s="30">
        <f t="shared" si="86"/>
        <v>12</v>
      </c>
      <c r="AB44" s="96"/>
      <c r="AC44" s="284"/>
      <c r="AD44" s="1">
        <v>4</v>
      </c>
      <c r="AE44">
        <f t="shared" si="87"/>
        <v>0</v>
      </c>
      <c r="AF44" s="37">
        <f t="shared" si="88"/>
        <v>2</v>
      </c>
      <c r="AG44" s="30">
        <f t="shared" si="89"/>
        <v>12</v>
      </c>
      <c r="AH44" s="96"/>
      <c r="AI44" s="284"/>
      <c r="AJ44" s="1">
        <v>4</v>
      </c>
      <c r="AK44">
        <f t="shared" si="29"/>
        <v>0</v>
      </c>
      <c r="AL44" s="37">
        <f t="shared" si="90"/>
        <v>2</v>
      </c>
      <c r="AM44" s="30">
        <f t="shared" si="91"/>
        <v>12</v>
      </c>
      <c r="AN44" s="96"/>
      <c r="AO44" s="287"/>
      <c r="AP44" s="174"/>
      <c r="AQ44" s="294"/>
      <c r="AR44" s="1">
        <v>4</v>
      </c>
      <c r="AS44">
        <f t="shared" si="92"/>
        <v>0</v>
      </c>
      <c r="AT44" s="37">
        <f t="shared" si="93"/>
        <v>2</v>
      </c>
      <c r="AU44" s="30">
        <f t="shared" si="94"/>
        <v>12</v>
      </c>
      <c r="AV44" s="96"/>
      <c r="AW44" s="284"/>
      <c r="AX44" s="1">
        <v>4</v>
      </c>
      <c r="AY44">
        <f t="shared" ref="AY44:AY48" si="107">IF(AV44="", AS44,IF(AV44=MIN(AV$41:AV$48),AS44+1,0))</f>
        <v>0</v>
      </c>
      <c r="AZ44" s="37">
        <f t="shared" si="95"/>
        <v>2</v>
      </c>
      <c r="BA44" s="30">
        <f t="shared" si="96"/>
        <v>12</v>
      </c>
      <c r="BB44" s="96"/>
      <c r="BC44" s="284"/>
      <c r="BD44" s="1">
        <v>4</v>
      </c>
      <c r="BE44">
        <f t="shared" ref="BE44:BE48" si="108">IF(BB44="", AY44,IF(BB44=MIN(BB$41:BB$48),AY44+1,0))</f>
        <v>0</v>
      </c>
      <c r="BF44" s="37">
        <f t="shared" si="97"/>
        <v>2</v>
      </c>
      <c r="BG44" s="30">
        <f t="shared" si="98"/>
        <v>12</v>
      </c>
      <c r="BH44" s="96"/>
      <c r="BI44" s="287"/>
      <c r="BJ44" s="171"/>
      <c r="BK44" s="294"/>
      <c r="BL44" s="1">
        <v>4</v>
      </c>
      <c r="BM44">
        <f t="shared" si="106"/>
        <v>0</v>
      </c>
      <c r="BN44" s="37">
        <f t="shared" si="99"/>
        <v>2</v>
      </c>
      <c r="BO44" s="30">
        <f t="shared" si="100"/>
        <v>12</v>
      </c>
      <c r="BP44" s="96"/>
      <c r="BQ44" s="284"/>
      <c r="BR44" s="1">
        <v>4</v>
      </c>
      <c r="BS44">
        <f t="shared" ref="BS44:BS48" si="109">IF(BP44="", BM44,IF(BP44=MIN(BP$41:BP$48),BM44+1,0))</f>
        <v>0</v>
      </c>
      <c r="BT44" s="37">
        <f t="shared" si="101"/>
        <v>2</v>
      </c>
      <c r="BU44" s="30">
        <f t="shared" si="102"/>
        <v>12</v>
      </c>
      <c r="BV44" s="96"/>
      <c r="BW44" s="284"/>
      <c r="BX44" s="1">
        <v>4</v>
      </c>
      <c r="BY44">
        <f t="shared" ref="BY44:BY48" si="110">IF(BV44="", BS44,IF(BV44=MIN(BV$41:BV$48),BS44+1,0))</f>
        <v>0</v>
      </c>
      <c r="BZ44" s="37">
        <f t="shared" si="103"/>
        <v>2</v>
      </c>
      <c r="CA44" s="30">
        <f t="shared" si="104"/>
        <v>12</v>
      </c>
      <c r="CB44" s="96"/>
      <c r="CC44" s="287"/>
    </row>
    <row r="45" spans="1:88" x14ac:dyDescent="0.45">
      <c r="A45" s="294"/>
      <c r="B45" s="1">
        <v>5</v>
      </c>
      <c r="C45">
        <f t="shared" si="105"/>
        <v>0</v>
      </c>
      <c r="D45" s="37">
        <f t="shared" si="76"/>
        <v>2</v>
      </c>
      <c r="E45" s="30">
        <f t="shared" si="77"/>
        <v>6</v>
      </c>
      <c r="F45" s="150"/>
      <c r="G45" s="287"/>
      <c r="H45" s="174"/>
      <c r="I45" s="294"/>
      <c r="J45" s="1">
        <v>5</v>
      </c>
      <c r="K45">
        <f t="shared" si="78"/>
        <v>0</v>
      </c>
      <c r="L45" s="37">
        <f t="shared" si="79"/>
        <v>2</v>
      </c>
      <c r="M45" s="30">
        <f t="shared" si="80"/>
        <v>6</v>
      </c>
      <c r="N45" s="150">
        <v>4</v>
      </c>
      <c r="O45" s="284"/>
      <c r="P45" s="1">
        <v>5</v>
      </c>
      <c r="Q45">
        <f t="shared" si="81"/>
        <v>0</v>
      </c>
      <c r="R45" s="37">
        <f t="shared" si="82"/>
        <v>2</v>
      </c>
      <c r="S45" s="30">
        <f t="shared" si="83"/>
        <v>6</v>
      </c>
      <c r="T45" s="150"/>
      <c r="U45" s="287"/>
      <c r="V45" s="174"/>
      <c r="W45" s="294"/>
      <c r="X45" s="1">
        <v>5</v>
      </c>
      <c r="Y45">
        <f t="shared" si="84"/>
        <v>0</v>
      </c>
      <c r="Z45" s="37">
        <f t="shared" si="85"/>
        <v>2</v>
      </c>
      <c r="AA45" s="30">
        <f t="shared" si="86"/>
        <v>6</v>
      </c>
      <c r="AB45" s="96"/>
      <c r="AC45" s="284"/>
      <c r="AD45" s="1">
        <v>5</v>
      </c>
      <c r="AE45">
        <f t="shared" si="87"/>
        <v>0</v>
      </c>
      <c r="AF45" s="37">
        <f t="shared" si="88"/>
        <v>2</v>
      </c>
      <c r="AG45" s="30">
        <f t="shared" si="89"/>
        <v>6</v>
      </c>
      <c r="AH45" s="96"/>
      <c r="AI45" s="284"/>
      <c r="AJ45" s="1">
        <v>5</v>
      </c>
      <c r="AK45">
        <f t="shared" si="29"/>
        <v>0</v>
      </c>
      <c r="AL45" s="37">
        <f t="shared" si="90"/>
        <v>2</v>
      </c>
      <c r="AM45" s="30">
        <f t="shared" si="91"/>
        <v>6</v>
      </c>
      <c r="AN45" s="96"/>
      <c r="AO45" s="287"/>
      <c r="AP45" s="174"/>
      <c r="AQ45" s="294"/>
      <c r="AR45" s="1">
        <v>5</v>
      </c>
      <c r="AS45">
        <f t="shared" si="92"/>
        <v>0</v>
      </c>
      <c r="AT45" s="37">
        <f t="shared" si="93"/>
        <v>2</v>
      </c>
      <c r="AU45" s="30">
        <f t="shared" si="94"/>
        <v>6</v>
      </c>
      <c r="AV45" s="96"/>
      <c r="AW45" s="284"/>
      <c r="AX45" s="1">
        <v>5</v>
      </c>
      <c r="AY45">
        <f t="shared" si="107"/>
        <v>0</v>
      </c>
      <c r="AZ45" s="37">
        <f t="shared" si="95"/>
        <v>2</v>
      </c>
      <c r="BA45" s="30">
        <f t="shared" si="96"/>
        <v>6</v>
      </c>
      <c r="BB45" s="96"/>
      <c r="BC45" s="284"/>
      <c r="BD45" s="1">
        <v>5</v>
      </c>
      <c r="BE45">
        <f t="shared" si="108"/>
        <v>0</v>
      </c>
      <c r="BF45" s="37">
        <f t="shared" si="97"/>
        <v>2</v>
      </c>
      <c r="BG45" s="30">
        <f t="shared" si="98"/>
        <v>6</v>
      </c>
      <c r="BH45" s="96"/>
      <c r="BI45" s="287"/>
      <c r="BJ45" s="171"/>
      <c r="BK45" s="294"/>
      <c r="BL45" s="1">
        <v>5</v>
      </c>
      <c r="BM45">
        <f t="shared" si="106"/>
        <v>0</v>
      </c>
      <c r="BN45" s="37">
        <f t="shared" si="99"/>
        <v>2</v>
      </c>
      <c r="BO45" s="30">
        <f t="shared" si="100"/>
        <v>6</v>
      </c>
      <c r="BP45" s="96"/>
      <c r="BQ45" s="284"/>
      <c r="BR45" s="1">
        <v>5</v>
      </c>
      <c r="BS45">
        <f t="shared" si="109"/>
        <v>0</v>
      </c>
      <c r="BT45" s="37">
        <f t="shared" si="101"/>
        <v>2</v>
      </c>
      <c r="BU45" s="30">
        <f t="shared" si="102"/>
        <v>6</v>
      </c>
      <c r="BV45" s="96"/>
      <c r="BW45" s="284"/>
      <c r="BX45" s="1">
        <v>5</v>
      </c>
      <c r="BY45">
        <f t="shared" si="110"/>
        <v>0</v>
      </c>
      <c r="BZ45" s="37">
        <f t="shared" si="103"/>
        <v>2</v>
      </c>
      <c r="CA45" s="30">
        <f t="shared" si="104"/>
        <v>6</v>
      </c>
      <c r="CB45" s="96"/>
      <c r="CC45" s="287"/>
    </row>
    <row r="46" spans="1:88" x14ac:dyDescent="0.45">
      <c r="A46" s="294"/>
      <c r="B46" s="1">
        <v>6</v>
      </c>
      <c r="C46">
        <f t="shared" si="105"/>
        <v>0</v>
      </c>
      <c r="D46" s="37">
        <f t="shared" si="76"/>
        <v>2</v>
      </c>
      <c r="E46" s="30">
        <f t="shared" si="77"/>
        <v>2</v>
      </c>
      <c r="F46" s="150">
        <v>6</v>
      </c>
      <c r="G46" s="287"/>
      <c r="H46" s="174"/>
      <c r="I46" s="294"/>
      <c r="J46" s="1">
        <v>6</v>
      </c>
      <c r="K46">
        <f t="shared" si="78"/>
        <v>0</v>
      </c>
      <c r="L46" s="37">
        <f t="shared" si="79"/>
        <v>2</v>
      </c>
      <c r="M46" s="30">
        <f t="shared" si="80"/>
        <v>2</v>
      </c>
      <c r="N46" s="150"/>
      <c r="O46" s="284"/>
      <c r="P46" s="1">
        <v>6</v>
      </c>
      <c r="Q46">
        <f t="shared" si="81"/>
        <v>0</v>
      </c>
      <c r="R46" s="37">
        <f t="shared" si="82"/>
        <v>2</v>
      </c>
      <c r="S46" s="30">
        <f t="shared" si="83"/>
        <v>2</v>
      </c>
      <c r="T46" s="150"/>
      <c r="U46" s="287"/>
      <c r="V46" s="174"/>
      <c r="W46" s="294"/>
      <c r="X46" s="1">
        <v>6</v>
      </c>
      <c r="Y46">
        <f t="shared" si="84"/>
        <v>0</v>
      </c>
      <c r="Z46" s="37">
        <f t="shared" si="85"/>
        <v>2</v>
      </c>
      <c r="AA46" s="30">
        <f t="shared" si="86"/>
        <v>2</v>
      </c>
      <c r="AB46" s="96"/>
      <c r="AC46" s="284"/>
      <c r="AD46" s="1">
        <v>6</v>
      </c>
      <c r="AE46">
        <f t="shared" si="87"/>
        <v>0</v>
      </c>
      <c r="AF46" s="37">
        <f t="shared" si="88"/>
        <v>2</v>
      </c>
      <c r="AG46" s="30">
        <f t="shared" si="89"/>
        <v>2</v>
      </c>
      <c r="AH46" s="96"/>
      <c r="AI46" s="284"/>
      <c r="AJ46" s="1">
        <v>6</v>
      </c>
      <c r="AK46">
        <f t="shared" si="29"/>
        <v>0</v>
      </c>
      <c r="AL46" s="37">
        <f t="shared" si="90"/>
        <v>2</v>
      </c>
      <c r="AM46" s="30">
        <f t="shared" si="91"/>
        <v>2</v>
      </c>
      <c r="AN46" s="96"/>
      <c r="AO46" s="287"/>
      <c r="AP46" s="174"/>
      <c r="AQ46" s="294"/>
      <c r="AR46" s="1">
        <v>6</v>
      </c>
      <c r="AS46">
        <f t="shared" si="92"/>
        <v>0</v>
      </c>
      <c r="AT46" s="37">
        <f t="shared" si="93"/>
        <v>2</v>
      </c>
      <c r="AU46" s="30">
        <f t="shared" si="94"/>
        <v>2</v>
      </c>
      <c r="AV46" s="96"/>
      <c r="AW46" s="284"/>
      <c r="AX46" s="1">
        <v>6</v>
      </c>
      <c r="AY46">
        <f t="shared" si="107"/>
        <v>0</v>
      </c>
      <c r="AZ46" s="37">
        <f t="shared" si="95"/>
        <v>2</v>
      </c>
      <c r="BA46" s="30">
        <f t="shared" si="96"/>
        <v>2</v>
      </c>
      <c r="BB46" s="96"/>
      <c r="BC46" s="284"/>
      <c r="BD46" s="1">
        <v>6</v>
      </c>
      <c r="BE46">
        <f t="shared" si="108"/>
        <v>0</v>
      </c>
      <c r="BF46" s="37">
        <f t="shared" si="97"/>
        <v>2</v>
      </c>
      <c r="BG46" s="30">
        <f t="shared" si="98"/>
        <v>2</v>
      </c>
      <c r="BH46" s="96"/>
      <c r="BI46" s="287"/>
      <c r="BJ46" s="171"/>
      <c r="BK46" s="294"/>
      <c r="BL46" s="1">
        <v>6</v>
      </c>
      <c r="BM46">
        <f t="shared" si="106"/>
        <v>0</v>
      </c>
      <c r="BN46" s="37">
        <f t="shared" si="99"/>
        <v>2</v>
      </c>
      <c r="BO46" s="30">
        <f t="shared" si="100"/>
        <v>2</v>
      </c>
      <c r="BP46" s="96"/>
      <c r="BQ46" s="284"/>
      <c r="BR46" s="1">
        <v>6</v>
      </c>
      <c r="BS46">
        <f t="shared" si="109"/>
        <v>0</v>
      </c>
      <c r="BT46" s="37">
        <f t="shared" si="101"/>
        <v>2</v>
      </c>
      <c r="BU46" s="30">
        <f t="shared" si="102"/>
        <v>2</v>
      </c>
      <c r="BV46" s="96"/>
      <c r="BW46" s="284"/>
      <c r="BX46" s="1">
        <v>6</v>
      </c>
      <c r="BY46">
        <f t="shared" si="110"/>
        <v>0</v>
      </c>
      <c r="BZ46" s="37">
        <f t="shared" si="103"/>
        <v>2</v>
      </c>
      <c r="CA46" s="30">
        <f t="shared" si="104"/>
        <v>2</v>
      </c>
      <c r="CB46" s="96"/>
      <c r="CC46" s="287"/>
    </row>
    <row r="47" spans="1:88" x14ac:dyDescent="0.45">
      <c r="A47" s="294"/>
      <c r="B47" s="1">
        <v>7</v>
      </c>
      <c r="C47">
        <f t="shared" si="105"/>
        <v>0</v>
      </c>
      <c r="D47" s="37">
        <f t="shared" si="76"/>
        <v>2</v>
      </c>
      <c r="E47" s="30">
        <f t="shared" si="77"/>
        <v>15</v>
      </c>
      <c r="F47" s="150"/>
      <c r="G47" s="287"/>
      <c r="H47" s="174"/>
      <c r="I47" s="294"/>
      <c r="J47" s="1">
        <v>7</v>
      </c>
      <c r="K47">
        <f t="shared" si="78"/>
        <v>0</v>
      </c>
      <c r="L47" s="37">
        <f t="shared" si="79"/>
        <v>2</v>
      </c>
      <c r="M47" s="30">
        <f t="shared" si="80"/>
        <v>15</v>
      </c>
      <c r="N47" s="150"/>
      <c r="O47" s="284"/>
      <c r="P47" s="1">
        <v>7</v>
      </c>
      <c r="Q47">
        <f t="shared" si="81"/>
        <v>0</v>
      </c>
      <c r="R47" s="37">
        <f t="shared" si="82"/>
        <v>2</v>
      </c>
      <c r="S47" s="30">
        <f t="shared" si="83"/>
        <v>15</v>
      </c>
      <c r="T47" s="150"/>
      <c r="U47" s="287"/>
      <c r="V47" s="174"/>
      <c r="W47" s="294"/>
      <c r="X47" s="1">
        <v>7</v>
      </c>
      <c r="Y47">
        <f t="shared" si="84"/>
        <v>0</v>
      </c>
      <c r="Z47" s="37">
        <f t="shared" si="85"/>
        <v>2</v>
      </c>
      <c r="AA47" s="30">
        <f t="shared" si="86"/>
        <v>15</v>
      </c>
      <c r="AB47" s="96"/>
      <c r="AC47" s="284"/>
      <c r="AD47" s="1">
        <v>7</v>
      </c>
      <c r="AE47">
        <f t="shared" si="87"/>
        <v>0</v>
      </c>
      <c r="AF47" s="37">
        <f t="shared" si="88"/>
        <v>2</v>
      </c>
      <c r="AG47" s="30">
        <f t="shared" si="89"/>
        <v>15</v>
      </c>
      <c r="AH47" s="96"/>
      <c r="AI47" s="284"/>
      <c r="AJ47" s="1">
        <v>7</v>
      </c>
      <c r="AK47">
        <f t="shared" si="29"/>
        <v>0</v>
      </c>
      <c r="AL47" s="37">
        <f t="shared" si="90"/>
        <v>2</v>
      </c>
      <c r="AM47" s="30">
        <f t="shared" si="91"/>
        <v>15</v>
      </c>
      <c r="AN47" s="96"/>
      <c r="AO47" s="287"/>
      <c r="AP47" s="174"/>
      <c r="AQ47" s="294"/>
      <c r="AR47" s="1">
        <v>7</v>
      </c>
      <c r="AS47">
        <f t="shared" si="92"/>
        <v>0</v>
      </c>
      <c r="AT47" s="37">
        <f t="shared" si="93"/>
        <v>2</v>
      </c>
      <c r="AU47" s="30">
        <f t="shared" si="94"/>
        <v>15</v>
      </c>
      <c r="AV47" s="96"/>
      <c r="AW47" s="284"/>
      <c r="AX47" s="1">
        <v>7</v>
      </c>
      <c r="AY47">
        <f t="shared" si="107"/>
        <v>0</v>
      </c>
      <c r="AZ47" s="37">
        <f t="shared" si="95"/>
        <v>2</v>
      </c>
      <c r="BA47" s="30">
        <f t="shared" si="96"/>
        <v>15</v>
      </c>
      <c r="BB47" s="96"/>
      <c r="BC47" s="284"/>
      <c r="BD47" s="1">
        <v>7</v>
      </c>
      <c r="BE47">
        <f t="shared" si="108"/>
        <v>0</v>
      </c>
      <c r="BF47" s="37">
        <f t="shared" si="97"/>
        <v>2</v>
      </c>
      <c r="BG47" s="30">
        <f t="shared" si="98"/>
        <v>15</v>
      </c>
      <c r="BH47" s="96"/>
      <c r="BI47" s="287"/>
      <c r="BJ47" s="171"/>
      <c r="BK47" s="294"/>
      <c r="BL47" s="1">
        <v>7</v>
      </c>
      <c r="BM47">
        <f t="shared" si="106"/>
        <v>0</v>
      </c>
      <c r="BN47" s="37">
        <f t="shared" si="99"/>
        <v>2</v>
      </c>
      <c r="BO47" s="30">
        <f t="shared" si="100"/>
        <v>15</v>
      </c>
      <c r="BP47" s="96"/>
      <c r="BQ47" s="284"/>
      <c r="BR47" s="1">
        <v>7</v>
      </c>
      <c r="BS47">
        <f t="shared" si="109"/>
        <v>0</v>
      </c>
      <c r="BT47" s="37">
        <f t="shared" si="101"/>
        <v>2</v>
      </c>
      <c r="BU47" s="30">
        <f t="shared" si="102"/>
        <v>15</v>
      </c>
      <c r="BV47" s="96"/>
      <c r="BW47" s="284"/>
      <c r="BX47" s="1">
        <v>7</v>
      </c>
      <c r="BY47">
        <f t="shared" si="110"/>
        <v>0</v>
      </c>
      <c r="BZ47" s="37">
        <f t="shared" si="103"/>
        <v>2</v>
      </c>
      <c r="CA47" s="30">
        <f t="shared" si="104"/>
        <v>15</v>
      </c>
      <c r="CB47" s="96"/>
      <c r="CC47" s="287"/>
    </row>
    <row r="48" spans="1:88" x14ac:dyDescent="0.45">
      <c r="A48" s="296"/>
      <c r="B48" s="51">
        <v>8</v>
      </c>
      <c r="C48" s="53">
        <f t="shared" si="105"/>
        <v>0</v>
      </c>
      <c r="D48" s="37">
        <f t="shared" si="76"/>
        <v>2</v>
      </c>
      <c r="E48" s="30">
        <f t="shared" si="77"/>
        <v>11</v>
      </c>
      <c r="F48" s="151"/>
      <c r="G48" s="287"/>
      <c r="H48" s="174"/>
      <c r="I48" s="296"/>
      <c r="J48" s="51">
        <v>8</v>
      </c>
      <c r="K48">
        <f t="shared" si="78"/>
        <v>0</v>
      </c>
      <c r="L48" s="37">
        <f t="shared" si="79"/>
        <v>2</v>
      </c>
      <c r="M48" s="30">
        <f t="shared" si="80"/>
        <v>11</v>
      </c>
      <c r="N48" s="151"/>
      <c r="O48" s="285"/>
      <c r="P48" s="51">
        <v>8</v>
      </c>
      <c r="Q48">
        <f t="shared" si="81"/>
        <v>0</v>
      </c>
      <c r="R48" s="37">
        <f t="shared" si="82"/>
        <v>2</v>
      </c>
      <c r="S48" s="30">
        <f t="shared" si="83"/>
        <v>11</v>
      </c>
      <c r="T48" s="151">
        <v>18</v>
      </c>
      <c r="U48" s="287"/>
      <c r="V48" s="174"/>
      <c r="W48" s="296"/>
      <c r="X48" s="51">
        <v>8</v>
      </c>
      <c r="Y48">
        <f t="shared" si="84"/>
        <v>0</v>
      </c>
      <c r="Z48" s="37">
        <f t="shared" si="85"/>
        <v>2</v>
      </c>
      <c r="AA48" s="30">
        <f t="shared" si="86"/>
        <v>11</v>
      </c>
      <c r="AB48" s="97"/>
      <c r="AC48" s="285"/>
      <c r="AD48" s="51">
        <v>8</v>
      </c>
      <c r="AE48">
        <f t="shared" si="87"/>
        <v>0</v>
      </c>
      <c r="AF48" s="37">
        <f t="shared" si="88"/>
        <v>2</v>
      </c>
      <c r="AG48" s="30">
        <f t="shared" si="89"/>
        <v>11</v>
      </c>
      <c r="AH48" s="97"/>
      <c r="AI48" s="285"/>
      <c r="AJ48" s="51">
        <v>8</v>
      </c>
      <c r="AK48">
        <f t="shared" si="29"/>
        <v>0</v>
      </c>
      <c r="AL48" s="37">
        <f t="shared" si="90"/>
        <v>2</v>
      </c>
      <c r="AM48" s="30">
        <f t="shared" si="91"/>
        <v>11</v>
      </c>
      <c r="AN48" s="97"/>
      <c r="AO48" s="287"/>
      <c r="AP48" s="174"/>
      <c r="AQ48" s="296"/>
      <c r="AR48" s="51">
        <v>8</v>
      </c>
      <c r="AS48">
        <f t="shared" si="92"/>
        <v>0</v>
      </c>
      <c r="AT48" s="37">
        <f t="shared" si="93"/>
        <v>2</v>
      </c>
      <c r="AU48" s="30">
        <f t="shared" si="94"/>
        <v>11</v>
      </c>
      <c r="AV48" s="97"/>
      <c r="AW48" s="285"/>
      <c r="AX48" s="51">
        <v>8</v>
      </c>
      <c r="AY48">
        <f t="shared" si="107"/>
        <v>0</v>
      </c>
      <c r="AZ48" s="37">
        <f t="shared" si="95"/>
        <v>2</v>
      </c>
      <c r="BA48" s="30">
        <f t="shared" si="96"/>
        <v>11</v>
      </c>
      <c r="BB48" s="97"/>
      <c r="BC48" s="285"/>
      <c r="BD48" s="51">
        <v>8</v>
      </c>
      <c r="BE48">
        <f t="shared" si="108"/>
        <v>0</v>
      </c>
      <c r="BF48" s="37">
        <f t="shared" si="97"/>
        <v>2</v>
      </c>
      <c r="BG48" s="30">
        <f t="shared" si="98"/>
        <v>11</v>
      </c>
      <c r="BH48" s="97"/>
      <c r="BI48" s="287"/>
      <c r="BJ48" s="171"/>
      <c r="BK48" s="296"/>
      <c r="BL48" s="51">
        <v>8</v>
      </c>
      <c r="BM48">
        <f t="shared" si="106"/>
        <v>0</v>
      </c>
      <c r="BN48" s="37">
        <f t="shared" si="99"/>
        <v>2</v>
      </c>
      <c r="BO48" s="30">
        <f t="shared" si="100"/>
        <v>11</v>
      </c>
      <c r="BP48" s="97"/>
      <c r="BQ48" s="285"/>
      <c r="BR48" s="51">
        <v>8</v>
      </c>
      <c r="BS48">
        <f t="shared" si="109"/>
        <v>0</v>
      </c>
      <c r="BT48" s="37">
        <f t="shared" si="101"/>
        <v>2</v>
      </c>
      <c r="BU48" s="30">
        <f t="shared" si="102"/>
        <v>11</v>
      </c>
      <c r="BV48" s="97"/>
      <c r="BW48" s="285"/>
      <c r="BX48" s="51">
        <v>8</v>
      </c>
      <c r="BY48">
        <f t="shared" si="110"/>
        <v>0</v>
      </c>
      <c r="BZ48" s="37">
        <f t="shared" si="103"/>
        <v>2</v>
      </c>
      <c r="CA48" s="30">
        <f t="shared" si="104"/>
        <v>11</v>
      </c>
      <c r="CB48" s="97"/>
      <c r="CC48" s="287"/>
    </row>
    <row r="49" spans="1:88" s="79" customFormat="1" x14ac:dyDescent="0.45">
      <c r="A49" s="293">
        <v>4</v>
      </c>
      <c r="B49" s="179">
        <f>O9</f>
        <v>3</v>
      </c>
      <c r="C49" s="87" t="s">
        <v>154</v>
      </c>
      <c r="D49" s="10" t="s">
        <v>158</v>
      </c>
      <c r="E49" s="88" t="s">
        <v>152</v>
      </c>
      <c r="F49" s="152"/>
      <c r="G49" s="287">
        <f>IF(COUNT(F50:F58) &gt;0, COUNT(F50:F58)/2,"")</f>
        <v>1</v>
      </c>
      <c r="H49" s="174"/>
      <c r="I49" s="293">
        <v>4</v>
      </c>
      <c r="J49" s="179">
        <f>W8</f>
        <v>0</v>
      </c>
      <c r="K49" s="87" t="s">
        <v>154</v>
      </c>
      <c r="L49" s="10" t="s">
        <v>158</v>
      </c>
      <c r="M49" s="88" t="s">
        <v>152</v>
      </c>
      <c r="N49" s="152"/>
      <c r="O49" s="286">
        <v>4</v>
      </c>
      <c r="P49" s="179">
        <f>AC8</f>
        <v>0</v>
      </c>
      <c r="Q49" s="87" t="s">
        <v>154</v>
      </c>
      <c r="R49" s="10" t="s">
        <v>158</v>
      </c>
      <c r="S49" s="88" t="s">
        <v>152</v>
      </c>
      <c r="T49" s="152"/>
      <c r="U49" s="287" t="str">
        <f>IF(COUNT(H50:H58,N50:N58,T50:T58) &gt;0, COUNT(H50:H58,N50:N58,T50:T58) /2,"")</f>
        <v/>
      </c>
      <c r="V49" s="174"/>
      <c r="W49" s="293">
        <v>4</v>
      </c>
      <c r="X49" s="179">
        <f>AK8</f>
        <v>0</v>
      </c>
      <c r="Y49" s="87" t="s">
        <v>154</v>
      </c>
      <c r="Z49" s="10" t="s">
        <v>158</v>
      </c>
      <c r="AA49" s="88" t="s">
        <v>152</v>
      </c>
      <c r="AB49" s="94"/>
      <c r="AC49" s="286">
        <v>4</v>
      </c>
      <c r="AD49" s="179">
        <f>AQ8</f>
        <v>0</v>
      </c>
      <c r="AE49" s="87" t="s">
        <v>154</v>
      </c>
      <c r="AF49" s="10" t="s">
        <v>158</v>
      </c>
      <c r="AG49" s="88" t="s">
        <v>152</v>
      </c>
      <c r="AH49" s="94"/>
      <c r="AI49" s="286">
        <v>4</v>
      </c>
      <c r="AJ49" s="179">
        <f>AW8</f>
        <v>0</v>
      </c>
      <c r="AK49" t="str">
        <f t="shared" si="29"/>
        <v xml:space="preserve">CTR </v>
      </c>
      <c r="AL49" s="10" t="s">
        <v>158</v>
      </c>
      <c r="AM49" s="88" t="s">
        <v>152</v>
      </c>
      <c r="AN49" s="94"/>
      <c r="AO49" s="287" t="str">
        <f>IF(COUNT(AB50:AB58,AH50:AH58,AN50:AN58) &gt;0, COUNT(AB50:AB58,AH50:AH58,AN50:AN58) /2,"")</f>
        <v/>
      </c>
      <c r="AP49" s="174"/>
      <c r="AQ49" s="293">
        <v>4</v>
      </c>
      <c r="AR49" s="179">
        <f>BE8</f>
        <v>0</v>
      </c>
      <c r="AS49" s="87" t="s">
        <v>154</v>
      </c>
      <c r="AT49" s="10" t="s">
        <v>158</v>
      </c>
      <c r="AU49" s="88" t="s">
        <v>152</v>
      </c>
      <c r="AV49" s="94"/>
      <c r="AW49" s="286">
        <v>4</v>
      </c>
      <c r="AX49" s="179">
        <f>BK8</f>
        <v>0</v>
      </c>
      <c r="AY49" s="87" t="s">
        <v>154</v>
      </c>
      <c r="AZ49" s="10" t="s">
        <v>158</v>
      </c>
      <c r="BA49" s="88" t="s">
        <v>152</v>
      </c>
      <c r="BB49" s="94"/>
      <c r="BC49" s="286">
        <v>4</v>
      </c>
      <c r="BD49" s="179">
        <f>BQ8</f>
        <v>0</v>
      </c>
      <c r="BE49" s="87" t="s">
        <v>154</v>
      </c>
      <c r="BF49" s="10" t="s">
        <v>158</v>
      </c>
      <c r="BG49" s="88" t="s">
        <v>152</v>
      </c>
      <c r="BH49" s="94"/>
      <c r="BI49" s="287" t="str">
        <f>IF(COUNT(AV50:AV58,BB50:BB58,BH50:BH58) &gt;0, COUNT(AV50:AV58,BB50:BB58,BH50:BH58) /2,"")</f>
        <v/>
      </c>
      <c r="BJ49" s="171"/>
      <c r="BK49" s="293">
        <v>4</v>
      </c>
      <c r="BL49" s="179">
        <f>BY8</f>
        <v>0</v>
      </c>
      <c r="BM49" s="87" t="s">
        <v>154</v>
      </c>
      <c r="BN49" s="10" t="s">
        <v>158</v>
      </c>
      <c r="BO49" s="88" t="s">
        <v>152</v>
      </c>
      <c r="BP49" s="94"/>
      <c r="BQ49" s="286">
        <v>4</v>
      </c>
      <c r="BR49" s="179">
        <f>CE8</f>
        <v>0</v>
      </c>
      <c r="BS49" s="87" t="s">
        <v>154</v>
      </c>
      <c r="BT49" s="10" t="s">
        <v>158</v>
      </c>
      <c r="BU49" s="88" t="s">
        <v>152</v>
      </c>
      <c r="BV49" s="94"/>
      <c r="BW49" s="286">
        <v>4</v>
      </c>
      <c r="BX49" s="179">
        <f>CK8</f>
        <v>0</v>
      </c>
      <c r="BY49" s="87" t="s">
        <v>154</v>
      </c>
      <c r="BZ49" s="10" t="s">
        <v>158</v>
      </c>
      <c r="CA49" s="88" t="s">
        <v>152</v>
      </c>
      <c r="CB49" s="94"/>
      <c r="CC49" s="287" t="str">
        <f>IF(COUNT(BP50:BP58,BV50:BV58,CB50:CB58) &gt;0, COUNT(BP50:BP58,BV50:BV58,CB50:CB58) /2,"")</f>
        <v/>
      </c>
      <c r="CD49"/>
      <c r="CE49"/>
      <c r="CF49"/>
      <c r="CG49"/>
      <c r="CH49"/>
      <c r="CI49"/>
      <c r="CJ49"/>
    </row>
    <row r="50" spans="1:88" ht="27.75" customHeight="1" x14ac:dyDescent="0.45">
      <c r="A50" s="294"/>
      <c r="B50" s="176" t="s">
        <v>162</v>
      </c>
      <c r="C50" s="102" t="s">
        <v>156</v>
      </c>
      <c r="D50" s="89" t="s">
        <v>175</v>
      </c>
      <c r="E50" s="177" t="s">
        <v>174</v>
      </c>
      <c r="F50" s="148"/>
      <c r="G50" s="287"/>
      <c r="H50" s="174"/>
      <c r="I50" s="294"/>
      <c r="J50" s="176" t="s">
        <v>162</v>
      </c>
      <c r="K50" s="90" t="s">
        <v>155</v>
      </c>
      <c r="L50" s="89" t="s">
        <v>175</v>
      </c>
      <c r="M50" s="177" t="s">
        <v>174</v>
      </c>
      <c r="N50" s="148"/>
      <c r="O50" s="284"/>
      <c r="P50" s="176" t="s">
        <v>162</v>
      </c>
      <c r="Q50" s="90" t="s">
        <v>155</v>
      </c>
      <c r="R50" s="89" t="s">
        <v>175</v>
      </c>
      <c r="S50" s="177" t="s">
        <v>174</v>
      </c>
      <c r="T50" s="156"/>
      <c r="U50" s="287"/>
      <c r="V50" s="174"/>
      <c r="W50" s="294"/>
      <c r="X50" s="176" t="s">
        <v>162</v>
      </c>
      <c r="Y50" s="90" t="s">
        <v>155</v>
      </c>
      <c r="Z50" s="89" t="s">
        <v>175</v>
      </c>
      <c r="AA50" s="177" t="s">
        <v>174</v>
      </c>
      <c r="AB50" s="95"/>
      <c r="AC50" s="284"/>
      <c r="AD50" s="176" t="s">
        <v>162</v>
      </c>
      <c r="AE50" s="90" t="s">
        <v>155</v>
      </c>
      <c r="AF50" s="89" t="s">
        <v>175</v>
      </c>
      <c r="AG50" s="177" t="s">
        <v>174</v>
      </c>
      <c r="AH50" s="95"/>
      <c r="AI50" s="284"/>
      <c r="AJ50" s="176" t="s">
        <v>162</v>
      </c>
      <c r="AK50" s="90" t="s">
        <v>155</v>
      </c>
      <c r="AL50" s="89" t="s">
        <v>175</v>
      </c>
      <c r="AM50" s="177" t="s">
        <v>174</v>
      </c>
      <c r="AN50" s="95"/>
      <c r="AO50" s="287"/>
      <c r="AP50" s="174"/>
      <c r="AQ50" s="294"/>
      <c r="AR50" s="176" t="s">
        <v>162</v>
      </c>
      <c r="AS50" s="90" t="s">
        <v>155</v>
      </c>
      <c r="AT50" s="89" t="s">
        <v>175</v>
      </c>
      <c r="AU50" s="177" t="s">
        <v>174</v>
      </c>
      <c r="AV50" s="95"/>
      <c r="AW50" s="284"/>
      <c r="AX50" s="176" t="s">
        <v>162</v>
      </c>
      <c r="AY50" s="90" t="s">
        <v>155</v>
      </c>
      <c r="AZ50" s="89" t="s">
        <v>175</v>
      </c>
      <c r="BA50" s="177" t="s">
        <v>174</v>
      </c>
      <c r="BB50" s="95"/>
      <c r="BC50" s="284"/>
      <c r="BD50" s="176" t="s">
        <v>162</v>
      </c>
      <c r="BE50" s="90" t="s">
        <v>155</v>
      </c>
      <c r="BF50" s="89" t="s">
        <v>175</v>
      </c>
      <c r="BG50" s="177" t="s">
        <v>174</v>
      </c>
      <c r="BH50" s="95"/>
      <c r="BI50" s="287"/>
      <c r="BJ50" s="171"/>
      <c r="BK50" s="294"/>
      <c r="BL50" s="176" t="s">
        <v>162</v>
      </c>
      <c r="BM50" s="90" t="s">
        <v>155</v>
      </c>
      <c r="BN50" s="89" t="s">
        <v>175</v>
      </c>
      <c r="BO50" s="177" t="s">
        <v>174</v>
      </c>
      <c r="BP50" s="95"/>
      <c r="BQ50" s="284"/>
      <c r="BR50" s="176" t="s">
        <v>162</v>
      </c>
      <c r="BS50" s="90" t="s">
        <v>155</v>
      </c>
      <c r="BT50" s="89" t="s">
        <v>175</v>
      </c>
      <c r="BU50" s="177" t="s">
        <v>174</v>
      </c>
      <c r="BV50" s="95"/>
      <c r="BW50" s="284"/>
      <c r="BX50" s="176" t="s">
        <v>162</v>
      </c>
      <c r="BY50" s="90" t="s">
        <v>155</v>
      </c>
      <c r="BZ50" s="89" t="s">
        <v>175</v>
      </c>
      <c r="CA50" s="177" t="s">
        <v>174</v>
      </c>
      <c r="CB50" s="95"/>
      <c r="CC50" s="287"/>
    </row>
    <row r="51" spans="1:88" x14ac:dyDescent="0.45">
      <c r="A51" s="294"/>
      <c r="B51" s="1">
        <v>1</v>
      </c>
      <c r="C51">
        <v>0</v>
      </c>
      <c r="D51" s="37">
        <f t="shared" ref="D51:D58" si="111">(C51+$B$19)*$G$3</f>
        <v>2</v>
      </c>
      <c r="E51" s="30">
        <f t="shared" ref="E51:E58" si="112">MOD($F6+D51,$G$2)</f>
        <v>9</v>
      </c>
      <c r="F51" s="149"/>
      <c r="G51" s="287"/>
      <c r="H51" s="174"/>
      <c r="I51" s="294"/>
      <c r="J51" s="1">
        <v>1</v>
      </c>
      <c r="K51">
        <f t="shared" ref="K51:K58" si="113">IF(F51="", C51,IF(F51=MIN(F$51:F$58),C51+1,0))</f>
        <v>0</v>
      </c>
      <c r="L51" s="37">
        <f t="shared" ref="L51:L58" si="114">(K51+$B$19)*$G$3</f>
        <v>2</v>
      </c>
      <c r="M51" s="30">
        <f t="shared" ref="M51:M58" si="115">MOD($F6+L51,$G$2)</f>
        <v>9</v>
      </c>
      <c r="N51" s="149"/>
      <c r="O51" s="284"/>
      <c r="P51" s="1">
        <v>1</v>
      </c>
      <c r="Q51">
        <f t="shared" ref="Q51:Q58" si="116">IF(N51="", K51,IF(N51=MIN(N$51:N$58),K51+1,0))</f>
        <v>0</v>
      </c>
      <c r="R51" s="37">
        <f t="shared" ref="R51:R58" si="117">(Q51+$B$19)*$G$3</f>
        <v>2</v>
      </c>
      <c r="S51" s="30">
        <f t="shared" ref="S51:S58" si="118">MOD($F6+R51,$G$2)</f>
        <v>9</v>
      </c>
      <c r="T51" s="149"/>
      <c r="U51" s="287"/>
      <c r="V51" s="174"/>
      <c r="W51" s="294"/>
      <c r="X51" s="1">
        <v>1</v>
      </c>
      <c r="Y51">
        <f t="shared" ref="Y51:Y58" si="119">IF(T51="", Q51,IF(T51=MIN(T$51:T$58),Q51+1,0))</f>
        <v>0</v>
      </c>
      <c r="Z51" s="37">
        <f t="shared" ref="Z51:Z58" si="120">(Y51+$B$19)*$G$3</f>
        <v>2</v>
      </c>
      <c r="AA51" s="30">
        <f t="shared" ref="AA51:AA58" si="121">MOD($F6+Z51,$G$2)</f>
        <v>9</v>
      </c>
      <c r="AB51" s="98"/>
      <c r="AC51" s="284"/>
      <c r="AD51" s="1">
        <v>1</v>
      </c>
      <c r="AE51">
        <f t="shared" ref="AE51:AE58" si="122">IF(AB51="", Y51,IF(AB51=MIN(AB$51:AB$58),Y51+1,0))</f>
        <v>0</v>
      </c>
      <c r="AF51" s="37">
        <f t="shared" ref="AF51:AF58" si="123">(AE51+$B$19)*$G$3</f>
        <v>2</v>
      </c>
      <c r="AG51" s="30">
        <f t="shared" ref="AG51:AG58" si="124">MOD($F6+AF51,$G$2)</f>
        <v>9</v>
      </c>
      <c r="AH51" s="98"/>
      <c r="AI51" s="284"/>
      <c r="AJ51" s="1">
        <v>1</v>
      </c>
      <c r="AK51">
        <f t="shared" si="29"/>
        <v>0</v>
      </c>
      <c r="AL51" s="37">
        <f t="shared" ref="AL51:AL58" si="125">(AK51+$B$19)*$G$3</f>
        <v>2</v>
      </c>
      <c r="AM51" s="30">
        <f t="shared" ref="AM51:AM58" si="126">MOD($F6+AL51,$G$2)</f>
        <v>9</v>
      </c>
      <c r="AN51" s="98"/>
      <c r="AO51" s="287"/>
      <c r="AP51" s="174"/>
      <c r="AQ51" s="294"/>
      <c r="AR51" s="1">
        <v>1</v>
      </c>
      <c r="AS51">
        <f t="shared" ref="AS51:AS58" si="127">IF(AN51="", AK51,IF(AN51=MIN(AN$51:AN$58),AK51+1,0))</f>
        <v>0</v>
      </c>
      <c r="AT51" s="37">
        <f t="shared" ref="AT51:AT58" si="128">(AS51+$B$19)*$G$3</f>
        <v>2</v>
      </c>
      <c r="AU51" s="30">
        <f t="shared" ref="AU51:AU58" si="129">MOD($F6+AT51,$G$2)</f>
        <v>9</v>
      </c>
      <c r="AV51" s="98"/>
      <c r="AW51" s="284"/>
      <c r="AX51" s="1">
        <v>1</v>
      </c>
      <c r="AY51">
        <f>IF(AV51="", AS51,IF(AV51=MIN(AV$51:AV$58),AS51+1,0))</f>
        <v>0</v>
      </c>
      <c r="AZ51" s="37">
        <f t="shared" ref="AZ51:AZ58" si="130">(AY51+$B$19)*$G$3</f>
        <v>2</v>
      </c>
      <c r="BA51" s="30">
        <f t="shared" ref="BA51:BA58" si="131">MOD($F6+AZ51,$G$2)</f>
        <v>9</v>
      </c>
      <c r="BB51" s="98"/>
      <c r="BC51" s="284"/>
      <c r="BD51" s="1">
        <v>1</v>
      </c>
      <c r="BE51">
        <f>IF(BB51="", AY51,IF(BB51=MIN(BB$51:BB$58),AY51+1,0))</f>
        <v>0</v>
      </c>
      <c r="BF51" s="37">
        <f t="shared" ref="BF51:BF58" si="132">(BE51+$B$19)*$G$3</f>
        <v>2</v>
      </c>
      <c r="BG51" s="30">
        <f t="shared" ref="BG51:BG58" si="133">MOD($F6+BF51,$G$2)</f>
        <v>9</v>
      </c>
      <c r="BH51" s="98"/>
      <c r="BI51" s="287"/>
      <c r="BJ51" s="171"/>
      <c r="BK51" s="294"/>
      <c r="BL51" s="1">
        <v>1</v>
      </c>
      <c r="BM51">
        <f>IF(BH51="", BE51,IF(BH51=MIN(BH$51:BH$58),BE51+1,0))</f>
        <v>0</v>
      </c>
      <c r="BN51" s="37">
        <f t="shared" ref="BN51:BN58" si="134">(BM51+$B$19)*$G$3</f>
        <v>2</v>
      </c>
      <c r="BO51" s="30">
        <f t="shared" ref="BO51:BO58" si="135">MOD($F6+BN51,$G$2)</f>
        <v>9</v>
      </c>
      <c r="BP51" s="98"/>
      <c r="BQ51" s="284"/>
      <c r="BR51" s="1">
        <v>1</v>
      </c>
      <c r="BS51">
        <f>IF(BP51="", BM51,IF(BP51=MIN(BP$51:BP$58),BM51+1,0))</f>
        <v>0</v>
      </c>
      <c r="BT51" s="37">
        <f t="shared" ref="BT51:BT58" si="136">(BS51+$B$19)*$G$3</f>
        <v>2</v>
      </c>
      <c r="BU51" s="30">
        <f t="shared" ref="BU51:BU58" si="137">MOD($F6+BT51,$G$2)</f>
        <v>9</v>
      </c>
      <c r="BV51" s="98"/>
      <c r="BW51" s="284"/>
      <c r="BX51" s="1">
        <v>1</v>
      </c>
      <c r="BY51">
        <f>IF(BV51="", BS51,IF(BV51=MIN(BV$51:BV$58),BS51+1,0))</f>
        <v>0</v>
      </c>
      <c r="BZ51" s="37">
        <f t="shared" ref="BZ51:BZ58" si="138">(BY51+$B$19)*$G$3</f>
        <v>2</v>
      </c>
      <c r="CA51" s="30">
        <f t="shared" ref="CA51:CA58" si="139">MOD($F6+BZ51,$G$2)</f>
        <v>9</v>
      </c>
      <c r="CB51" s="98"/>
      <c r="CC51" s="287"/>
      <c r="CJ51" s="138"/>
    </row>
    <row r="52" spans="1:88" x14ac:dyDescent="0.45">
      <c r="A52" s="294"/>
      <c r="B52" s="1">
        <v>2</v>
      </c>
      <c r="C52">
        <f t="shared" ref="C52:C58" si="140">IF(B52=MIN(B$21:B$28),1,0)</f>
        <v>0</v>
      </c>
      <c r="D52" s="37">
        <f t="shared" si="111"/>
        <v>2</v>
      </c>
      <c r="E52" s="30">
        <f t="shared" si="112"/>
        <v>5</v>
      </c>
      <c r="F52" s="150"/>
      <c r="G52" s="287"/>
      <c r="H52" s="174"/>
      <c r="I52" s="294"/>
      <c r="J52" s="1">
        <v>2</v>
      </c>
      <c r="K52">
        <f t="shared" si="113"/>
        <v>0</v>
      </c>
      <c r="L52" s="37">
        <f t="shared" si="114"/>
        <v>2</v>
      </c>
      <c r="M52" s="30">
        <f t="shared" si="115"/>
        <v>5</v>
      </c>
      <c r="N52" s="150"/>
      <c r="O52" s="284"/>
      <c r="P52" s="1">
        <v>2</v>
      </c>
      <c r="Q52">
        <f t="shared" si="116"/>
        <v>0</v>
      </c>
      <c r="R52" s="37">
        <f t="shared" si="117"/>
        <v>2</v>
      </c>
      <c r="S52" s="30">
        <f t="shared" si="118"/>
        <v>5</v>
      </c>
      <c r="T52" s="150"/>
      <c r="U52" s="287"/>
      <c r="V52" s="174"/>
      <c r="W52" s="294"/>
      <c r="X52" s="1">
        <v>2</v>
      </c>
      <c r="Y52">
        <f t="shared" si="119"/>
        <v>0</v>
      </c>
      <c r="Z52" s="37">
        <f t="shared" si="120"/>
        <v>2</v>
      </c>
      <c r="AA52" s="30">
        <f t="shared" si="121"/>
        <v>5</v>
      </c>
      <c r="AB52" s="96"/>
      <c r="AC52" s="284"/>
      <c r="AD52" s="1">
        <v>2</v>
      </c>
      <c r="AE52">
        <f t="shared" si="122"/>
        <v>0</v>
      </c>
      <c r="AF52" s="37">
        <f t="shared" si="123"/>
        <v>2</v>
      </c>
      <c r="AG52" s="30">
        <f t="shared" si="124"/>
        <v>5</v>
      </c>
      <c r="AH52" s="96"/>
      <c r="AI52" s="284"/>
      <c r="AJ52" s="1">
        <v>2</v>
      </c>
      <c r="AK52">
        <f t="shared" si="29"/>
        <v>0</v>
      </c>
      <c r="AL52" s="37">
        <f t="shared" si="125"/>
        <v>2</v>
      </c>
      <c r="AM52" s="30">
        <f t="shared" si="126"/>
        <v>5</v>
      </c>
      <c r="AN52" s="96"/>
      <c r="AO52" s="287"/>
      <c r="AP52" s="174"/>
      <c r="AQ52" s="294"/>
      <c r="AR52" s="1">
        <v>2</v>
      </c>
      <c r="AS52">
        <f t="shared" si="127"/>
        <v>0</v>
      </c>
      <c r="AT52" s="37">
        <f t="shared" si="128"/>
        <v>2</v>
      </c>
      <c r="AU52" s="30">
        <f t="shared" si="129"/>
        <v>5</v>
      </c>
      <c r="AV52" s="96"/>
      <c r="AW52" s="284"/>
      <c r="AX52" s="1">
        <v>2</v>
      </c>
      <c r="AY52">
        <f>IF(AV52="", AS52,IF(AV52=MIN(AV$51:AV$58),AS52+1,0))</f>
        <v>0</v>
      </c>
      <c r="AZ52" s="37">
        <f t="shared" si="130"/>
        <v>2</v>
      </c>
      <c r="BA52" s="30">
        <f t="shared" si="131"/>
        <v>5</v>
      </c>
      <c r="BB52" s="96"/>
      <c r="BC52" s="284"/>
      <c r="BD52" s="1">
        <v>2</v>
      </c>
      <c r="BE52">
        <f>IF(BB52="", AY52,IF(BB52=MIN(BB$51:BB$58),AY52+1,0))</f>
        <v>0</v>
      </c>
      <c r="BF52" s="37">
        <f t="shared" si="132"/>
        <v>2</v>
      </c>
      <c r="BG52" s="30">
        <f t="shared" si="133"/>
        <v>5</v>
      </c>
      <c r="BH52" s="96"/>
      <c r="BI52" s="287"/>
      <c r="BJ52" s="171"/>
      <c r="BK52" s="294"/>
      <c r="BL52" s="1">
        <v>2</v>
      </c>
      <c r="BM52">
        <f t="shared" ref="BM52:BM58" si="141">IF(BH52="", BE52,IF(BH52=MIN(BH$51:BH$58),BE52+1,0))</f>
        <v>0</v>
      </c>
      <c r="BN52" s="37">
        <f t="shared" si="134"/>
        <v>2</v>
      </c>
      <c r="BO52" s="30">
        <f t="shared" si="135"/>
        <v>5</v>
      </c>
      <c r="BP52" s="96"/>
      <c r="BQ52" s="284"/>
      <c r="BR52" s="1">
        <v>2</v>
      </c>
      <c r="BS52">
        <f>IF(BP52="", BM52,IF(BP52=MIN(BP$51:BP$58),BM52+1,0))</f>
        <v>0</v>
      </c>
      <c r="BT52" s="37">
        <f t="shared" si="136"/>
        <v>2</v>
      </c>
      <c r="BU52" s="30">
        <f t="shared" si="137"/>
        <v>5</v>
      </c>
      <c r="BV52" s="96"/>
      <c r="BW52" s="284"/>
      <c r="BX52" s="1">
        <v>2</v>
      </c>
      <c r="BY52">
        <f>IF(BV52="", BS52,IF(BV52=MIN(BV$51:BV$58),BS52+1,0))</f>
        <v>0</v>
      </c>
      <c r="BZ52" s="37">
        <f t="shared" si="138"/>
        <v>2</v>
      </c>
      <c r="CA52" s="30">
        <f t="shared" si="139"/>
        <v>5</v>
      </c>
      <c r="CB52" s="96"/>
      <c r="CC52" s="287"/>
    </row>
    <row r="53" spans="1:88" x14ac:dyDescent="0.45">
      <c r="A53" s="294"/>
      <c r="B53" s="1">
        <v>3</v>
      </c>
      <c r="C53">
        <f t="shared" si="140"/>
        <v>0</v>
      </c>
      <c r="D53" s="37">
        <f t="shared" si="111"/>
        <v>2</v>
      </c>
      <c r="E53" s="30">
        <f t="shared" si="112"/>
        <v>0</v>
      </c>
      <c r="F53" s="150">
        <v>4</v>
      </c>
      <c r="G53" s="287"/>
      <c r="H53" s="174"/>
      <c r="I53" s="294"/>
      <c r="J53" s="1">
        <v>3</v>
      </c>
      <c r="K53">
        <f t="shared" si="113"/>
        <v>0</v>
      </c>
      <c r="L53" s="37">
        <f t="shared" si="114"/>
        <v>2</v>
      </c>
      <c r="M53" s="30">
        <f t="shared" si="115"/>
        <v>0</v>
      </c>
      <c r="N53" s="150"/>
      <c r="O53" s="284"/>
      <c r="P53" s="1">
        <v>3</v>
      </c>
      <c r="Q53">
        <f t="shared" si="116"/>
        <v>0</v>
      </c>
      <c r="R53" s="37">
        <f t="shared" si="117"/>
        <v>2</v>
      </c>
      <c r="S53" s="30">
        <f t="shared" si="118"/>
        <v>0</v>
      </c>
      <c r="T53" s="150"/>
      <c r="U53" s="287"/>
      <c r="V53" s="174"/>
      <c r="W53" s="294"/>
      <c r="X53" s="1">
        <v>3</v>
      </c>
      <c r="Y53">
        <f t="shared" si="119"/>
        <v>0</v>
      </c>
      <c r="Z53" s="37">
        <f t="shared" si="120"/>
        <v>2</v>
      </c>
      <c r="AA53" s="30">
        <f t="shared" si="121"/>
        <v>0</v>
      </c>
      <c r="AB53" s="96"/>
      <c r="AC53" s="284"/>
      <c r="AD53" s="1">
        <v>3</v>
      </c>
      <c r="AE53">
        <f t="shared" si="122"/>
        <v>0</v>
      </c>
      <c r="AF53" s="37">
        <f t="shared" si="123"/>
        <v>2</v>
      </c>
      <c r="AG53" s="30">
        <f t="shared" si="124"/>
        <v>0</v>
      </c>
      <c r="AH53" s="96"/>
      <c r="AI53" s="284"/>
      <c r="AJ53" s="1">
        <v>3</v>
      </c>
      <c r="AK53">
        <f t="shared" si="29"/>
        <v>0</v>
      </c>
      <c r="AL53" s="37">
        <f t="shared" si="125"/>
        <v>2</v>
      </c>
      <c r="AM53" s="30">
        <f t="shared" si="126"/>
        <v>0</v>
      </c>
      <c r="AN53" s="96"/>
      <c r="AO53" s="287"/>
      <c r="AP53" s="174"/>
      <c r="AQ53" s="294"/>
      <c r="AR53" s="1">
        <v>3</v>
      </c>
      <c r="AS53">
        <f t="shared" si="127"/>
        <v>0</v>
      </c>
      <c r="AT53" s="37">
        <f t="shared" si="128"/>
        <v>2</v>
      </c>
      <c r="AU53" s="30">
        <f t="shared" si="129"/>
        <v>0</v>
      </c>
      <c r="AV53" s="96"/>
      <c r="AW53" s="284"/>
      <c r="AX53" s="1">
        <v>3</v>
      </c>
      <c r="AY53">
        <f t="shared" ref="AY53:AY58" si="142">IF(AV53="", AS53,IF(AV53=MIN(AV$51:AV$58),AS53+1,0))</f>
        <v>0</v>
      </c>
      <c r="AZ53" s="37">
        <f t="shared" si="130"/>
        <v>2</v>
      </c>
      <c r="BA53" s="30">
        <f t="shared" si="131"/>
        <v>0</v>
      </c>
      <c r="BB53" s="96"/>
      <c r="BC53" s="284"/>
      <c r="BD53" s="1">
        <v>3</v>
      </c>
      <c r="BE53">
        <f t="shared" ref="BE53:BE58" si="143">IF(BB53="", AY53,IF(BB53=MIN(BB$51:BB$58),AY53+1,0))</f>
        <v>0</v>
      </c>
      <c r="BF53" s="37">
        <f t="shared" si="132"/>
        <v>2</v>
      </c>
      <c r="BG53" s="30">
        <f t="shared" si="133"/>
        <v>0</v>
      </c>
      <c r="BH53" s="96"/>
      <c r="BI53" s="287"/>
      <c r="BJ53" s="171"/>
      <c r="BK53" s="294"/>
      <c r="BL53" s="1">
        <v>3</v>
      </c>
      <c r="BM53">
        <f t="shared" si="141"/>
        <v>0</v>
      </c>
      <c r="BN53" s="37">
        <f t="shared" si="134"/>
        <v>2</v>
      </c>
      <c r="BO53" s="30">
        <f t="shared" si="135"/>
        <v>0</v>
      </c>
      <c r="BP53" s="96"/>
      <c r="BQ53" s="284"/>
      <c r="BR53" s="1">
        <v>3</v>
      </c>
      <c r="BS53">
        <f t="shared" ref="BS53:BS58" si="144">IF(BP53="", BM53,IF(BP53=MIN(BP$51:BP$58),BM53+1,0))</f>
        <v>0</v>
      </c>
      <c r="BT53" s="37">
        <f t="shared" si="136"/>
        <v>2</v>
      </c>
      <c r="BU53" s="30">
        <f t="shared" si="137"/>
        <v>0</v>
      </c>
      <c r="BV53" s="96"/>
      <c r="BW53" s="284"/>
      <c r="BX53" s="1">
        <v>3</v>
      </c>
      <c r="BY53">
        <f t="shared" ref="BY53:BY58" si="145">IF(BV53="", BS53,IF(BV53=MIN(BV$51:BV$58),BS53+1,0))</f>
        <v>0</v>
      </c>
      <c r="BZ53" s="37">
        <f t="shared" si="138"/>
        <v>2</v>
      </c>
      <c r="CA53" s="30">
        <f t="shared" si="139"/>
        <v>0</v>
      </c>
      <c r="CB53" s="96"/>
      <c r="CC53" s="287"/>
    </row>
    <row r="54" spans="1:88" s="181" customFormat="1" x14ac:dyDescent="0.45">
      <c r="A54" s="294"/>
      <c r="B54" s="180">
        <v>4</v>
      </c>
      <c r="C54" s="181">
        <f t="shared" si="140"/>
        <v>0</v>
      </c>
      <c r="D54" s="37">
        <f t="shared" si="111"/>
        <v>2</v>
      </c>
      <c r="E54" s="30">
        <f t="shared" si="112"/>
        <v>12</v>
      </c>
      <c r="F54" s="188">
        <v>3</v>
      </c>
      <c r="G54" s="287"/>
      <c r="H54" s="184"/>
      <c r="I54" s="294"/>
      <c r="J54" s="180">
        <v>4</v>
      </c>
      <c r="K54" s="181">
        <f t="shared" si="113"/>
        <v>1</v>
      </c>
      <c r="L54" s="37">
        <f t="shared" si="114"/>
        <v>4</v>
      </c>
      <c r="M54" s="30">
        <f t="shared" si="115"/>
        <v>14</v>
      </c>
      <c r="N54" s="188"/>
      <c r="O54" s="284"/>
      <c r="P54" s="180">
        <v>4</v>
      </c>
      <c r="Q54" s="181">
        <f t="shared" si="116"/>
        <v>1</v>
      </c>
      <c r="R54" s="37">
        <f t="shared" si="117"/>
        <v>4</v>
      </c>
      <c r="S54" s="30">
        <f t="shared" si="118"/>
        <v>14</v>
      </c>
      <c r="T54" s="188"/>
      <c r="U54" s="287"/>
      <c r="V54" s="184"/>
      <c r="W54" s="294"/>
      <c r="X54" s="180">
        <v>4</v>
      </c>
      <c r="Y54" s="181">
        <f t="shared" si="119"/>
        <v>1</v>
      </c>
      <c r="Z54" s="37">
        <f t="shared" si="120"/>
        <v>4</v>
      </c>
      <c r="AA54" s="30">
        <f t="shared" si="121"/>
        <v>14</v>
      </c>
      <c r="AB54" s="189"/>
      <c r="AC54" s="284"/>
      <c r="AD54" s="180">
        <v>4</v>
      </c>
      <c r="AE54" s="181">
        <f t="shared" si="122"/>
        <v>1</v>
      </c>
      <c r="AF54" s="37">
        <f t="shared" si="123"/>
        <v>4</v>
      </c>
      <c r="AG54" s="30">
        <f t="shared" si="124"/>
        <v>14</v>
      </c>
      <c r="AH54" s="189"/>
      <c r="AI54" s="284"/>
      <c r="AJ54" s="180">
        <v>4</v>
      </c>
      <c r="AK54" s="181">
        <f t="shared" si="29"/>
        <v>1</v>
      </c>
      <c r="AL54" s="37">
        <f t="shared" si="125"/>
        <v>4</v>
      </c>
      <c r="AM54" s="30">
        <f t="shared" si="126"/>
        <v>14</v>
      </c>
      <c r="AN54" s="189"/>
      <c r="AO54" s="287"/>
      <c r="AP54" s="184"/>
      <c r="AQ54" s="294"/>
      <c r="AR54" s="180">
        <v>4</v>
      </c>
      <c r="AS54" s="181">
        <f t="shared" si="127"/>
        <v>1</v>
      </c>
      <c r="AT54" s="37">
        <f t="shared" si="128"/>
        <v>4</v>
      </c>
      <c r="AU54" s="30">
        <f t="shared" si="129"/>
        <v>14</v>
      </c>
      <c r="AV54" s="189"/>
      <c r="AW54" s="284"/>
      <c r="AX54" s="180">
        <v>4</v>
      </c>
      <c r="AY54" s="181">
        <f t="shared" si="142"/>
        <v>1</v>
      </c>
      <c r="AZ54" s="37">
        <f t="shared" si="130"/>
        <v>4</v>
      </c>
      <c r="BA54" s="30">
        <f t="shared" si="131"/>
        <v>14</v>
      </c>
      <c r="BB54" s="189"/>
      <c r="BC54" s="284"/>
      <c r="BD54" s="180">
        <v>4</v>
      </c>
      <c r="BE54" s="181">
        <f t="shared" si="143"/>
        <v>1</v>
      </c>
      <c r="BF54" s="37">
        <f t="shared" si="132"/>
        <v>4</v>
      </c>
      <c r="BG54" s="30">
        <f t="shared" si="133"/>
        <v>14</v>
      </c>
      <c r="BH54" s="189"/>
      <c r="BI54" s="287"/>
      <c r="BJ54" s="187"/>
      <c r="BK54" s="294"/>
      <c r="BL54" s="180">
        <v>4</v>
      </c>
      <c r="BM54" s="181">
        <f t="shared" si="141"/>
        <v>1</v>
      </c>
      <c r="BN54" s="37">
        <f t="shared" si="134"/>
        <v>4</v>
      </c>
      <c r="BO54" s="30">
        <f t="shared" si="135"/>
        <v>14</v>
      </c>
      <c r="BP54" s="189"/>
      <c r="BQ54" s="284"/>
      <c r="BR54" s="180">
        <v>4</v>
      </c>
      <c r="BS54" s="181">
        <f t="shared" si="144"/>
        <v>1</v>
      </c>
      <c r="BT54" s="37">
        <f t="shared" si="136"/>
        <v>4</v>
      </c>
      <c r="BU54" s="30">
        <f t="shared" si="137"/>
        <v>14</v>
      </c>
      <c r="BV54" s="189"/>
      <c r="BW54" s="284"/>
      <c r="BX54" s="180">
        <v>4</v>
      </c>
      <c r="BY54" s="181">
        <f t="shared" si="145"/>
        <v>1</v>
      </c>
      <c r="BZ54" s="37">
        <f t="shared" si="138"/>
        <v>4</v>
      </c>
      <c r="CA54" s="30">
        <f t="shared" si="139"/>
        <v>14</v>
      </c>
      <c r="CB54" s="189"/>
      <c r="CC54" s="287"/>
    </row>
    <row r="55" spans="1:88" x14ac:dyDescent="0.45">
      <c r="A55" s="294"/>
      <c r="B55" s="1">
        <v>5</v>
      </c>
      <c r="C55">
        <f t="shared" si="140"/>
        <v>0</v>
      </c>
      <c r="D55" s="37">
        <f t="shared" si="111"/>
        <v>2</v>
      </c>
      <c r="E55" s="30">
        <f t="shared" si="112"/>
        <v>6</v>
      </c>
      <c r="F55" s="150"/>
      <c r="G55" s="287"/>
      <c r="H55" s="174"/>
      <c r="I55" s="294"/>
      <c r="J55" s="1">
        <v>5</v>
      </c>
      <c r="K55">
        <f t="shared" si="113"/>
        <v>0</v>
      </c>
      <c r="L55" s="37">
        <f t="shared" si="114"/>
        <v>2</v>
      </c>
      <c r="M55" s="30">
        <f t="shared" si="115"/>
        <v>6</v>
      </c>
      <c r="N55" s="150"/>
      <c r="O55" s="284"/>
      <c r="P55" s="1">
        <v>5</v>
      </c>
      <c r="Q55">
        <f t="shared" si="116"/>
        <v>0</v>
      </c>
      <c r="R55" s="37">
        <f t="shared" si="117"/>
        <v>2</v>
      </c>
      <c r="S55" s="30">
        <f t="shared" si="118"/>
        <v>6</v>
      </c>
      <c r="T55" s="150"/>
      <c r="U55" s="287"/>
      <c r="V55" s="174"/>
      <c r="W55" s="294"/>
      <c r="X55" s="1">
        <v>5</v>
      </c>
      <c r="Y55">
        <f t="shared" si="119"/>
        <v>0</v>
      </c>
      <c r="Z55" s="37">
        <f t="shared" si="120"/>
        <v>2</v>
      </c>
      <c r="AA55" s="30">
        <f t="shared" si="121"/>
        <v>6</v>
      </c>
      <c r="AB55" s="96"/>
      <c r="AC55" s="284"/>
      <c r="AD55" s="1">
        <v>5</v>
      </c>
      <c r="AE55">
        <f t="shared" si="122"/>
        <v>0</v>
      </c>
      <c r="AF55" s="37">
        <f t="shared" si="123"/>
        <v>2</v>
      </c>
      <c r="AG55" s="30">
        <f t="shared" si="124"/>
        <v>6</v>
      </c>
      <c r="AH55" s="96"/>
      <c r="AI55" s="284"/>
      <c r="AJ55" s="1">
        <v>5</v>
      </c>
      <c r="AK55">
        <f t="shared" si="29"/>
        <v>0</v>
      </c>
      <c r="AL55" s="37">
        <f t="shared" si="125"/>
        <v>2</v>
      </c>
      <c r="AM55" s="30">
        <f t="shared" si="126"/>
        <v>6</v>
      </c>
      <c r="AN55" s="96"/>
      <c r="AO55" s="287"/>
      <c r="AP55" s="174"/>
      <c r="AQ55" s="294"/>
      <c r="AR55" s="1">
        <v>5</v>
      </c>
      <c r="AS55">
        <f t="shared" si="127"/>
        <v>0</v>
      </c>
      <c r="AT55" s="37">
        <f t="shared" si="128"/>
        <v>2</v>
      </c>
      <c r="AU55" s="30">
        <f t="shared" si="129"/>
        <v>6</v>
      </c>
      <c r="AV55" s="96"/>
      <c r="AW55" s="284"/>
      <c r="AX55" s="1">
        <v>5</v>
      </c>
      <c r="AY55">
        <f t="shared" si="142"/>
        <v>0</v>
      </c>
      <c r="AZ55" s="37">
        <f t="shared" si="130"/>
        <v>2</v>
      </c>
      <c r="BA55" s="30">
        <f t="shared" si="131"/>
        <v>6</v>
      </c>
      <c r="BB55" s="96"/>
      <c r="BC55" s="284"/>
      <c r="BD55" s="1">
        <v>5</v>
      </c>
      <c r="BE55">
        <f t="shared" si="143"/>
        <v>0</v>
      </c>
      <c r="BF55" s="37">
        <f t="shared" si="132"/>
        <v>2</v>
      </c>
      <c r="BG55" s="30">
        <f t="shared" si="133"/>
        <v>6</v>
      </c>
      <c r="BH55" s="96"/>
      <c r="BI55" s="287"/>
      <c r="BJ55" s="171"/>
      <c r="BK55" s="294"/>
      <c r="BL55" s="1">
        <v>5</v>
      </c>
      <c r="BM55">
        <f t="shared" si="141"/>
        <v>0</v>
      </c>
      <c r="BN55" s="37">
        <f t="shared" si="134"/>
        <v>2</v>
      </c>
      <c r="BO55" s="30">
        <f t="shared" si="135"/>
        <v>6</v>
      </c>
      <c r="BP55" s="96"/>
      <c r="BQ55" s="284"/>
      <c r="BR55" s="1">
        <v>5</v>
      </c>
      <c r="BS55">
        <f t="shared" si="144"/>
        <v>0</v>
      </c>
      <c r="BT55" s="37">
        <f t="shared" si="136"/>
        <v>2</v>
      </c>
      <c r="BU55" s="30">
        <f t="shared" si="137"/>
        <v>6</v>
      </c>
      <c r="BV55" s="96"/>
      <c r="BW55" s="284"/>
      <c r="BX55" s="1">
        <v>5</v>
      </c>
      <c r="BY55">
        <f t="shared" si="145"/>
        <v>0</v>
      </c>
      <c r="BZ55" s="37">
        <f t="shared" si="138"/>
        <v>2</v>
      </c>
      <c r="CA55" s="30">
        <f t="shared" si="139"/>
        <v>6</v>
      </c>
      <c r="CB55" s="96"/>
      <c r="CC55" s="287"/>
    </row>
    <row r="56" spans="1:88" x14ac:dyDescent="0.45">
      <c r="A56" s="294"/>
      <c r="B56" s="1">
        <v>6</v>
      </c>
      <c r="C56">
        <f t="shared" si="140"/>
        <v>0</v>
      </c>
      <c r="D56" s="37">
        <f t="shared" si="111"/>
        <v>2</v>
      </c>
      <c r="E56" s="30">
        <f t="shared" si="112"/>
        <v>2</v>
      </c>
      <c r="F56" s="150"/>
      <c r="G56" s="287"/>
      <c r="H56" s="174"/>
      <c r="I56" s="294"/>
      <c r="J56" s="1">
        <v>6</v>
      </c>
      <c r="K56">
        <f t="shared" si="113"/>
        <v>0</v>
      </c>
      <c r="L56" s="37">
        <f t="shared" si="114"/>
        <v>2</v>
      </c>
      <c r="M56" s="30">
        <f t="shared" si="115"/>
        <v>2</v>
      </c>
      <c r="N56" s="150"/>
      <c r="O56" s="284"/>
      <c r="P56" s="1">
        <v>6</v>
      </c>
      <c r="Q56">
        <f t="shared" si="116"/>
        <v>0</v>
      </c>
      <c r="R56" s="37">
        <f t="shared" si="117"/>
        <v>2</v>
      </c>
      <c r="S56" s="30">
        <f t="shared" si="118"/>
        <v>2</v>
      </c>
      <c r="T56" s="150"/>
      <c r="U56" s="287"/>
      <c r="V56" s="174"/>
      <c r="W56" s="294"/>
      <c r="X56" s="1">
        <v>6</v>
      </c>
      <c r="Y56">
        <f t="shared" si="119"/>
        <v>0</v>
      </c>
      <c r="Z56" s="37">
        <f t="shared" si="120"/>
        <v>2</v>
      </c>
      <c r="AA56" s="30">
        <f t="shared" si="121"/>
        <v>2</v>
      </c>
      <c r="AB56" s="96"/>
      <c r="AC56" s="284"/>
      <c r="AD56" s="1">
        <v>6</v>
      </c>
      <c r="AE56">
        <f t="shared" si="122"/>
        <v>0</v>
      </c>
      <c r="AF56" s="37">
        <f t="shared" si="123"/>
        <v>2</v>
      </c>
      <c r="AG56" s="30">
        <f t="shared" si="124"/>
        <v>2</v>
      </c>
      <c r="AH56" s="96"/>
      <c r="AI56" s="284"/>
      <c r="AJ56" s="1">
        <v>6</v>
      </c>
      <c r="AK56">
        <f t="shared" si="29"/>
        <v>0</v>
      </c>
      <c r="AL56" s="37">
        <f t="shared" si="125"/>
        <v>2</v>
      </c>
      <c r="AM56" s="30">
        <f t="shared" si="126"/>
        <v>2</v>
      </c>
      <c r="AN56" s="96"/>
      <c r="AO56" s="287"/>
      <c r="AP56" s="174"/>
      <c r="AQ56" s="294"/>
      <c r="AR56" s="1">
        <v>6</v>
      </c>
      <c r="AS56">
        <f t="shared" si="127"/>
        <v>0</v>
      </c>
      <c r="AT56" s="37">
        <f t="shared" si="128"/>
        <v>2</v>
      </c>
      <c r="AU56" s="30">
        <f t="shared" si="129"/>
        <v>2</v>
      </c>
      <c r="AV56" s="96"/>
      <c r="AW56" s="284"/>
      <c r="AX56" s="1">
        <v>6</v>
      </c>
      <c r="AY56">
        <f t="shared" si="142"/>
        <v>0</v>
      </c>
      <c r="AZ56" s="37">
        <f t="shared" si="130"/>
        <v>2</v>
      </c>
      <c r="BA56" s="30">
        <f t="shared" si="131"/>
        <v>2</v>
      </c>
      <c r="BB56" s="96"/>
      <c r="BC56" s="284"/>
      <c r="BD56" s="1">
        <v>6</v>
      </c>
      <c r="BE56">
        <f t="shared" si="143"/>
        <v>0</v>
      </c>
      <c r="BF56" s="37">
        <f t="shared" si="132"/>
        <v>2</v>
      </c>
      <c r="BG56" s="30">
        <f t="shared" si="133"/>
        <v>2</v>
      </c>
      <c r="BH56" s="96"/>
      <c r="BI56" s="287"/>
      <c r="BJ56" s="171"/>
      <c r="BK56" s="294"/>
      <c r="BL56" s="1">
        <v>6</v>
      </c>
      <c r="BM56">
        <f t="shared" si="141"/>
        <v>0</v>
      </c>
      <c r="BN56" s="37">
        <f t="shared" si="134"/>
        <v>2</v>
      </c>
      <c r="BO56" s="30">
        <f t="shared" si="135"/>
        <v>2</v>
      </c>
      <c r="BP56" s="96"/>
      <c r="BQ56" s="284"/>
      <c r="BR56" s="1">
        <v>6</v>
      </c>
      <c r="BS56">
        <f t="shared" si="144"/>
        <v>0</v>
      </c>
      <c r="BT56" s="37">
        <f t="shared" si="136"/>
        <v>2</v>
      </c>
      <c r="BU56" s="30">
        <f t="shared" si="137"/>
        <v>2</v>
      </c>
      <c r="BV56" s="96"/>
      <c r="BW56" s="284"/>
      <c r="BX56" s="1">
        <v>6</v>
      </c>
      <c r="BY56">
        <f t="shared" si="145"/>
        <v>0</v>
      </c>
      <c r="BZ56" s="37">
        <f t="shared" si="138"/>
        <v>2</v>
      </c>
      <c r="CA56" s="30">
        <f t="shared" si="139"/>
        <v>2</v>
      </c>
      <c r="CB56" s="96"/>
      <c r="CC56" s="287"/>
    </row>
    <row r="57" spans="1:88" x14ac:dyDescent="0.45">
      <c r="A57" s="294"/>
      <c r="B57" s="1">
        <v>7</v>
      </c>
      <c r="C57">
        <f t="shared" si="140"/>
        <v>0</v>
      </c>
      <c r="D57" s="37">
        <f t="shared" si="111"/>
        <v>2</v>
      </c>
      <c r="E57" s="30">
        <f t="shared" si="112"/>
        <v>15</v>
      </c>
      <c r="F57" s="150"/>
      <c r="G57" s="287"/>
      <c r="H57" s="174"/>
      <c r="I57" s="294"/>
      <c r="J57" s="1">
        <v>7</v>
      </c>
      <c r="K57">
        <f t="shared" si="113"/>
        <v>0</v>
      </c>
      <c r="L57" s="37">
        <f t="shared" si="114"/>
        <v>2</v>
      </c>
      <c r="M57" s="30">
        <f t="shared" si="115"/>
        <v>15</v>
      </c>
      <c r="N57" s="150"/>
      <c r="O57" s="284"/>
      <c r="P57" s="1">
        <v>7</v>
      </c>
      <c r="Q57">
        <f t="shared" si="116"/>
        <v>0</v>
      </c>
      <c r="R57" s="37">
        <f t="shared" si="117"/>
        <v>2</v>
      </c>
      <c r="S57" s="30">
        <f t="shared" si="118"/>
        <v>15</v>
      </c>
      <c r="T57" s="150"/>
      <c r="U57" s="287"/>
      <c r="V57" s="174"/>
      <c r="W57" s="294"/>
      <c r="X57" s="1">
        <v>7</v>
      </c>
      <c r="Y57">
        <f t="shared" si="119"/>
        <v>0</v>
      </c>
      <c r="Z57" s="37">
        <f t="shared" si="120"/>
        <v>2</v>
      </c>
      <c r="AA57" s="30">
        <f t="shared" si="121"/>
        <v>15</v>
      </c>
      <c r="AB57" s="96"/>
      <c r="AC57" s="284"/>
      <c r="AD57" s="1">
        <v>7</v>
      </c>
      <c r="AE57">
        <f t="shared" si="122"/>
        <v>0</v>
      </c>
      <c r="AF57" s="37">
        <f t="shared" si="123"/>
        <v>2</v>
      </c>
      <c r="AG57" s="30">
        <f t="shared" si="124"/>
        <v>15</v>
      </c>
      <c r="AH57" s="96"/>
      <c r="AI57" s="284"/>
      <c r="AJ57" s="1">
        <v>7</v>
      </c>
      <c r="AK57">
        <f t="shared" si="29"/>
        <v>0</v>
      </c>
      <c r="AL57" s="37">
        <f t="shared" si="125"/>
        <v>2</v>
      </c>
      <c r="AM57" s="30">
        <f t="shared" si="126"/>
        <v>15</v>
      </c>
      <c r="AN57" s="96"/>
      <c r="AO57" s="287"/>
      <c r="AP57" s="174"/>
      <c r="AQ57" s="294"/>
      <c r="AR57" s="1">
        <v>7</v>
      </c>
      <c r="AS57">
        <f t="shared" si="127"/>
        <v>0</v>
      </c>
      <c r="AT57" s="37">
        <f t="shared" si="128"/>
        <v>2</v>
      </c>
      <c r="AU57" s="30">
        <f t="shared" si="129"/>
        <v>15</v>
      </c>
      <c r="AV57" s="96"/>
      <c r="AW57" s="284"/>
      <c r="AX57" s="1">
        <v>7</v>
      </c>
      <c r="AY57">
        <f t="shared" si="142"/>
        <v>0</v>
      </c>
      <c r="AZ57" s="37">
        <f t="shared" si="130"/>
        <v>2</v>
      </c>
      <c r="BA57" s="30">
        <f t="shared" si="131"/>
        <v>15</v>
      </c>
      <c r="BB57" s="96"/>
      <c r="BC57" s="284"/>
      <c r="BD57" s="1">
        <v>7</v>
      </c>
      <c r="BE57">
        <f t="shared" si="143"/>
        <v>0</v>
      </c>
      <c r="BF57" s="37">
        <f t="shared" si="132"/>
        <v>2</v>
      </c>
      <c r="BG57" s="30">
        <f t="shared" si="133"/>
        <v>15</v>
      </c>
      <c r="BH57" s="96"/>
      <c r="BI57" s="287"/>
      <c r="BJ57" s="171"/>
      <c r="BK57" s="294"/>
      <c r="BL57" s="1">
        <v>7</v>
      </c>
      <c r="BM57">
        <f t="shared" si="141"/>
        <v>0</v>
      </c>
      <c r="BN57" s="37">
        <f t="shared" si="134"/>
        <v>2</v>
      </c>
      <c r="BO57" s="30">
        <f t="shared" si="135"/>
        <v>15</v>
      </c>
      <c r="BP57" s="96"/>
      <c r="BQ57" s="284"/>
      <c r="BR57" s="1">
        <v>7</v>
      </c>
      <c r="BS57">
        <f t="shared" si="144"/>
        <v>0</v>
      </c>
      <c r="BT57" s="37">
        <f t="shared" si="136"/>
        <v>2</v>
      </c>
      <c r="BU57" s="30">
        <f t="shared" si="137"/>
        <v>15</v>
      </c>
      <c r="BV57" s="96"/>
      <c r="BW57" s="284"/>
      <c r="BX57" s="1">
        <v>7</v>
      </c>
      <c r="BY57">
        <f t="shared" si="145"/>
        <v>0</v>
      </c>
      <c r="BZ57" s="37">
        <f t="shared" si="138"/>
        <v>2</v>
      </c>
      <c r="CA57" s="30">
        <f t="shared" si="139"/>
        <v>15</v>
      </c>
      <c r="CB57" s="96"/>
      <c r="CC57" s="287"/>
    </row>
    <row r="58" spans="1:88" x14ac:dyDescent="0.45">
      <c r="A58" s="296"/>
      <c r="B58" s="51">
        <v>8</v>
      </c>
      <c r="C58" s="53">
        <f t="shared" si="140"/>
        <v>0</v>
      </c>
      <c r="D58" s="37">
        <f t="shared" si="111"/>
        <v>2</v>
      </c>
      <c r="E58" s="30">
        <f t="shared" si="112"/>
        <v>11</v>
      </c>
      <c r="F58" s="151"/>
      <c r="G58" s="287"/>
      <c r="H58" s="174"/>
      <c r="I58" s="296"/>
      <c r="J58" s="51">
        <v>8</v>
      </c>
      <c r="K58">
        <f t="shared" si="113"/>
        <v>0</v>
      </c>
      <c r="L58" s="37">
        <f t="shared" si="114"/>
        <v>2</v>
      </c>
      <c r="M58" s="30">
        <f t="shared" si="115"/>
        <v>11</v>
      </c>
      <c r="N58" s="151"/>
      <c r="O58" s="285"/>
      <c r="P58" s="51">
        <v>8</v>
      </c>
      <c r="Q58">
        <f t="shared" si="116"/>
        <v>0</v>
      </c>
      <c r="R58" s="37">
        <f t="shared" si="117"/>
        <v>2</v>
      </c>
      <c r="S58" s="30">
        <f t="shared" si="118"/>
        <v>11</v>
      </c>
      <c r="T58" s="151"/>
      <c r="U58" s="287"/>
      <c r="V58" s="174"/>
      <c r="W58" s="296"/>
      <c r="X58" s="51">
        <v>8</v>
      </c>
      <c r="Y58">
        <f t="shared" si="119"/>
        <v>0</v>
      </c>
      <c r="Z58" s="37">
        <f t="shared" si="120"/>
        <v>2</v>
      </c>
      <c r="AA58" s="30">
        <f t="shared" si="121"/>
        <v>11</v>
      </c>
      <c r="AB58" s="97"/>
      <c r="AC58" s="285"/>
      <c r="AD58" s="51">
        <v>8</v>
      </c>
      <c r="AE58">
        <f t="shared" si="122"/>
        <v>0</v>
      </c>
      <c r="AF58" s="37">
        <f t="shared" si="123"/>
        <v>2</v>
      </c>
      <c r="AG58" s="30">
        <f t="shared" si="124"/>
        <v>11</v>
      </c>
      <c r="AH58" s="97"/>
      <c r="AI58" s="285"/>
      <c r="AJ58" s="51">
        <v>8</v>
      </c>
      <c r="AK58">
        <f t="shared" si="29"/>
        <v>0</v>
      </c>
      <c r="AL58" s="37">
        <f t="shared" si="125"/>
        <v>2</v>
      </c>
      <c r="AM58" s="30">
        <f t="shared" si="126"/>
        <v>11</v>
      </c>
      <c r="AN58" s="97"/>
      <c r="AO58" s="287"/>
      <c r="AP58" s="174"/>
      <c r="AQ58" s="296"/>
      <c r="AR58" s="51">
        <v>8</v>
      </c>
      <c r="AS58">
        <f t="shared" si="127"/>
        <v>0</v>
      </c>
      <c r="AT58" s="37">
        <f t="shared" si="128"/>
        <v>2</v>
      </c>
      <c r="AU58" s="30">
        <f t="shared" si="129"/>
        <v>11</v>
      </c>
      <c r="AV58" s="97"/>
      <c r="AW58" s="285"/>
      <c r="AX58" s="51">
        <v>8</v>
      </c>
      <c r="AY58">
        <f t="shared" si="142"/>
        <v>0</v>
      </c>
      <c r="AZ58" s="37">
        <f t="shared" si="130"/>
        <v>2</v>
      </c>
      <c r="BA58" s="30">
        <f t="shared" si="131"/>
        <v>11</v>
      </c>
      <c r="BB58" s="97"/>
      <c r="BC58" s="285"/>
      <c r="BD58" s="51">
        <v>8</v>
      </c>
      <c r="BE58">
        <f t="shared" si="143"/>
        <v>0</v>
      </c>
      <c r="BF58" s="37">
        <f t="shared" si="132"/>
        <v>2</v>
      </c>
      <c r="BG58" s="30">
        <f t="shared" si="133"/>
        <v>11</v>
      </c>
      <c r="BH58" s="97"/>
      <c r="BI58" s="287"/>
      <c r="BJ58" s="171"/>
      <c r="BK58" s="296"/>
      <c r="BL58" s="51">
        <v>8</v>
      </c>
      <c r="BM58">
        <f t="shared" si="141"/>
        <v>0</v>
      </c>
      <c r="BN58" s="37">
        <f t="shared" si="134"/>
        <v>2</v>
      </c>
      <c r="BO58" s="30">
        <f t="shared" si="135"/>
        <v>11</v>
      </c>
      <c r="BP58" s="97"/>
      <c r="BQ58" s="285"/>
      <c r="BR58" s="51">
        <v>8</v>
      </c>
      <c r="BS58">
        <f t="shared" si="144"/>
        <v>0</v>
      </c>
      <c r="BT58" s="37">
        <f t="shared" si="136"/>
        <v>2</v>
      </c>
      <c r="BU58" s="30">
        <f t="shared" si="137"/>
        <v>11</v>
      </c>
      <c r="BV58" s="97"/>
      <c r="BW58" s="285"/>
      <c r="BX58" s="51">
        <v>8</v>
      </c>
      <c r="BY58">
        <f t="shared" si="145"/>
        <v>0</v>
      </c>
      <c r="BZ58" s="37">
        <f t="shared" si="138"/>
        <v>2</v>
      </c>
      <c r="CA58" s="30">
        <f t="shared" si="139"/>
        <v>11</v>
      </c>
      <c r="CB58" s="97"/>
      <c r="CC58" s="287"/>
    </row>
    <row r="59" spans="1:88" s="79" customFormat="1" x14ac:dyDescent="0.45">
      <c r="A59" s="293">
        <v>5</v>
      </c>
      <c r="B59" s="48">
        <f>O10</f>
        <v>10</v>
      </c>
      <c r="C59" s="87" t="s">
        <v>154</v>
      </c>
      <c r="D59" s="10" t="s">
        <v>158</v>
      </c>
      <c r="E59" s="88" t="s">
        <v>152</v>
      </c>
      <c r="F59" s="152"/>
      <c r="G59" s="287">
        <f>IF(COUNT(F60:F68) &gt;0, COUNT(F60:F68)/2,"")</f>
        <v>1</v>
      </c>
      <c r="H59" s="174"/>
      <c r="I59" s="293">
        <v>5</v>
      </c>
      <c r="J59" s="48">
        <f>W9</f>
        <v>0</v>
      </c>
      <c r="K59" s="87" t="s">
        <v>154</v>
      </c>
      <c r="L59" s="10" t="s">
        <v>158</v>
      </c>
      <c r="M59" s="88" t="s">
        <v>152</v>
      </c>
      <c r="N59" s="152"/>
      <c r="O59" s="286">
        <v>5</v>
      </c>
      <c r="P59" s="48">
        <f>AC9</f>
        <v>0</v>
      </c>
      <c r="Q59" s="87" t="s">
        <v>154</v>
      </c>
      <c r="R59" s="10" t="s">
        <v>158</v>
      </c>
      <c r="S59" s="88" t="s">
        <v>152</v>
      </c>
      <c r="T59" s="152"/>
      <c r="U59" s="287">
        <f>IF(COUNT(H60:H68,N60:N68,T60:T68) &gt;0, COUNT(H60:H68,N60:N68,T60:T68) /2,"")</f>
        <v>1</v>
      </c>
      <c r="V59" s="174"/>
      <c r="W59" s="293">
        <v>5</v>
      </c>
      <c r="X59" s="48">
        <f>AK9</f>
        <v>0</v>
      </c>
      <c r="Y59" s="87" t="s">
        <v>154</v>
      </c>
      <c r="Z59" s="10" t="s">
        <v>158</v>
      </c>
      <c r="AA59" s="88" t="s">
        <v>152</v>
      </c>
      <c r="AB59" s="94"/>
      <c r="AC59" s="286">
        <v>5</v>
      </c>
      <c r="AD59" s="48">
        <f>AQ9</f>
        <v>0</v>
      </c>
      <c r="AE59" s="87" t="s">
        <v>154</v>
      </c>
      <c r="AF59" s="10" t="s">
        <v>158</v>
      </c>
      <c r="AG59" s="88" t="s">
        <v>152</v>
      </c>
      <c r="AH59" s="94"/>
      <c r="AI59" s="286">
        <v>5</v>
      </c>
      <c r="AJ59" s="48">
        <f>AW9</f>
        <v>0</v>
      </c>
      <c r="AK59" t="str">
        <f t="shared" si="29"/>
        <v xml:space="preserve">CTR </v>
      </c>
      <c r="AL59" s="10" t="s">
        <v>158</v>
      </c>
      <c r="AM59" s="88" t="s">
        <v>152</v>
      </c>
      <c r="AN59" s="94"/>
      <c r="AO59" s="287">
        <f>IF(COUNT(AB60:AB68,AH60:AH68,AN60:AN68) &gt;0, COUNT(AB60:AB68,AH60:AH68,AN60:AN68) /2,"")</f>
        <v>1</v>
      </c>
      <c r="AP59" s="174"/>
      <c r="AQ59" s="293">
        <v>5</v>
      </c>
      <c r="AR59" s="48">
        <f>BE9</f>
        <v>0</v>
      </c>
      <c r="AS59" s="87" t="s">
        <v>154</v>
      </c>
      <c r="AT59" s="10" t="s">
        <v>158</v>
      </c>
      <c r="AU59" s="88" t="s">
        <v>152</v>
      </c>
      <c r="AV59" s="94"/>
      <c r="AW59" s="286">
        <v>5</v>
      </c>
      <c r="AX59" s="48">
        <f>BK9</f>
        <v>0</v>
      </c>
      <c r="AY59" s="87" t="s">
        <v>154</v>
      </c>
      <c r="AZ59" s="10" t="s">
        <v>158</v>
      </c>
      <c r="BA59" s="88" t="s">
        <v>152</v>
      </c>
      <c r="BB59" s="94"/>
      <c r="BC59" s="286">
        <v>5</v>
      </c>
      <c r="BD59" s="48">
        <f>BQ9</f>
        <v>0</v>
      </c>
      <c r="BE59" s="87" t="s">
        <v>154</v>
      </c>
      <c r="BF59" s="10" t="s">
        <v>158</v>
      </c>
      <c r="BG59" s="88" t="s">
        <v>152</v>
      </c>
      <c r="BH59" s="94"/>
      <c r="BI59" s="287" t="str">
        <f>IF(COUNT(AV60:AV68,BB60:BB68,BH60:BH68) &gt;0, COUNT(AV60:AV68,BB60:BB68,BH60:BH68) /2,"")</f>
        <v/>
      </c>
      <c r="BJ59" s="171"/>
      <c r="BK59" s="293">
        <v>5</v>
      </c>
      <c r="BL59" s="48">
        <f>BY9</f>
        <v>0</v>
      </c>
      <c r="BM59" s="87" t="s">
        <v>154</v>
      </c>
      <c r="BN59" s="10" t="s">
        <v>158</v>
      </c>
      <c r="BO59" s="88" t="s">
        <v>152</v>
      </c>
      <c r="BP59" s="94"/>
      <c r="BQ59" s="286">
        <v>5</v>
      </c>
      <c r="BR59" s="48">
        <f>CE9</f>
        <v>0</v>
      </c>
      <c r="BS59" s="87" t="s">
        <v>154</v>
      </c>
      <c r="BT59" s="10" t="s">
        <v>158</v>
      </c>
      <c r="BU59" s="88" t="s">
        <v>152</v>
      </c>
      <c r="BV59" s="94"/>
      <c r="BW59" s="286">
        <v>5</v>
      </c>
      <c r="BX59" s="48">
        <f>CK9</f>
        <v>0</v>
      </c>
      <c r="BY59" s="87" t="s">
        <v>154</v>
      </c>
      <c r="BZ59" s="10" t="s">
        <v>158</v>
      </c>
      <c r="CA59" s="88" t="s">
        <v>152</v>
      </c>
      <c r="CB59" s="94"/>
      <c r="CC59" s="287" t="str">
        <f>IF(COUNT(BP60:BP68,BV60:BV68,CB60:CB68) &gt;0, COUNT(BP60:BP68,BV60:BV68,CB60:CB68) /2,"")</f>
        <v/>
      </c>
      <c r="CD59"/>
      <c r="CE59"/>
      <c r="CF59"/>
      <c r="CG59"/>
      <c r="CH59"/>
      <c r="CI59"/>
      <c r="CJ59"/>
    </row>
    <row r="60" spans="1:88" ht="27.75" customHeight="1" x14ac:dyDescent="0.45">
      <c r="A60" s="294"/>
      <c r="B60" s="176" t="s">
        <v>162</v>
      </c>
      <c r="C60" s="102" t="s">
        <v>156</v>
      </c>
      <c r="D60" s="89" t="s">
        <v>175</v>
      </c>
      <c r="E60" s="177" t="s">
        <v>174</v>
      </c>
      <c r="F60" s="148"/>
      <c r="G60" s="287"/>
      <c r="H60" s="174"/>
      <c r="I60" s="294"/>
      <c r="J60" s="176" t="s">
        <v>162</v>
      </c>
      <c r="K60" s="90" t="s">
        <v>155</v>
      </c>
      <c r="L60" s="89" t="s">
        <v>175</v>
      </c>
      <c r="M60" s="177" t="s">
        <v>174</v>
      </c>
      <c r="N60" s="148"/>
      <c r="O60" s="284"/>
      <c r="P60" s="176" t="s">
        <v>162</v>
      </c>
      <c r="Q60" s="90" t="s">
        <v>155</v>
      </c>
      <c r="R60" s="89" t="s">
        <v>175</v>
      </c>
      <c r="S60" s="177" t="s">
        <v>174</v>
      </c>
      <c r="T60" s="156"/>
      <c r="U60" s="287"/>
      <c r="V60" s="174"/>
      <c r="W60" s="294"/>
      <c r="X60" s="176" t="s">
        <v>162</v>
      </c>
      <c r="Y60" s="90" t="s">
        <v>155</v>
      </c>
      <c r="Z60" s="89" t="s">
        <v>175</v>
      </c>
      <c r="AA60" s="177" t="s">
        <v>174</v>
      </c>
      <c r="AB60" s="95"/>
      <c r="AC60" s="284"/>
      <c r="AD60" s="176" t="s">
        <v>162</v>
      </c>
      <c r="AE60" s="90" t="s">
        <v>155</v>
      </c>
      <c r="AF60" s="89" t="s">
        <v>175</v>
      </c>
      <c r="AG60" s="177" t="s">
        <v>174</v>
      </c>
      <c r="AH60" s="95"/>
      <c r="AI60" s="284"/>
      <c r="AJ60" s="176" t="s">
        <v>162</v>
      </c>
      <c r="AK60" s="90" t="s">
        <v>155</v>
      </c>
      <c r="AL60" s="89" t="s">
        <v>175</v>
      </c>
      <c r="AM60" s="177" t="s">
        <v>174</v>
      </c>
      <c r="AN60" s="95"/>
      <c r="AO60" s="287"/>
      <c r="AP60" s="174"/>
      <c r="AQ60" s="294"/>
      <c r="AR60" s="176" t="s">
        <v>162</v>
      </c>
      <c r="AS60" s="90" t="s">
        <v>155</v>
      </c>
      <c r="AT60" s="89" t="s">
        <v>175</v>
      </c>
      <c r="AU60" s="177" t="s">
        <v>174</v>
      </c>
      <c r="AV60" s="95"/>
      <c r="AW60" s="284"/>
      <c r="AX60" s="176" t="s">
        <v>162</v>
      </c>
      <c r="AY60" s="90" t="s">
        <v>155</v>
      </c>
      <c r="AZ60" s="89" t="s">
        <v>175</v>
      </c>
      <c r="BA60" s="177" t="s">
        <v>174</v>
      </c>
      <c r="BB60" s="95"/>
      <c r="BC60" s="284"/>
      <c r="BD60" s="176" t="s">
        <v>162</v>
      </c>
      <c r="BE60" s="90" t="s">
        <v>155</v>
      </c>
      <c r="BF60" s="89" t="s">
        <v>175</v>
      </c>
      <c r="BG60" s="177" t="s">
        <v>174</v>
      </c>
      <c r="BH60" s="95"/>
      <c r="BI60" s="287"/>
      <c r="BJ60" s="171"/>
      <c r="BK60" s="294"/>
      <c r="BL60" s="176" t="s">
        <v>162</v>
      </c>
      <c r="BM60" s="90" t="s">
        <v>155</v>
      </c>
      <c r="BN60" s="89" t="s">
        <v>175</v>
      </c>
      <c r="BO60" s="177" t="s">
        <v>174</v>
      </c>
      <c r="BP60" s="95"/>
      <c r="BQ60" s="284"/>
      <c r="BR60" s="176" t="s">
        <v>162</v>
      </c>
      <c r="BS60" s="90" t="s">
        <v>155</v>
      </c>
      <c r="BT60" s="89" t="s">
        <v>175</v>
      </c>
      <c r="BU60" s="177" t="s">
        <v>174</v>
      </c>
      <c r="BV60" s="95"/>
      <c r="BW60" s="284"/>
      <c r="BX60" s="176" t="s">
        <v>162</v>
      </c>
      <c r="BY60" s="90" t="s">
        <v>155</v>
      </c>
      <c r="BZ60" s="89" t="s">
        <v>175</v>
      </c>
      <c r="CA60" s="177" t="s">
        <v>174</v>
      </c>
      <c r="CB60" s="95"/>
      <c r="CC60" s="287"/>
    </row>
    <row r="61" spans="1:88" x14ac:dyDescent="0.45">
      <c r="A61" s="294"/>
      <c r="B61" s="180">
        <v>1</v>
      </c>
      <c r="C61">
        <v>0</v>
      </c>
      <c r="D61" s="37">
        <f t="shared" ref="D61:D68" si="146">(C61+$B$19)*$G$3</f>
        <v>2</v>
      </c>
      <c r="E61" s="30">
        <f t="shared" ref="E61:E68" si="147">MOD($F6+D61,$G$2)</f>
        <v>9</v>
      </c>
      <c r="F61" s="149"/>
      <c r="G61" s="287"/>
      <c r="H61" s="174"/>
      <c r="I61" s="294"/>
      <c r="J61" s="1">
        <v>1</v>
      </c>
      <c r="K61">
        <f t="shared" ref="K61:K68" si="148">IF(F61="", C61,IF(F61=MIN(F$61:F$68),C61+1,0))</f>
        <v>0</v>
      </c>
      <c r="L61" s="37">
        <f t="shared" ref="L61:L68" si="149">(K61+$B$19)*$G$3</f>
        <v>2</v>
      </c>
      <c r="M61" s="30">
        <f t="shared" ref="M61:M68" si="150">MOD($F6+L61,$G$2)</f>
        <v>9</v>
      </c>
      <c r="N61" s="149"/>
      <c r="O61" s="284"/>
      <c r="P61" s="1">
        <v>1</v>
      </c>
      <c r="Q61">
        <f t="shared" ref="Q61:Q68" si="151">IF(N61="", K61,IF(N61=MIN(N$61:N$68),K61+1,0))</f>
        <v>0</v>
      </c>
      <c r="R61" s="37">
        <f t="shared" ref="R61:R68" si="152">(Q61+$B$19)*$G$3</f>
        <v>2</v>
      </c>
      <c r="S61" s="30">
        <f t="shared" ref="S61:S68" si="153">MOD($F6+R61,$G$2)</f>
        <v>9</v>
      </c>
      <c r="T61" s="149"/>
      <c r="U61" s="287"/>
      <c r="V61" s="174"/>
      <c r="W61" s="294"/>
      <c r="X61" s="1">
        <v>1</v>
      </c>
      <c r="Y61">
        <f t="shared" ref="Y61:Y68" si="154">IF(T61="", Q61,IF(T61=MIN(T$61:T$68),Q61+1,0))</f>
        <v>0</v>
      </c>
      <c r="Z61" s="37">
        <f t="shared" ref="Z61:Z68" si="155">(Y61+$B$19)*$G$3</f>
        <v>2</v>
      </c>
      <c r="AA61" s="30">
        <f t="shared" ref="AA61:AA68" si="156">MOD($F6+Z61,$G$2)</f>
        <v>9</v>
      </c>
      <c r="AB61" s="98"/>
      <c r="AC61" s="284"/>
      <c r="AD61" s="1">
        <v>1</v>
      </c>
      <c r="AE61">
        <f>IF(AB61="", Y61,IF(AB61=MIN(AB$61:AB$68),Y61+1,0))</f>
        <v>0</v>
      </c>
      <c r="AF61" s="37">
        <f t="shared" ref="AF61:AF68" si="157">(AE61+$B$19)*$G$3</f>
        <v>2</v>
      </c>
      <c r="AG61" s="30">
        <f t="shared" ref="AG61:AG68" si="158">MOD($F6+AF61,$G$2)</f>
        <v>9</v>
      </c>
      <c r="AH61" s="98"/>
      <c r="AI61" s="284"/>
      <c r="AJ61" s="1">
        <v>1</v>
      </c>
      <c r="AK61">
        <f t="shared" si="29"/>
        <v>0</v>
      </c>
      <c r="AL61" s="37">
        <f t="shared" ref="AL61:AL68" si="159">(AK61+$B$19)*$G$3</f>
        <v>2</v>
      </c>
      <c r="AM61" s="30">
        <f t="shared" ref="AM61:AM68" si="160">MOD($F6+AL61,$G$2)</f>
        <v>9</v>
      </c>
      <c r="AN61" s="98"/>
      <c r="AO61" s="287"/>
      <c r="AP61" s="174"/>
      <c r="AQ61" s="294"/>
      <c r="AR61" s="1">
        <v>1</v>
      </c>
      <c r="AS61">
        <f t="shared" ref="AS61:AS68" si="161">IF(AN61="", AK61,IF(AN61=MIN(AN$61:AN$68),AK61+1,0))</f>
        <v>0</v>
      </c>
      <c r="AT61" s="37">
        <f t="shared" ref="AT61:AT68" si="162">(AS61+$B$19)*$G$3</f>
        <v>2</v>
      </c>
      <c r="AU61" s="30">
        <f t="shared" ref="AU61:AU68" si="163">MOD($F6+AT61,$G$2)</f>
        <v>9</v>
      </c>
      <c r="AV61" s="98"/>
      <c r="AW61" s="284"/>
      <c r="AX61" s="1">
        <v>1</v>
      </c>
      <c r="AY61">
        <f>IF(AV61="", AS61,IF(AV61=MIN(AV$61:AV$68),AS61+1,0))</f>
        <v>0</v>
      </c>
      <c r="AZ61" s="37">
        <f t="shared" ref="AZ61:AZ68" si="164">(AY61+$B$19)*$G$3</f>
        <v>2</v>
      </c>
      <c r="BA61" s="30">
        <f t="shared" ref="BA61:BA68" si="165">MOD($F6+AZ61,$G$2)</f>
        <v>9</v>
      </c>
      <c r="BB61" s="98"/>
      <c r="BC61" s="284"/>
      <c r="BD61" s="1">
        <v>1</v>
      </c>
      <c r="BE61">
        <f>IF(BB61="", AY61,IF(BB61=MIN(BB$61:BB$68),AY61+1,0))</f>
        <v>0</v>
      </c>
      <c r="BF61" s="37">
        <f t="shared" ref="BF61:BF68" si="166">(BE61+$B$19)*$G$3</f>
        <v>2</v>
      </c>
      <c r="BG61" s="30">
        <f t="shared" ref="BG61:BG68" si="167">MOD($F6+BF61,$G$2)</f>
        <v>9</v>
      </c>
      <c r="BH61" s="98"/>
      <c r="BI61" s="287"/>
      <c r="BJ61" s="171"/>
      <c r="BK61" s="294"/>
      <c r="BL61" s="1">
        <v>1</v>
      </c>
      <c r="BM61">
        <f>IF(BH61="", BE61,IF(BH61=MIN(BH$61:BH$68),BE61+1,0))</f>
        <v>0</v>
      </c>
      <c r="BN61" s="37">
        <f t="shared" ref="BN61:BN68" si="168">(BM61+$B$19)*$G$3</f>
        <v>2</v>
      </c>
      <c r="BO61" s="30">
        <f t="shared" ref="BO61:BO68" si="169">MOD($F6+BN61,$G$2)</f>
        <v>9</v>
      </c>
      <c r="BP61" s="98"/>
      <c r="BQ61" s="284"/>
      <c r="BR61" s="1">
        <v>1</v>
      </c>
      <c r="BS61">
        <f>IF(BP61="", BM61,IF(BP61=MIN(BP$61:BP$68),BM61+1,0))</f>
        <v>0</v>
      </c>
      <c r="BT61" s="37">
        <f t="shared" ref="BT61:BT68" si="170">(BS61+$B$19)*$G$3</f>
        <v>2</v>
      </c>
      <c r="BU61" s="30">
        <f t="shared" ref="BU61:BU68" si="171">MOD($F6+BT61,$G$2)</f>
        <v>9</v>
      </c>
      <c r="BV61" s="98"/>
      <c r="BW61" s="284"/>
      <c r="BX61" s="1">
        <v>1</v>
      </c>
      <c r="BY61">
        <f>IF(BV61="", BS61,IF(BV61=MIN(BV$61:BV$68),BS61+1,0))</f>
        <v>0</v>
      </c>
      <c r="BZ61" s="37">
        <f t="shared" ref="BZ61:BZ68" si="172">(BY61+$B$19)*$G$3</f>
        <v>2</v>
      </c>
      <c r="CA61" s="30">
        <f t="shared" ref="CA61:CA68" si="173">MOD($F6+BZ61,$G$2)</f>
        <v>9</v>
      </c>
      <c r="CB61" s="98"/>
      <c r="CC61" s="287"/>
    </row>
    <row r="62" spans="1:88" x14ac:dyDescent="0.45">
      <c r="A62" s="294"/>
      <c r="B62" s="195">
        <v>2</v>
      </c>
      <c r="C62">
        <f t="shared" ref="C62:C68" si="174">IF(B62=MIN(B$21:B$28),1,0)</f>
        <v>0</v>
      </c>
      <c r="D62" s="37">
        <f t="shared" si="146"/>
        <v>2</v>
      </c>
      <c r="E62" s="30">
        <f t="shared" si="147"/>
        <v>5</v>
      </c>
      <c r="F62" s="150"/>
      <c r="G62" s="287"/>
      <c r="H62" s="174"/>
      <c r="I62" s="294"/>
      <c r="J62" s="1">
        <v>2</v>
      </c>
      <c r="K62">
        <f t="shared" si="148"/>
        <v>0</v>
      </c>
      <c r="L62" s="37">
        <f t="shared" si="149"/>
        <v>2</v>
      </c>
      <c r="M62" s="30">
        <f t="shared" si="150"/>
        <v>5</v>
      </c>
      <c r="N62" s="150"/>
      <c r="O62" s="284"/>
      <c r="P62" s="1">
        <v>2</v>
      </c>
      <c r="Q62">
        <f t="shared" si="151"/>
        <v>0</v>
      </c>
      <c r="R62" s="37">
        <f t="shared" si="152"/>
        <v>2</v>
      </c>
      <c r="S62" s="30">
        <f t="shared" si="153"/>
        <v>5</v>
      </c>
      <c r="T62" s="150"/>
      <c r="U62" s="287"/>
      <c r="V62" s="174"/>
      <c r="W62" s="294"/>
      <c r="X62" s="1">
        <v>2</v>
      </c>
      <c r="Y62">
        <f t="shared" si="154"/>
        <v>0</v>
      </c>
      <c r="Z62" s="37">
        <f t="shared" si="155"/>
        <v>2</v>
      </c>
      <c r="AA62" s="30">
        <f t="shared" si="156"/>
        <v>5</v>
      </c>
      <c r="AB62" s="96"/>
      <c r="AC62" s="284"/>
      <c r="AD62" s="1">
        <v>2</v>
      </c>
      <c r="AE62">
        <f t="shared" ref="AE62:AE68" si="175">IF(AB62="", Y62,IF(AB62=MIN(AB$61:AB$68),Y62+1,0))</f>
        <v>0</v>
      </c>
      <c r="AF62" s="37">
        <f t="shared" si="157"/>
        <v>2</v>
      </c>
      <c r="AG62" s="30">
        <f t="shared" si="158"/>
        <v>5</v>
      </c>
      <c r="AH62" s="96"/>
      <c r="AI62" s="284"/>
      <c r="AJ62" s="1">
        <v>2</v>
      </c>
      <c r="AK62">
        <f t="shared" si="29"/>
        <v>0</v>
      </c>
      <c r="AL62" s="37">
        <f t="shared" si="159"/>
        <v>2</v>
      </c>
      <c r="AM62" s="30">
        <f t="shared" si="160"/>
        <v>5</v>
      </c>
      <c r="AN62" s="96"/>
      <c r="AO62" s="287"/>
      <c r="AP62" s="174"/>
      <c r="AQ62" s="294"/>
      <c r="AR62" s="1">
        <v>2</v>
      </c>
      <c r="AS62">
        <f t="shared" si="161"/>
        <v>0</v>
      </c>
      <c r="AT62" s="37">
        <f t="shared" si="162"/>
        <v>2</v>
      </c>
      <c r="AU62" s="30">
        <f t="shared" si="163"/>
        <v>5</v>
      </c>
      <c r="AV62" s="96"/>
      <c r="AW62" s="284"/>
      <c r="AX62" s="1">
        <v>2</v>
      </c>
      <c r="AY62">
        <f t="shared" ref="AY62:AY68" si="176">IF(AV62="", AS62,IF(AV62=MIN(AV$61:AV$68),AS62+1,0))</f>
        <v>0</v>
      </c>
      <c r="AZ62" s="37">
        <f t="shared" si="164"/>
        <v>2</v>
      </c>
      <c r="BA62" s="30">
        <f t="shared" si="165"/>
        <v>5</v>
      </c>
      <c r="BB62" s="96"/>
      <c r="BC62" s="284"/>
      <c r="BD62" s="1">
        <v>2</v>
      </c>
      <c r="BE62">
        <f t="shared" ref="BE62:BE68" si="177">IF(BB62="", AY62,IF(BB62=MIN(BB$61:BB$68),AY62+1,0))</f>
        <v>0</v>
      </c>
      <c r="BF62" s="37">
        <f t="shared" si="166"/>
        <v>2</v>
      </c>
      <c r="BG62" s="30">
        <f t="shared" si="167"/>
        <v>5</v>
      </c>
      <c r="BH62" s="96"/>
      <c r="BI62" s="287"/>
      <c r="BJ62" s="171"/>
      <c r="BK62" s="294"/>
      <c r="BL62" s="1">
        <v>2</v>
      </c>
      <c r="BM62">
        <f t="shared" ref="BM62:BM68" si="178">IF(BH62="", BE62,IF(BH62=MIN(BH$61:BH$68),BE62+1,0))</f>
        <v>0</v>
      </c>
      <c r="BN62" s="37">
        <f t="shared" si="168"/>
        <v>2</v>
      </c>
      <c r="BO62" s="30">
        <f t="shared" si="169"/>
        <v>5</v>
      </c>
      <c r="BP62" s="96"/>
      <c r="BQ62" s="284"/>
      <c r="BR62" s="1">
        <v>2</v>
      </c>
      <c r="BS62">
        <f t="shared" ref="BS62:BS68" si="179">IF(BP62="", BM62,IF(BP62=MIN(BP$61:BP$68),BM62+1,0))</f>
        <v>0</v>
      </c>
      <c r="BT62" s="37">
        <f t="shared" si="170"/>
        <v>2</v>
      </c>
      <c r="BU62" s="30">
        <f t="shared" si="171"/>
        <v>5</v>
      </c>
      <c r="BV62" s="96"/>
      <c r="BW62" s="284"/>
      <c r="BX62" s="1">
        <v>2</v>
      </c>
      <c r="BY62">
        <f t="shared" ref="BY62:BY68" si="180">IF(BV62="", BS62,IF(BV62=MIN(BV$61:BV$68),BS62+1,0))</f>
        <v>0</v>
      </c>
      <c r="BZ62" s="37">
        <f t="shared" si="172"/>
        <v>2</v>
      </c>
      <c r="CA62" s="30">
        <f t="shared" si="173"/>
        <v>5</v>
      </c>
      <c r="CB62" s="96"/>
      <c r="CC62" s="287"/>
      <c r="CJ62" s="138"/>
    </row>
    <row r="63" spans="1:88" x14ac:dyDescent="0.45">
      <c r="A63" s="294"/>
      <c r="B63" s="195">
        <v>3</v>
      </c>
      <c r="C63">
        <f t="shared" si="174"/>
        <v>0</v>
      </c>
      <c r="D63" s="37">
        <f t="shared" si="146"/>
        <v>2</v>
      </c>
      <c r="E63" s="30">
        <f t="shared" si="147"/>
        <v>0</v>
      </c>
      <c r="F63" s="150"/>
      <c r="G63" s="287"/>
      <c r="H63" s="174"/>
      <c r="I63" s="294"/>
      <c r="J63" s="1">
        <v>3</v>
      </c>
      <c r="K63">
        <f t="shared" si="148"/>
        <v>0</v>
      </c>
      <c r="L63" s="37">
        <f t="shared" si="149"/>
        <v>2</v>
      </c>
      <c r="M63" s="30">
        <f t="shared" si="150"/>
        <v>0</v>
      </c>
      <c r="N63" s="150"/>
      <c r="O63" s="284"/>
      <c r="P63" s="1">
        <v>3</v>
      </c>
      <c r="Q63">
        <f t="shared" si="151"/>
        <v>0</v>
      </c>
      <c r="R63" s="37">
        <f t="shared" si="152"/>
        <v>2</v>
      </c>
      <c r="S63" s="30">
        <f t="shared" si="153"/>
        <v>0</v>
      </c>
      <c r="T63" s="150"/>
      <c r="U63" s="287"/>
      <c r="V63" s="174"/>
      <c r="W63" s="294"/>
      <c r="X63" s="1">
        <v>3</v>
      </c>
      <c r="Y63">
        <f t="shared" si="154"/>
        <v>0</v>
      </c>
      <c r="Z63" s="37">
        <f t="shared" si="155"/>
        <v>2</v>
      </c>
      <c r="AA63" s="30">
        <f t="shared" si="156"/>
        <v>0</v>
      </c>
      <c r="AB63" s="96">
        <v>10</v>
      </c>
      <c r="AC63" s="284"/>
      <c r="AD63" s="1">
        <v>3</v>
      </c>
      <c r="AE63">
        <f t="shared" si="175"/>
        <v>0</v>
      </c>
      <c r="AF63" s="37">
        <f t="shared" si="157"/>
        <v>2</v>
      </c>
      <c r="AG63" s="30">
        <f t="shared" si="158"/>
        <v>0</v>
      </c>
      <c r="AH63" s="96"/>
      <c r="AI63" s="284"/>
      <c r="AJ63" s="1">
        <v>3</v>
      </c>
      <c r="AK63">
        <f t="shared" si="29"/>
        <v>0</v>
      </c>
      <c r="AL63" s="37">
        <f t="shared" si="159"/>
        <v>2</v>
      </c>
      <c r="AM63" s="30">
        <f t="shared" si="160"/>
        <v>0</v>
      </c>
      <c r="AN63" s="96"/>
      <c r="AO63" s="287"/>
      <c r="AP63" s="174"/>
      <c r="AQ63" s="294"/>
      <c r="AR63" s="1">
        <v>3</v>
      </c>
      <c r="AS63">
        <f t="shared" si="161"/>
        <v>0</v>
      </c>
      <c r="AT63" s="37">
        <f t="shared" si="162"/>
        <v>2</v>
      </c>
      <c r="AU63" s="30">
        <f t="shared" si="163"/>
        <v>0</v>
      </c>
      <c r="AV63" s="96"/>
      <c r="AW63" s="284"/>
      <c r="AX63" s="1">
        <v>3</v>
      </c>
      <c r="AY63">
        <f t="shared" si="176"/>
        <v>0</v>
      </c>
      <c r="AZ63" s="37">
        <f t="shared" si="164"/>
        <v>2</v>
      </c>
      <c r="BA63" s="30">
        <f t="shared" si="165"/>
        <v>0</v>
      </c>
      <c r="BB63" s="96"/>
      <c r="BC63" s="284"/>
      <c r="BD63" s="1">
        <v>3</v>
      </c>
      <c r="BE63">
        <f t="shared" si="177"/>
        <v>0</v>
      </c>
      <c r="BF63" s="37">
        <f t="shared" si="166"/>
        <v>2</v>
      </c>
      <c r="BG63" s="30">
        <f t="shared" si="167"/>
        <v>0</v>
      </c>
      <c r="BH63" s="96"/>
      <c r="BI63" s="287"/>
      <c r="BJ63" s="171"/>
      <c r="BK63" s="294"/>
      <c r="BL63" s="1">
        <v>3</v>
      </c>
      <c r="BM63">
        <f t="shared" si="178"/>
        <v>0</v>
      </c>
      <c r="BN63" s="37">
        <f t="shared" si="168"/>
        <v>2</v>
      </c>
      <c r="BO63" s="30">
        <f t="shared" si="169"/>
        <v>0</v>
      </c>
      <c r="BP63" s="96"/>
      <c r="BQ63" s="284"/>
      <c r="BR63" s="1">
        <v>3</v>
      </c>
      <c r="BS63">
        <f t="shared" si="179"/>
        <v>0</v>
      </c>
      <c r="BT63" s="37">
        <f t="shared" si="170"/>
        <v>2</v>
      </c>
      <c r="BU63" s="30">
        <f t="shared" si="171"/>
        <v>0</v>
      </c>
      <c r="BV63" s="96"/>
      <c r="BW63" s="284"/>
      <c r="BX63" s="1">
        <v>3</v>
      </c>
      <c r="BY63">
        <f t="shared" si="180"/>
        <v>0</v>
      </c>
      <c r="BZ63" s="37">
        <f t="shared" si="172"/>
        <v>2</v>
      </c>
      <c r="CA63" s="30">
        <f t="shared" si="173"/>
        <v>0</v>
      </c>
      <c r="CB63" s="96"/>
      <c r="CC63" s="287"/>
    </row>
    <row r="64" spans="1:88" x14ac:dyDescent="0.45">
      <c r="A64" s="294"/>
      <c r="B64" s="195">
        <v>4</v>
      </c>
      <c r="C64">
        <f t="shared" si="174"/>
        <v>0</v>
      </c>
      <c r="D64" s="37">
        <f t="shared" si="146"/>
        <v>2</v>
      </c>
      <c r="E64" s="30">
        <f t="shared" si="147"/>
        <v>12</v>
      </c>
      <c r="F64" s="150"/>
      <c r="G64" s="287"/>
      <c r="H64" s="174"/>
      <c r="I64" s="294"/>
      <c r="J64" s="1">
        <v>4</v>
      </c>
      <c r="K64">
        <f t="shared" si="148"/>
        <v>0</v>
      </c>
      <c r="L64" s="37">
        <f t="shared" si="149"/>
        <v>2</v>
      </c>
      <c r="M64" s="30">
        <f t="shared" si="150"/>
        <v>12</v>
      </c>
      <c r="N64" s="150"/>
      <c r="O64" s="284"/>
      <c r="P64" s="1">
        <v>4</v>
      </c>
      <c r="Q64">
        <f t="shared" si="151"/>
        <v>0</v>
      </c>
      <c r="R64" s="37">
        <f t="shared" si="152"/>
        <v>2</v>
      </c>
      <c r="S64" s="30">
        <f t="shared" si="153"/>
        <v>12</v>
      </c>
      <c r="T64" s="150"/>
      <c r="U64" s="287"/>
      <c r="V64" s="174"/>
      <c r="W64" s="294"/>
      <c r="X64" s="1">
        <v>4</v>
      </c>
      <c r="Y64">
        <f t="shared" si="154"/>
        <v>0</v>
      </c>
      <c r="Z64" s="37">
        <f t="shared" si="155"/>
        <v>2</v>
      </c>
      <c r="AA64" s="30">
        <f t="shared" si="156"/>
        <v>12</v>
      </c>
      <c r="AB64" s="96"/>
      <c r="AC64" s="284"/>
      <c r="AD64" s="1">
        <v>4</v>
      </c>
      <c r="AE64">
        <f t="shared" si="175"/>
        <v>0</v>
      </c>
      <c r="AF64" s="37">
        <f t="shared" si="157"/>
        <v>2</v>
      </c>
      <c r="AG64" s="30">
        <f t="shared" si="158"/>
        <v>12</v>
      </c>
      <c r="AH64" s="96"/>
      <c r="AI64" s="284"/>
      <c r="AJ64" s="1">
        <v>4</v>
      </c>
      <c r="AK64">
        <f t="shared" si="29"/>
        <v>0</v>
      </c>
      <c r="AL64" s="37">
        <f t="shared" si="159"/>
        <v>2</v>
      </c>
      <c r="AM64" s="30">
        <f t="shared" si="160"/>
        <v>12</v>
      </c>
      <c r="AN64" s="96"/>
      <c r="AO64" s="287"/>
      <c r="AP64" s="174"/>
      <c r="AQ64" s="294"/>
      <c r="AR64" s="1">
        <v>4</v>
      </c>
      <c r="AS64">
        <f t="shared" si="161"/>
        <v>0</v>
      </c>
      <c r="AT64" s="37">
        <f t="shared" si="162"/>
        <v>2</v>
      </c>
      <c r="AU64" s="30">
        <f t="shared" si="163"/>
        <v>12</v>
      </c>
      <c r="AV64" s="96"/>
      <c r="AW64" s="284"/>
      <c r="AX64" s="1">
        <v>4</v>
      </c>
      <c r="AY64">
        <f t="shared" si="176"/>
        <v>0</v>
      </c>
      <c r="AZ64" s="37">
        <f t="shared" si="164"/>
        <v>2</v>
      </c>
      <c r="BA64" s="30">
        <f t="shared" si="165"/>
        <v>12</v>
      </c>
      <c r="BB64" s="96"/>
      <c r="BC64" s="284"/>
      <c r="BD64" s="1">
        <v>4</v>
      </c>
      <c r="BE64">
        <f t="shared" si="177"/>
        <v>0</v>
      </c>
      <c r="BF64" s="37">
        <f t="shared" si="166"/>
        <v>2</v>
      </c>
      <c r="BG64" s="30">
        <f t="shared" si="167"/>
        <v>12</v>
      </c>
      <c r="BH64" s="96"/>
      <c r="BI64" s="287"/>
      <c r="BJ64" s="171"/>
      <c r="BK64" s="294"/>
      <c r="BL64" s="1">
        <v>4</v>
      </c>
      <c r="BM64">
        <f t="shared" si="178"/>
        <v>0</v>
      </c>
      <c r="BN64" s="37">
        <f t="shared" si="168"/>
        <v>2</v>
      </c>
      <c r="BO64" s="30">
        <f t="shared" si="169"/>
        <v>12</v>
      </c>
      <c r="BP64" s="96"/>
      <c r="BQ64" s="284"/>
      <c r="BR64" s="1">
        <v>4</v>
      </c>
      <c r="BS64">
        <f t="shared" si="179"/>
        <v>0</v>
      </c>
      <c r="BT64" s="37">
        <f t="shared" si="170"/>
        <v>2</v>
      </c>
      <c r="BU64" s="30">
        <f t="shared" si="171"/>
        <v>12</v>
      </c>
      <c r="BV64" s="96"/>
      <c r="BW64" s="284"/>
      <c r="BX64" s="1">
        <v>4</v>
      </c>
      <c r="BY64">
        <f t="shared" si="180"/>
        <v>0</v>
      </c>
      <c r="BZ64" s="37">
        <f t="shared" si="172"/>
        <v>2</v>
      </c>
      <c r="CA64" s="30">
        <f t="shared" si="173"/>
        <v>12</v>
      </c>
      <c r="CB64" s="96"/>
      <c r="CC64" s="287"/>
    </row>
    <row r="65" spans="1:88" s="181" customFormat="1" x14ac:dyDescent="0.45">
      <c r="A65" s="294"/>
      <c r="B65" s="195">
        <v>5</v>
      </c>
      <c r="C65" s="181">
        <f t="shared" si="174"/>
        <v>0</v>
      </c>
      <c r="D65" s="37">
        <f t="shared" si="146"/>
        <v>2</v>
      </c>
      <c r="E65" s="30">
        <f t="shared" si="147"/>
        <v>6</v>
      </c>
      <c r="F65" s="188">
        <v>9</v>
      </c>
      <c r="G65" s="287"/>
      <c r="H65" s="184"/>
      <c r="I65" s="294"/>
      <c r="J65" s="180">
        <v>5</v>
      </c>
      <c r="K65" s="181">
        <f t="shared" si="148"/>
        <v>1</v>
      </c>
      <c r="L65" s="37">
        <f t="shared" si="149"/>
        <v>4</v>
      </c>
      <c r="M65" s="30">
        <f t="shared" si="150"/>
        <v>8</v>
      </c>
      <c r="N65" s="188">
        <v>5</v>
      </c>
      <c r="O65" s="284"/>
      <c r="P65" s="180">
        <v>5</v>
      </c>
      <c r="Q65" s="181">
        <f t="shared" si="151"/>
        <v>2</v>
      </c>
      <c r="R65" s="37">
        <f t="shared" si="152"/>
        <v>6</v>
      </c>
      <c r="S65" s="30">
        <f t="shared" si="153"/>
        <v>10</v>
      </c>
      <c r="T65" s="188"/>
      <c r="U65" s="287"/>
      <c r="V65" s="184"/>
      <c r="W65" s="294"/>
      <c r="X65" s="180">
        <v>5</v>
      </c>
      <c r="Y65" s="181">
        <f t="shared" si="154"/>
        <v>2</v>
      </c>
      <c r="Z65" s="37">
        <f t="shared" si="155"/>
        <v>6</v>
      </c>
      <c r="AA65" s="30">
        <f t="shared" si="156"/>
        <v>10</v>
      </c>
      <c r="AB65" s="189">
        <v>9</v>
      </c>
      <c r="AC65" s="284"/>
      <c r="AD65" s="180">
        <v>5</v>
      </c>
      <c r="AE65" s="181">
        <f t="shared" si="175"/>
        <v>3</v>
      </c>
      <c r="AF65" s="37">
        <f t="shared" si="157"/>
        <v>8</v>
      </c>
      <c r="AG65" s="30">
        <f t="shared" si="158"/>
        <v>12</v>
      </c>
      <c r="AH65" s="189"/>
      <c r="AI65" s="284"/>
      <c r="AJ65" s="180">
        <v>5</v>
      </c>
      <c r="AK65" s="181">
        <f t="shared" si="29"/>
        <v>3</v>
      </c>
      <c r="AL65" s="37">
        <f t="shared" si="159"/>
        <v>8</v>
      </c>
      <c r="AM65" s="30">
        <f t="shared" si="160"/>
        <v>12</v>
      </c>
      <c r="AN65" s="189"/>
      <c r="AO65" s="287"/>
      <c r="AP65" s="184"/>
      <c r="AQ65" s="294"/>
      <c r="AR65" s="180">
        <v>5</v>
      </c>
      <c r="AS65" s="181">
        <f t="shared" si="161"/>
        <v>3</v>
      </c>
      <c r="AT65" s="37">
        <f t="shared" si="162"/>
        <v>8</v>
      </c>
      <c r="AU65" s="30">
        <f t="shared" si="163"/>
        <v>12</v>
      </c>
      <c r="AV65" s="189"/>
      <c r="AW65" s="284"/>
      <c r="AX65" s="180">
        <v>5</v>
      </c>
      <c r="AY65" s="181">
        <f t="shared" si="176"/>
        <v>3</v>
      </c>
      <c r="AZ65" s="37">
        <f t="shared" si="164"/>
        <v>8</v>
      </c>
      <c r="BA65" s="30">
        <f t="shared" si="165"/>
        <v>12</v>
      </c>
      <c r="BB65" s="189"/>
      <c r="BC65" s="284"/>
      <c r="BD65" s="180">
        <v>5</v>
      </c>
      <c r="BE65" s="181">
        <f t="shared" si="177"/>
        <v>3</v>
      </c>
      <c r="BF65" s="37">
        <f t="shared" si="166"/>
        <v>8</v>
      </c>
      <c r="BG65" s="30">
        <f t="shared" si="167"/>
        <v>12</v>
      </c>
      <c r="BH65" s="189"/>
      <c r="BI65" s="287"/>
      <c r="BJ65" s="187"/>
      <c r="BK65" s="294"/>
      <c r="BL65" s="180">
        <v>5</v>
      </c>
      <c r="BM65" s="181">
        <f t="shared" si="178"/>
        <v>3</v>
      </c>
      <c r="BN65" s="37">
        <f t="shared" si="168"/>
        <v>8</v>
      </c>
      <c r="BO65" s="30">
        <f t="shared" si="169"/>
        <v>12</v>
      </c>
      <c r="BP65" s="189"/>
      <c r="BQ65" s="284"/>
      <c r="BR65" s="180">
        <v>5</v>
      </c>
      <c r="BS65" s="181">
        <f t="shared" si="179"/>
        <v>3</v>
      </c>
      <c r="BT65" s="37">
        <f t="shared" si="170"/>
        <v>8</v>
      </c>
      <c r="BU65" s="30">
        <f t="shared" si="171"/>
        <v>12</v>
      </c>
      <c r="BV65" s="189"/>
      <c r="BW65" s="284"/>
      <c r="BX65" s="180">
        <v>5</v>
      </c>
      <c r="BY65" s="181">
        <f t="shared" si="180"/>
        <v>3</v>
      </c>
      <c r="BZ65" s="37">
        <f t="shared" si="172"/>
        <v>8</v>
      </c>
      <c r="CA65" s="30">
        <f t="shared" si="173"/>
        <v>12</v>
      </c>
      <c r="CB65" s="189"/>
      <c r="CC65" s="287"/>
    </row>
    <row r="66" spans="1:88" x14ac:dyDescent="0.45">
      <c r="A66" s="294"/>
      <c r="B66" s="195">
        <v>6</v>
      </c>
      <c r="C66">
        <f t="shared" si="174"/>
        <v>0</v>
      </c>
      <c r="D66" s="37">
        <f t="shared" si="146"/>
        <v>2</v>
      </c>
      <c r="E66" s="30">
        <f t="shared" si="147"/>
        <v>2</v>
      </c>
      <c r="F66" s="150"/>
      <c r="G66" s="287"/>
      <c r="H66" s="174"/>
      <c r="I66" s="294"/>
      <c r="J66" s="1">
        <v>6</v>
      </c>
      <c r="K66">
        <f t="shared" si="148"/>
        <v>0</v>
      </c>
      <c r="L66" s="37">
        <f t="shared" si="149"/>
        <v>2</v>
      </c>
      <c r="M66" s="30">
        <f t="shared" si="150"/>
        <v>2</v>
      </c>
      <c r="N66" s="150"/>
      <c r="O66" s="284"/>
      <c r="P66" s="1">
        <v>6</v>
      </c>
      <c r="Q66">
        <f t="shared" si="151"/>
        <v>0</v>
      </c>
      <c r="R66" s="37">
        <f t="shared" si="152"/>
        <v>2</v>
      </c>
      <c r="S66" s="30">
        <f t="shared" si="153"/>
        <v>2</v>
      </c>
      <c r="T66" s="150"/>
      <c r="U66" s="287"/>
      <c r="V66" s="174"/>
      <c r="W66" s="294"/>
      <c r="X66" s="1">
        <v>6</v>
      </c>
      <c r="Y66">
        <f t="shared" si="154"/>
        <v>0</v>
      </c>
      <c r="Z66" s="37">
        <f t="shared" si="155"/>
        <v>2</v>
      </c>
      <c r="AA66" s="30">
        <f t="shared" si="156"/>
        <v>2</v>
      </c>
      <c r="AB66" s="96"/>
      <c r="AC66" s="284"/>
      <c r="AD66" s="1">
        <v>6</v>
      </c>
      <c r="AE66">
        <f t="shared" si="175"/>
        <v>0</v>
      </c>
      <c r="AF66" s="37">
        <f t="shared" si="157"/>
        <v>2</v>
      </c>
      <c r="AG66" s="30">
        <f t="shared" si="158"/>
        <v>2</v>
      </c>
      <c r="AH66" s="96"/>
      <c r="AI66" s="284"/>
      <c r="AJ66" s="1">
        <v>6</v>
      </c>
      <c r="AK66">
        <f t="shared" si="29"/>
        <v>0</v>
      </c>
      <c r="AL66" s="37">
        <f t="shared" si="159"/>
        <v>2</v>
      </c>
      <c r="AM66" s="30">
        <f t="shared" si="160"/>
        <v>2</v>
      </c>
      <c r="AN66" s="96"/>
      <c r="AO66" s="287"/>
      <c r="AP66" s="174"/>
      <c r="AQ66" s="294"/>
      <c r="AR66" s="1">
        <v>6</v>
      </c>
      <c r="AS66">
        <f t="shared" si="161"/>
        <v>0</v>
      </c>
      <c r="AT66" s="37">
        <f t="shared" si="162"/>
        <v>2</v>
      </c>
      <c r="AU66" s="30">
        <f t="shared" si="163"/>
        <v>2</v>
      </c>
      <c r="AV66" s="96"/>
      <c r="AW66" s="284"/>
      <c r="AX66" s="1">
        <v>6</v>
      </c>
      <c r="AY66">
        <f t="shared" si="176"/>
        <v>0</v>
      </c>
      <c r="AZ66" s="37">
        <f t="shared" si="164"/>
        <v>2</v>
      </c>
      <c r="BA66" s="30">
        <f t="shared" si="165"/>
        <v>2</v>
      </c>
      <c r="BB66" s="96"/>
      <c r="BC66" s="284"/>
      <c r="BD66" s="1">
        <v>6</v>
      </c>
      <c r="BE66">
        <f t="shared" si="177"/>
        <v>0</v>
      </c>
      <c r="BF66" s="37">
        <f t="shared" si="166"/>
        <v>2</v>
      </c>
      <c r="BG66" s="30">
        <f t="shared" si="167"/>
        <v>2</v>
      </c>
      <c r="BH66" s="96"/>
      <c r="BI66" s="287"/>
      <c r="BJ66" s="171"/>
      <c r="BK66" s="294"/>
      <c r="BL66" s="1">
        <v>6</v>
      </c>
      <c r="BM66">
        <f t="shared" si="178"/>
        <v>0</v>
      </c>
      <c r="BN66" s="37">
        <f t="shared" si="168"/>
        <v>2</v>
      </c>
      <c r="BO66" s="30">
        <f t="shared" si="169"/>
        <v>2</v>
      </c>
      <c r="BP66" s="96"/>
      <c r="BQ66" s="284"/>
      <c r="BR66" s="1">
        <v>6</v>
      </c>
      <c r="BS66">
        <f t="shared" si="179"/>
        <v>0</v>
      </c>
      <c r="BT66" s="37">
        <f t="shared" si="170"/>
        <v>2</v>
      </c>
      <c r="BU66" s="30">
        <f t="shared" si="171"/>
        <v>2</v>
      </c>
      <c r="BV66" s="96"/>
      <c r="BW66" s="284"/>
      <c r="BX66" s="1">
        <v>6</v>
      </c>
      <c r="BY66">
        <f t="shared" si="180"/>
        <v>0</v>
      </c>
      <c r="BZ66" s="37">
        <f t="shared" si="172"/>
        <v>2</v>
      </c>
      <c r="CA66" s="30">
        <f t="shared" si="173"/>
        <v>2</v>
      </c>
      <c r="CB66" s="96"/>
      <c r="CC66" s="287"/>
    </row>
    <row r="67" spans="1:88" x14ac:dyDescent="0.45">
      <c r="A67" s="294"/>
      <c r="B67" s="195">
        <v>7</v>
      </c>
      <c r="C67">
        <f t="shared" si="174"/>
        <v>0</v>
      </c>
      <c r="D67" s="37">
        <f t="shared" si="146"/>
        <v>2</v>
      </c>
      <c r="E67" s="30">
        <f t="shared" si="147"/>
        <v>15</v>
      </c>
      <c r="F67" s="150"/>
      <c r="G67" s="287"/>
      <c r="H67" s="174"/>
      <c r="I67" s="294"/>
      <c r="J67" s="1">
        <v>7</v>
      </c>
      <c r="K67">
        <f t="shared" si="148"/>
        <v>0</v>
      </c>
      <c r="L67" s="37">
        <f t="shared" si="149"/>
        <v>2</v>
      </c>
      <c r="M67" s="30">
        <f t="shared" si="150"/>
        <v>15</v>
      </c>
      <c r="N67" s="150"/>
      <c r="O67" s="284"/>
      <c r="P67" s="1">
        <v>7</v>
      </c>
      <c r="Q67">
        <f t="shared" si="151"/>
        <v>0</v>
      </c>
      <c r="R67" s="37">
        <f t="shared" si="152"/>
        <v>2</v>
      </c>
      <c r="S67" s="30">
        <f t="shared" si="153"/>
        <v>15</v>
      </c>
      <c r="T67" s="150"/>
      <c r="U67" s="287"/>
      <c r="V67" s="174"/>
      <c r="W67" s="294"/>
      <c r="X67" s="1">
        <v>7</v>
      </c>
      <c r="Y67">
        <f t="shared" si="154"/>
        <v>0</v>
      </c>
      <c r="Z67" s="37">
        <f t="shared" si="155"/>
        <v>2</v>
      </c>
      <c r="AA67" s="30">
        <f t="shared" si="156"/>
        <v>15</v>
      </c>
      <c r="AB67" s="96"/>
      <c r="AC67" s="284"/>
      <c r="AD67" s="1">
        <v>7</v>
      </c>
      <c r="AE67">
        <f t="shared" si="175"/>
        <v>0</v>
      </c>
      <c r="AF67" s="37">
        <f t="shared" si="157"/>
        <v>2</v>
      </c>
      <c r="AG67" s="30">
        <f t="shared" si="158"/>
        <v>15</v>
      </c>
      <c r="AH67" s="96"/>
      <c r="AI67" s="284"/>
      <c r="AJ67" s="1">
        <v>7</v>
      </c>
      <c r="AK67">
        <f t="shared" si="29"/>
        <v>0</v>
      </c>
      <c r="AL67" s="37">
        <f t="shared" si="159"/>
        <v>2</v>
      </c>
      <c r="AM67" s="30">
        <f t="shared" si="160"/>
        <v>15</v>
      </c>
      <c r="AN67" s="96"/>
      <c r="AO67" s="287"/>
      <c r="AP67" s="174"/>
      <c r="AQ67" s="294"/>
      <c r="AR67" s="1">
        <v>7</v>
      </c>
      <c r="AS67">
        <f t="shared" si="161"/>
        <v>0</v>
      </c>
      <c r="AT67" s="37">
        <f t="shared" si="162"/>
        <v>2</v>
      </c>
      <c r="AU67" s="30">
        <f t="shared" si="163"/>
        <v>15</v>
      </c>
      <c r="AV67" s="96"/>
      <c r="AW67" s="284"/>
      <c r="AX67" s="1">
        <v>7</v>
      </c>
      <c r="AY67">
        <f t="shared" si="176"/>
        <v>0</v>
      </c>
      <c r="AZ67" s="37">
        <f t="shared" si="164"/>
        <v>2</v>
      </c>
      <c r="BA67" s="30">
        <f t="shared" si="165"/>
        <v>15</v>
      </c>
      <c r="BB67" s="96"/>
      <c r="BC67" s="284"/>
      <c r="BD67" s="1">
        <v>7</v>
      </c>
      <c r="BE67">
        <f t="shared" si="177"/>
        <v>0</v>
      </c>
      <c r="BF67" s="37">
        <f t="shared" si="166"/>
        <v>2</v>
      </c>
      <c r="BG67" s="30">
        <f t="shared" si="167"/>
        <v>15</v>
      </c>
      <c r="BH67" s="96"/>
      <c r="BI67" s="287"/>
      <c r="BJ67" s="171"/>
      <c r="BK67" s="294"/>
      <c r="BL67" s="1">
        <v>7</v>
      </c>
      <c r="BM67">
        <f t="shared" si="178"/>
        <v>0</v>
      </c>
      <c r="BN67" s="37">
        <f t="shared" si="168"/>
        <v>2</v>
      </c>
      <c r="BO67" s="30">
        <f t="shared" si="169"/>
        <v>15</v>
      </c>
      <c r="BP67" s="96"/>
      <c r="BQ67" s="284"/>
      <c r="BR67" s="1">
        <v>7</v>
      </c>
      <c r="BS67">
        <f t="shared" si="179"/>
        <v>0</v>
      </c>
      <c r="BT67" s="37">
        <f t="shared" si="170"/>
        <v>2</v>
      </c>
      <c r="BU67" s="30">
        <f t="shared" si="171"/>
        <v>15</v>
      </c>
      <c r="BV67" s="96"/>
      <c r="BW67" s="284"/>
      <c r="BX67" s="1">
        <v>7</v>
      </c>
      <c r="BY67">
        <f t="shared" si="180"/>
        <v>0</v>
      </c>
      <c r="BZ67" s="37">
        <f t="shared" si="172"/>
        <v>2</v>
      </c>
      <c r="CA67" s="30">
        <f t="shared" si="173"/>
        <v>15</v>
      </c>
      <c r="CB67" s="96"/>
      <c r="CC67" s="287"/>
    </row>
    <row r="68" spans="1:88" x14ac:dyDescent="0.45">
      <c r="A68" s="296"/>
      <c r="B68" s="197">
        <v>8</v>
      </c>
      <c r="C68" s="53">
        <f t="shared" si="174"/>
        <v>0</v>
      </c>
      <c r="D68" s="37">
        <f t="shared" si="146"/>
        <v>2</v>
      </c>
      <c r="E68" s="30">
        <f t="shared" si="147"/>
        <v>11</v>
      </c>
      <c r="F68" s="151">
        <v>10</v>
      </c>
      <c r="G68" s="287"/>
      <c r="H68" s="174"/>
      <c r="I68" s="296"/>
      <c r="J68" s="51">
        <v>8</v>
      </c>
      <c r="K68">
        <f t="shared" si="148"/>
        <v>0</v>
      </c>
      <c r="L68" s="37">
        <f t="shared" si="149"/>
        <v>2</v>
      </c>
      <c r="M68" s="30">
        <f t="shared" si="150"/>
        <v>11</v>
      </c>
      <c r="N68" s="151">
        <v>6</v>
      </c>
      <c r="O68" s="285"/>
      <c r="P68" s="51">
        <v>8</v>
      </c>
      <c r="Q68">
        <f t="shared" si="151"/>
        <v>0</v>
      </c>
      <c r="R68" s="37">
        <f t="shared" si="152"/>
        <v>2</v>
      </c>
      <c r="S68" s="30">
        <f t="shared" si="153"/>
        <v>11</v>
      </c>
      <c r="T68" s="151"/>
      <c r="U68" s="287"/>
      <c r="V68" s="174"/>
      <c r="W68" s="296"/>
      <c r="X68" s="51">
        <v>8</v>
      </c>
      <c r="Y68">
        <f t="shared" si="154"/>
        <v>0</v>
      </c>
      <c r="Z68" s="37">
        <f t="shared" si="155"/>
        <v>2</v>
      </c>
      <c r="AA68" s="30">
        <f t="shared" si="156"/>
        <v>11</v>
      </c>
      <c r="AB68" s="97"/>
      <c r="AC68" s="285"/>
      <c r="AD68" s="51">
        <v>8</v>
      </c>
      <c r="AE68">
        <f t="shared" si="175"/>
        <v>0</v>
      </c>
      <c r="AF68" s="37">
        <f t="shared" si="157"/>
        <v>2</v>
      </c>
      <c r="AG68" s="30">
        <f t="shared" si="158"/>
        <v>11</v>
      </c>
      <c r="AH68" s="97"/>
      <c r="AI68" s="285"/>
      <c r="AJ68" s="51">
        <v>8</v>
      </c>
      <c r="AK68">
        <f t="shared" si="29"/>
        <v>0</v>
      </c>
      <c r="AL68" s="37">
        <f t="shared" si="159"/>
        <v>2</v>
      </c>
      <c r="AM68" s="30">
        <f t="shared" si="160"/>
        <v>11</v>
      </c>
      <c r="AN68" s="97"/>
      <c r="AO68" s="287"/>
      <c r="AP68" s="174"/>
      <c r="AQ68" s="296"/>
      <c r="AR68" s="51">
        <v>8</v>
      </c>
      <c r="AS68">
        <f t="shared" si="161"/>
        <v>0</v>
      </c>
      <c r="AT68" s="37">
        <f t="shared" si="162"/>
        <v>2</v>
      </c>
      <c r="AU68" s="30">
        <f t="shared" si="163"/>
        <v>11</v>
      </c>
      <c r="AV68" s="97"/>
      <c r="AW68" s="285"/>
      <c r="AX68" s="51">
        <v>8</v>
      </c>
      <c r="AY68">
        <f t="shared" si="176"/>
        <v>0</v>
      </c>
      <c r="AZ68" s="37">
        <f t="shared" si="164"/>
        <v>2</v>
      </c>
      <c r="BA68" s="30">
        <f t="shared" si="165"/>
        <v>11</v>
      </c>
      <c r="BB68" s="97"/>
      <c r="BC68" s="285"/>
      <c r="BD68" s="51">
        <v>8</v>
      </c>
      <c r="BE68">
        <f t="shared" si="177"/>
        <v>0</v>
      </c>
      <c r="BF68" s="37">
        <f t="shared" si="166"/>
        <v>2</v>
      </c>
      <c r="BG68" s="30">
        <f t="shared" si="167"/>
        <v>11</v>
      </c>
      <c r="BH68" s="97"/>
      <c r="BI68" s="287"/>
      <c r="BJ68" s="171"/>
      <c r="BK68" s="296"/>
      <c r="BL68" s="51">
        <v>8</v>
      </c>
      <c r="BM68">
        <f t="shared" si="178"/>
        <v>0</v>
      </c>
      <c r="BN68" s="37">
        <f t="shared" si="168"/>
        <v>2</v>
      </c>
      <c r="BO68" s="30">
        <f t="shared" si="169"/>
        <v>11</v>
      </c>
      <c r="BP68" s="97"/>
      <c r="BQ68" s="285"/>
      <c r="BR68" s="51">
        <v>8</v>
      </c>
      <c r="BS68">
        <f t="shared" si="179"/>
        <v>0</v>
      </c>
      <c r="BT68" s="37">
        <f t="shared" si="170"/>
        <v>2</v>
      </c>
      <c r="BU68" s="30">
        <f t="shared" si="171"/>
        <v>11</v>
      </c>
      <c r="BV68" s="97"/>
      <c r="BW68" s="285"/>
      <c r="BX68" s="51">
        <v>8</v>
      </c>
      <c r="BY68">
        <f t="shared" si="180"/>
        <v>0</v>
      </c>
      <c r="BZ68" s="37">
        <f t="shared" si="172"/>
        <v>2</v>
      </c>
      <c r="CA68" s="30">
        <f t="shared" si="173"/>
        <v>11</v>
      </c>
      <c r="CB68" s="97"/>
      <c r="CC68" s="287"/>
    </row>
    <row r="69" spans="1:88" x14ac:dyDescent="0.45">
      <c r="A69" s="293">
        <v>6</v>
      </c>
      <c r="B69" s="48">
        <f>O11</f>
        <v>6</v>
      </c>
      <c r="C69" s="87" t="s">
        <v>154</v>
      </c>
      <c r="D69" s="10" t="s">
        <v>158</v>
      </c>
      <c r="E69" s="88" t="s">
        <v>152</v>
      </c>
      <c r="F69" s="152"/>
      <c r="G69" s="287">
        <f>IF(COUNT(F70:F78) &gt;0, COUNT(F70:F78)/2,"")</f>
        <v>1</v>
      </c>
      <c r="H69" s="174"/>
      <c r="I69" s="293">
        <v>6</v>
      </c>
      <c r="J69" s="48">
        <f>W10</f>
        <v>0</v>
      </c>
      <c r="K69" s="87" t="s">
        <v>154</v>
      </c>
      <c r="L69" s="10" t="s">
        <v>158</v>
      </c>
      <c r="M69" s="88" t="s">
        <v>152</v>
      </c>
      <c r="N69" s="152"/>
      <c r="O69" s="286">
        <v>6</v>
      </c>
      <c r="P69" s="48">
        <f>AC10</f>
        <v>0</v>
      </c>
      <c r="Q69" s="87" t="s">
        <v>154</v>
      </c>
      <c r="R69" s="10" t="s">
        <v>158</v>
      </c>
      <c r="S69" s="88" t="s">
        <v>152</v>
      </c>
      <c r="T69" s="152"/>
      <c r="U69" s="287" t="str">
        <f>IF(COUNT(H70:H78,N70:N78,T70:T78) &gt;0, COUNT(H70:H78,N70:N78,T70:T78) /2,"")</f>
        <v/>
      </c>
      <c r="V69" s="174"/>
      <c r="W69" s="293">
        <v>6</v>
      </c>
      <c r="X69" s="48">
        <f>AK10</f>
        <v>0</v>
      </c>
      <c r="Y69" s="87" t="s">
        <v>154</v>
      </c>
      <c r="Z69" s="10" t="s">
        <v>158</v>
      </c>
      <c r="AA69" s="88" t="s">
        <v>152</v>
      </c>
      <c r="AB69" s="94"/>
      <c r="AC69" s="286">
        <v>6</v>
      </c>
      <c r="AD69" s="48">
        <f>AQ10</f>
        <v>0</v>
      </c>
      <c r="AE69" s="87" t="s">
        <v>154</v>
      </c>
      <c r="AF69" s="10" t="s">
        <v>158</v>
      </c>
      <c r="AG69" s="88" t="s">
        <v>152</v>
      </c>
      <c r="AH69" s="94"/>
      <c r="AI69" s="286">
        <v>6</v>
      </c>
      <c r="AJ69" s="48">
        <f>AW10</f>
        <v>0</v>
      </c>
      <c r="AK69" t="str">
        <f t="shared" si="29"/>
        <v xml:space="preserve">CTR </v>
      </c>
      <c r="AL69" s="10" t="s">
        <v>158</v>
      </c>
      <c r="AM69" s="88" t="s">
        <v>152</v>
      </c>
      <c r="AN69" s="94"/>
      <c r="AO69" s="287" t="str">
        <f>IF(COUNT(AB70:AB78,AH70:AH78,AN70:AN78) &gt;0, COUNT(AB70:AB78,AH70:AH78,AN70:AN78) /2,"")</f>
        <v/>
      </c>
      <c r="AP69" s="174"/>
      <c r="AQ69" s="293">
        <v>6</v>
      </c>
      <c r="AR69" s="48">
        <f>BE10</f>
        <v>0</v>
      </c>
      <c r="AS69" s="87" t="s">
        <v>154</v>
      </c>
      <c r="AT69" s="10" t="s">
        <v>158</v>
      </c>
      <c r="AU69" s="88" t="s">
        <v>152</v>
      </c>
      <c r="AV69" s="94"/>
      <c r="AW69" s="286">
        <v>6</v>
      </c>
      <c r="AX69" s="48">
        <f>BK10</f>
        <v>0</v>
      </c>
      <c r="AY69" s="87" t="s">
        <v>154</v>
      </c>
      <c r="AZ69" s="10" t="s">
        <v>158</v>
      </c>
      <c r="BA69" s="88" t="s">
        <v>152</v>
      </c>
      <c r="BB69" s="94"/>
      <c r="BC69" s="286">
        <v>6</v>
      </c>
      <c r="BD69" s="48">
        <f>BQ10</f>
        <v>0</v>
      </c>
      <c r="BE69" s="87" t="s">
        <v>154</v>
      </c>
      <c r="BF69" s="10" t="s">
        <v>158</v>
      </c>
      <c r="BG69" s="88" t="s">
        <v>152</v>
      </c>
      <c r="BH69" s="94"/>
      <c r="BI69" s="287" t="str">
        <f>IF(COUNT(AV70:AV78,BB70:BB78,BH70:BH78) &gt;0, COUNT(AV70:AV78,BB70:BB78,BH70:BH78) /2,"")</f>
        <v/>
      </c>
      <c r="BJ69" s="171"/>
      <c r="BK69" s="293">
        <v>6</v>
      </c>
      <c r="BL69" s="48">
        <f>BY10</f>
        <v>0</v>
      </c>
      <c r="BM69" s="87" t="s">
        <v>154</v>
      </c>
      <c r="BN69" s="10" t="s">
        <v>158</v>
      </c>
      <c r="BO69" s="88" t="s">
        <v>152</v>
      </c>
      <c r="BP69" s="94"/>
      <c r="BQ69" s="286">
        <v>6</v>
      </c>
      <c r="BR69" s="48">
        <f>CE10</f>
        <v>0</v>
      </c>
      <c r="BS69" s="87" t="s">
        <v>154</v>
      </c>
      <c r="BT69" s="10" t="s">
        <v>158</v>
      </c>
      <c r="BU69" s="88" t="s">
        <v>152</v>
      </c>
      <c r="BV69" s="94"/>
      <c r="BW69" s="286">
        <v>6</v>
      </c>
      <c r="BX69" s="48">
        <f>CK10</f>
        <v>0</v>
      </c>
      <c r="BY69" s="87" t="s">
        <v>154</v>
      </c>
      <c r="BZ69" s="10" t="s">
        <v>158</v>
      </c>
      <c r="CA69" s="88" t="s">
        <v>152</v>
      </c>
      <c r="CB69" s="94"/>
      <c r="CC69" s="287" t="str">
        <f>IF(COUNT(BP70:BP78,BV70:BV78,CB70:CB78) &gt;0, COUNT(BP70:BP78,BV70:BV78,CB70:CB78) /2,"")</f>
        <v/>
      </c>
    </row>
    <row r="70" spans="1:88" ht="27.75" customHeight="1" x14ac:dyDescent="0.45">
      <c r="A70" s="294"/>
      <c r="B70" s="176" t="s">
        <v>162</v>
      </c>
      <c r="C70" s="102" t="s">
        <v>156</v>
      </c>
      <c r="D70" s="89" t="s">
        <v>175</v>
      </c>
      <c r="E70" s="177" t="s">
        <v>174</v>
      </c>
      <c r="F70" s="148"/>
      <c r="G70" s="287"/>
      <c r="H70" s="174"/>
      <c r="I70" s="294"/>
      <c r="J70" s="176" t="s">
        <v>162</v>
      </c>
      <c r="K70" s="90" t="s">
        <v>155</v>
      </c>
      <c r="L70" s="89" t="s">
        <v>175</v>
      </c>
      <c r="M70" s="177" t="s">
        <v>174</v>
      </c>
      <c r="N70" s="148"/>
      <c r="O70" s="284"/>
      <c r="P70" s="176" t="s">
        <v>162</v>
      </c>
      <c r="Q70" s="90" t="s">
        <v>155</v>
      </c>
      <c r="R70" s="89" t="s">
        <v>175</v>
      </c>
      <c r="S70" s="177" t="s">
        <v>174</v>
      </c>
      <c r="T70" s="156"/>
      <c r="U70" s="287"/>
      <c r="V70" s="174"/>
      <c r="W70" s="294"/>
      <c r="X70" s="176" t="s">
        <v>162</v>
      </c>
      <c r="Y70" s="90" t="s">
        <v>155</v>
      </c>
      <c r="Z70" s="89" t="s">
        <v>175</v>
      </c>
      <c r="AA70" s="177" t="s">
        <v>174</v>
      </c>
      <c r="AB70" s="95"/>
      <c r="AC70" s="284"/>
      <c r="AD70" s="176" t="s">
        <v>162</v>
      </c>
      <c r="AE70" s="90" t="s">
        <v>155</v>
      </c>
      <c r="AF70" s="89" t="s">
        <v>175</v>
      </c>
      <c r="AG70" s="177" t="s">
        <v>174</v>
      </c>
      <c r="AH70" s="95"/>
      <c r="AI70" s="284"/>
      <c r="AJ70" s="176" t="s">
        <v>162</v>
      </c>
      <c r="AK70" s="90" t="s">
        <v>155</v>
      </c>
      <c r="AL70" s="89" t="s">
        <v>175</v>
      </c>
      <c r="AM70" s="177" t="s">
        <v>174</v>
      </c>
      <c r="AN70" s="95"/>
      <c r="AO70" s="287"/>
      <c r="AP70" s="174"/>
      <c r="AQ70" s="294"/>
      <c r="AR70" s="176" t="s">
        <v>162</v>
      </c>
      <c r="AS70" s="90" t="s">
        <v>155</v>
      </c>
      <c r="AT70" s="89" t="s">
        <v>175</v>
      </c>
      <c r="AU70" s="177" t="s">
        <v>174</v>
      </c>
      <c r="AV70" s="95"/>
      <c r="AW70" s="284"/>
      <c r="AX70" s="176" t="s">
        <v>162</v>
      </c>
      <c r="AY70" s="90" t="s">
        <v>155</v>
      </c>
      <c r="AZ70" s="89" t="s">
        <v>175</v>
      </c>
      <c r="BA70" s="177" t="s">
        <v>174</v>
      </c>
      <c r="BB70" s="95"/>
      <c r="BC70" s="284"/>
      <c r="BD70" s="176" t="s">
        <v>162</v>
      </c>
      <c r="BE70" s="90" t="s">
        <v>155</v>
      </c>
      <c r="BF70" s="89" t="s">
        <v>175</v>
      </c>
      <c r="BG70" s="177" t="s">
        <v>174</v>
      </c>
      <c r="BH70" s="95"/>
      <c r="BI70" s="287"/>
      <c r="BJ70" s="171"/>
      <c r="BK70" s="294"/>
      <c r="BL70" s="176" t="s">
        <v>162</v>
      </c>
      <c r="BM70" s="90" t="s">
        <v>155</v>
      </c>
      <c r="BN70" s="89" t="s">
        <v>175</v>
      </c>
      <c r="BO70" s="177" t="s">
        <v>174</v>
      </c>
      <c r="BP70" s="95"/>
      <c r="BQ70" s="284"/>
      <c r="BR70" s="176" t="s">
        <v>162</v>
      </c>
      <c r="BS70" s="90" t="s">
        <v>155</v>
      </c>
      <c r="BT70" s="89" t="s">
        <v>175</v>
      </c>
      <c r="BU70" s="177" t="s">
        <v>174</v>
      </c>
      <c r="BV70" s="95"/>
      <c r="BW70" s="284"/>
      <c r="BX70" s="176" t="s">
        <v>162</v>
      </c>
      <c r="BY70" s="90" t="s">
        <v>155</v>
      </c>
      <c r="BZ70" s="89" t="s">
        <v>175</v>
      </c>
      <c r="CA70" s="177" t="s">
        <v>174</v>
      </c>
      <c r="CB70" s="95"/>
      <c r="CC70" s="287"/>
    </row>
    <row r="71" spans="1:88" x14ac:dyDescent="0.45">
      <c r="A71" s="294"/>
      <c r="B71" s="1">
        <v>1</v>
      </c>
      <c r="C71">
        <v>0</v>
      </c>
      <c r="D71" s="37">
        <f t="shared" ref="D71:D78" si="181">(C71+$B$19)*$G$3</f>
        <v>2</v>
      </c>
      <c r="E71" s="30">
        <f t="shared" ref="E71:E78" si="182">MOD($F6+D71,$G$2)</f>
        <v>9</v>
      </c>
      <c r="F71" s="149"/>
      <c r="G71" s="287"/>
      <c r="H71" s="174"/>
      <c r="I71" s="294"/>
      <c r="J71" s="62">
        <v>1</v>
      </c>
      <c r="K71">
        <f t="shared" ref="K71:K78" si="183">IF(F71="", C71,IF(F71=MIN(F$71:F$78),C71+1,0))</f>
        <v>0</v>
      </c>
      <c r="L71" s="37">
        <f t="shared" ref="L71:L78" si="184">(K71+$B$19)*$G$3</f>
        <v>2</v>
      </c>
      <c r="M71" s="30">
        <f t="shared" ref="M71:M78" si="185">MOD($F6+L71,$G$2)</f>
        <v>9</v>
      </c>
      <c r="N71" s="149"/>
      <c r="O71" s="284"/>
      <c r="P71" s="62">
        <v>1</v>
      </c>
      <c r="Q71">
        <f t="shared" ref="Q71:Q78" si="186">IF(N71="", K71,IF(N71=MIN(N$71:N$78),K71+1,0))</f>
        <v>0</v>
      </c>
      <c r="R71" s="37">
        <f t="shared" ref="R71:R78" si="187">(Q71+$B$19)*$G$3</f>
        <v>2</v>
      </c>
      <c r="S71" s="30">
        <f t="shared" ref="S71:S78" si="188">MOD($F6+R71,$G$2)</f>
        <v>9</v>
      </c>
      <c r="T71" s="149"/>
      <c r="U71" s="287"/>
      <c r="V71" s="174"/>
      <c r="W71" s="294"/>
      <c r="X71" s="62">
        <v>1</v>
      </c>
      <c r="Y71">
        <f t="shared" ref="Y71:Y78" si="189">IF(T71="", Q71,IF(T71=MIN(T$71:T$78),Q71+1,0))</f>
        <v>0</v>
      </c>
      <c r="Z71" s="37">
        <f t="shared" ref="Z71:Z78" si="190">(Y71+$B$19)*$G$3</f>
        <v>2</v>
      </c>
      <c r="AA71" s="30">
        <f t="shared" ref="AA71:AA78" si="191">MOD($F6+Z71,$G$2)</f>
        <v>9</v>
      </c>
      <c r="AB71" s="98"/>
      <c r="AC71" s="284"/>
      <c r="AD71" s="62">
        <v>1</v>
      </c>
      <c r="AE71">
        <f t="shared" ref="AE71:AE78" si="192">IF(AB71="", Y71,IF(AB71=MIN(AB$71:AB$78),Y71+1,0))</f>
        <v>0</v>
      </c>
      <c r="AF71" s="37">
        <f t="shared" ref="AF71:AF78" si="193">(AE71+$B$19)*$G$3</f>
        <v>2</v>
      </c>
      <c r="AG71" s="30">
        <f t="shared" ref="AG71:AG78" si="194">MOD($F6+AF71,$G$2)</f>
        <v>9</v>
      </c>
      <c r="AH71" s="98"/>
      <c r="AI71" s="284"/>
      <c r="AJ71" s="62">
        <v>1</v>
      </c>
      <c r="AK71">
        <f t="shared" si="29"/>
        <v>0</v>
      </c>
      <c r="AL71" s="37">
        <f t="shared" ref="AL71:AL78" si="195">(AK71+$B$19)*$G$3</f>
        <v>2</v>
      </c>
      <c r="AM71" s="30">
        <f t="shared" ref="AM71:AM78" si="196">MOD($F6+AL71,$G$2)</f>
        <v>9</v>
      </c>
      <c r="AN71" s="98"/>
      <c r="AO71" s="287"/>
      <c r="AP71" s="174"/>
      <c r="AQ71" s="294"/>
      <c r="AR71" s="62">
        <v>1</v>
      </c>
      <c r="AS71">
        <f t="shared" ref="AS71:AS78" si="197">IF(AN71="", AK71,IF(AN71=MIN(AN$71:AN$78),AK71+1,0))</f>
        <v>0</v>
      </c>
      <c r="AT71" s="37">
        <f t="shared" ref="AT71:AT78" si="198">(AS71+$B$19)*$G$3</f>
        <v>2</v>
      </c>
      <c r="AU71" s="30">
        <f t="shared" ref="AU71:AU78" si="199">MOD($F6+AT71,$G$2)</f>
        <v>9</v>
      </c>
      <c r="AV71" s="98"/>
      <c r="AW71" s="284"/>
      <c r="AX71" s="62">
        <v>1</v>
      </c>
      <c r="AY71">
        <f t="shared" ref="AY71:AY78" si="200">IF(AV71="", AS71,IF(AV71=MIN(AV$71:AV$78),AS71+1,0))</f>
        <v>0</v>
      </c>
      <c r="AZ71" s="37">
        <f t="shared" ref="AZ71:AZ78" si="201">(AY71+$B$19)*$G$3</f>
        <v>2</v>
      </c>
      <c r="BA71" s="30">
        <f t="shared" ref="BA71:BA78" si="202">MOD($F6+AZ71,$G$2)</f>
        <v>9</v>
      </c>
      <c r="BB71" s="98"/>
      <c r="BC71" s="284"/>
      <c r="BD71" s="62">
        <v>1</v>
      </c>
      <c r="BE71">
        <f t="shared" ref="BE71:BE78" si="203">IF(BB71="", AY71,IF(BB71=MIN(BB$71:BB$78),AY71+1,0))</f>
        <v>0</v>
      </c>
      <c r="BF71" s="37">
        <f t="shared" ref="BF71:BF78" si="204">(BE71+$B$19)*$G$3</f>
        <v>2</v>
      </c>
      <c r="BG71" s="30">
        <f t="shared" ref="BG71:BG78" si="205">MOD($F6+BF71,$G$2)</f>
        <v>9</v>
      </c>
      <c r="BH71" s="98"/>
      <c r="BI71" s="287"/>
      <c r="BJ71" s="171"/>
      <c r="BK71" s="294"/>
      <c r="BL71" s="62">
        <v>1</v>
      </c>
      <c r="BM71">
        <f t="shared" ref="BM71:BM78" si="206">IF(BH71="", BE71,IF(BH71=MIN(BH$71:BH$78),BE71+1,0))</f>
        <v>0</v>
      </c>
      <c r="BN71" s="37">
        <f t="shared" ref="BN71:BN78" si="207">(BM71+$B$19)*$G$3</f>
        <v>2</v>
      </c>
      <c r="BO71" s="30">
        <f t="shared" ref="BO71:BO78" si="208">MOD($F6+BN71,$G$2)</f>
        <v>9</v>
      </c>
      <c r="BP71" s="98"/>
      <c r="BQ71" s="284"/>
      <c r="BR71" s="62">
        <v>1</v>
      </c>
      <c r="BS71">
        <f t="shared" ref="BS71:BS78" si="209">IF(BP71="", BM71,IF(BP71=MIN(BP$71:BP$78),BM71+1,0))</f>
        <v>0</v>
      </c>
      <c r="BT71" s="37">
        <f t="shared" ref="BT71:BT78" si="210">(BS71+$B$19)*$G$3</f>
        <v>2</v>
      </c>
      <c r="BU71" s="30">
        <f t="shared" ref="BU71:BU78" si="211">MOD($F6+BT71,$G$2)</f>
        <v>9</v>
      </c>
      <c r="BV71" s="98"/>
      <c r="BW71" s="284"/>
      <c r="BX71" s="62">
        <v>1</v>
      </c>
      <c r="BY71">
        <f t="shared" ref="BY71:BY78" si="212">IF(BV71="", BS71,IF(BV71=MIN(BV$71:BV$78),BS71+1,0))</f>
        <v>0</v>
      </c>
      <c r="BZ71" s="37">
        <f t="shared" ref="BZ71:BZ78" si="213">(BY71+$B$19)*$G$3</f>
        <v>2</v>
      </c>
      <c r="CA71" s="30">
        <f t="shared" ref="CA71:CA78" si="214">MOD($F6+BZ71,$G$2)</f>
        <v>9</v>
      </c>
      <c r="CB71" s="98"/>
      <c r="CC71" s="287"/>
    </row>
    <row r="72" spans="1:88" x14ac:dyDescent="0.45">
      <c r="A72" s="294"/>
      <c r="B72" s="180">
        <v>2</v>
      </c>
      <c r="C72">
        <f t="shared" ref="C72:C78" si="215">IF(B72=MIN(B$21:B$28),1,0)</f>
        <v>0</v>
      </c>
      <c r="D72" s="37">
        <f t="shared" si="181"/>
        <v>2</v>
      </c>
      <c r="E72" s="30">
        <f t="shared" si="182"/>
        <v>5</v>
      </c>
      <c r="F72" s="150"/>
      <c r="G72" s="287"/>
      <c r="H72" s="174"/>
      <c r="I72" s="294"/>
      <c r="J72" s="1">
        <v>2</v>
      </c>
      <c r="K72">
        <f t="shared" si="183"/>
        <v>0</v>
      </c>
      <c r="L72" s="37">
        <f t="shared" si="184"/>
        <v>2</v>
      </c>
      <c r="M72" s="30">
        <f t="shared" si="185"/>
        <v>5</v>
      </c>
      <c r="N72" s="150"/>
      <c r="O72" s="284"/>
      <c r="P72" s="1">
        <v>2</v>
      </c>
      <c r="Q72">
        <f t="shared" si="186"/>
        <v>0</v>
      </c>
      <c r="R72" s="37">
        <f t="shared" si="187"/>
        <v>2</v>
      </c>
      <c r="S72" s="30">
        <f t="shared" si="188"/>
        <v>5</v>
      </c>
      <c r="T72" s="150"/>
      <c r="U72" s="287"/>
      <c r="V72" s="174"/>
      <c r="W72" s="294"/>
      <c r="X72" s="1">
        <v>2</v>
      </c>
      <c r="Y72">
        <f t="shared" si="189"/>
        <v>0</v>
      </c>
      <c r="Z72" s="37">
        <f t="shared" si="190"/>
        <v>2</v>
      </c>
      <c r="AA72" s="30">
        <f t="shared" si="191"/>
        <v>5</v>
      </c>
      <c r="AB72" s="96"/>
      <c r="AC72" s="284"/>
      <c r="AD72" s="1">
        <v>2</v>
      </c>
      <c r="AE72">
        <f t="shared" si="192"/>
        <v>0</v>
      </c>
      <c r="AF72" s="37">
        <f t="shared" si="193"/>
        <v>2</v>
      </c>
      <c r="AG72" s="30">
        <f t="shared" si="194"/>
        <v>5</v>
      </c>
      <c r="AH72" s="96"/>
      <c r="AI72" s="284"/>
      <c r="AJ72" s="1">
        <v>2</v>
      </c>
      <c r="AK72">
        <f t="shared" si="29"/>
        <v>0</v>
      </c>
      <c r="AL72" s="37">
        <f t="shared" si="195"/>
        <v>2</v>
      </c>
      <c r="AM72" s="30">
        <f t="shared" si="196"/>
        <v>5</v>
      </c>
      <c r="AN72" s="96"/>
      <c r="AO72" s="287"/>
      <c r="AP72" s="174"/>
      <c r="AQ72" s="294"/>
      <c r="AR72" s="1">
        <v>2</v>
      </c>
      <c r="AS72">
        <f t="shared" si="197"/>
        <v>0</v>
      </c>
      <c r="AT72" s="37">
        <f t="shared" si="198"/>
        <v>2</v>
      </c>
      <c r="AU72" s="30">
        <f t="shared" si="199"/>
        <v>5</v>
      </c>
      <c r="AV72" s="96"/>
      <c r="AW72" s="284"/>
      <c r="AX72" s="1">
        <v>2</v>
      </c>
      <c r="AY72">
        <f t="shared" si="200"/>
        <v>0</v>
      </c>
      <c r="AZ72" s="37">
        <f t="shared" si="201"/>
        <v>2</v>
      </c>
      <c r="BA72" s="30">
        <f t="shared" si="202"/>
        <v>5</v>
      </c>
      <c r="BB72" s="96"/>
      <c r="BC72" s="284"/>
      <c r="BD72" s="1">
        <v>2</v>
      </c>
      <c r="BE72">
        <f t="shared" si="203"/>
        <v>0</v>
      </c>
      <c r="BF72" s="37">
        <f t="shared" si="204"/>
        <v>2</v>
      </c>
      <c r="BG72" s="30">
        <f t="shared" si="205"/>
        <v>5</v>
      </c>
      <c r="BH72" s="96"/>
      <c r="BI72" s="287"/>
      <c r="BJ72" s="171"/>
      <c r="BK72" s="294"/>
      <c r="BL72" s="1">
        <v>2</v>
      </c>
      <c r="BM72">
        <f t="shared" si="206"/>
        <v>0</v>
      </c>
      <c r="BN72" s="37">
        <f t="shared" si="207"/>
        <v>2</v>
      </c>
      <c r="BO72" s="30">
        <f t="shared" si="208"/>
        <v>5</v>
      </c>
      <c r="BP72" s="96"/>
      <c r="BQ72" s="284"/>
      <c r="BR72" s="1">
        <v>2</v>
      </c>
      <c r="BS72">
        <f t="shared" si="209"/>
        <v>0</v>
      </c>
      <c r="BT72" s="37">
        <f t="shared" si="210"/>
        <v>2</v>
      </c>
      <c r="BU72" s="30">
        <f t="shared" si="211"/>
        <v>5</v>
      </c>
      <c r="BV72" s="96"/>
      <c r="BW72" s="284"/>
      <c r="BX72" s="1">
        <v>2</v>
      </c>
      <c r="BY72">
        <f t="shared" si="212"/>
        <v>0</v>
      </c>
      <c r="BZ72" s="37">
        <f t="shared" si="213"/>
        <v>2</v>
      </c>
      <c r="CA72" s="30">
        <f t="shared" si="214"/>
        <v>5</v>
      </c>
      <c r="CB72" s="96"/>
      <c r="CC72" s="287"/>
    </row>
    <row r="73" spans="1:88" x14ac:dyDescent="0.45">
      <c r="A73" s="294"/>
      <c r="B73" s="1">
        <v>3</v>
      </c>
      <c r="C73">
        <f t="shared" si="215"/>
        <v>0</v>
      </c>
      <c r="D73" s="37">
        <f t="shared" si="181"/>
        <v>2</v>
      </c>
      <c r="E73" s="30">
        <f t="shared" si="182"/>
        <v>0</v>
      </c>
      <c r="F73" s="150"/>
      <c r="G73" s="287"/>
      <c r="H73" s="174"/>
      <c r="I73" s="294"/>
      <c r="J73" s="1">
        <v>3</v>
      </c>
      <c r="K73">
        <f t="shared" si="183"/>
        <v>0</v>
      </c>
      <c r="L73" s="37">
        <f t="shared" si="184"/>
        <v>2</v>
      </c>
      <c r="M73" s="30">
        <f t="shared" si="185"/>
        <v>0</v>
      </c>
      <c r="N73" s="150"/>
      <c r="O73" s="284"/>
      <c r="P73" s="1">
        <v>3</v>
      </c>
      <c r="Q73">
        <f t="shared" si="186"/>
        <v>0</v>
      </c>
      <c r="R73" s="37">
        <f t="shared" si="187"/>
        <v>2</v>
      </c>
      <c r="S73" s="30">
        <f t="shared" si="188"/>
        <v>0</v>
      </c>
      <c r="T73" s="150"/>
      <c r="U73" s="287"/>
      <c r="V73" s="174"/>
      <c r="W73" s="294"/>
      <c r="X73" s="1">
        <v>3</v>
      </c>
      <c r="Y73">
        <f t="shared" si="189"/>
        <v>0</v>
      </c>
      <c r="Z73" s="37">
        <f t="shared" si="190"/>
        <v>2</v>
      </c>
      <c r="AA73" s="30">
        <f t="shared" si="191"/>
        <v>0</v>
      </c>
      <c r="AB73" s="96"/>
      <c r="AC73" s="284"/>
      <c r="AD73" s="1">
        <v>3</v>
      </c>
      <c r="AE73">
        <f t="shared" si="192"/>
        <v>0</v>
      </c>
      <c r="AF73" s="37">
        <f t="shared" si="193"/>
        <v>2</v>
      </c>
      <c r="AG73" s="30">
        <f t="shared" si="194"/>
        <v>0</v>
      </c>
      <c r="AH73" s="96"/>
      <c r="AI73" s="284"/>
      <c r="AJ73" s="1">
        <v>3</v>
      </c>
      <c r="AK73">
        <f t="shared" si="29"/>
        <v>0</v>
      </c>
      <c r="AL73" s="37">
        <f t="shared" si="195"/>
        <v>2</v>
      </c>
      <c r="AM73" s="30">
        <f t="shared" si="196"/>
        <v>0</v>
      </c>
      <c r="AN73" s="96"/>
      <c r="AO73" s="287"/>
      <c r="AP73" s="174"/>
      <c r="AQ73" s="294"/>
      <c r="AR73" s="1">
        <v>3</v>
      </c>
      <c r="AS73">
        <f t="shared" si="197"/>
        <v>0</v>
      </c>
      <c r="AT73" s="37">
        <f t="shared" si="198"/>
        <v>2</v>
      </c>
      <c r="AU73" s="30">
        <f t="shared" si="199"/>
        <v>0</v>
      </c>
      <c r="AV73" s="96"/>
      <c r="AW73" s="284"/>
      <c r="AX73" s="1">
        <v>3</v>
      </c>
      <c r="AY73">
        <f t="shared" si="200"/>
        <v>0</v>
      </c>
      <c r="AZ73" s="37">
        <f t="shared" si="201"/>
        <v>2</v>
      </c>
      <c r="BA73" s="30">
        <f t="shared" si="202"/>
        <v>0</v>
      </c>
      <c r="BB73" s="96"/>
      <c r="BC73" s="284"/>
      <c r="BD73" s="1">
        <v>3</v>
      </c>
      <c r="BE73">
        <f t="shared" si="203"/>
        <v>0</v>
      </c>
      <c r="BF73" s="37">
        <f t="shared" si="204"/>
        <v>2</v>
      </c>
      <c r="BG73" s="30">
        <f t="shared" si="205"/>
        <v>0</v>
      </c>
      <c r="BH73" s="96"/>
      <c r="BI73" s="287"/>
      <c r="BJ73" s="171"/>
      <c r="BK73" s="294"/>
      <c r="BL73" s="1">
        <v>3</v>
      </c>
      <c r="BM73">
        <f t="shared" si="206"/>
        <v>0</v>
      </c>
      <c r="BN73" s="37">
        <f t="shared" si="207"/>
        <v>2</v>
      </c>
      <c r="BO73" s="30">
        <f t="shared" si="208"/>
        <v>0</v>
      </c>
      <c r="BP73" s="96"/>
      <c r="BQ73" s="284"/>
      <c r="BR73" s="1">
        <v>3</v>
      </c>
      <c r="BS73">
        <f t="shared" si="209"/>
        <v>0</v>
      </c>
      <c r="BT73" s="37">
        <f t="shared" si="210"/>
        <v>2</v>
      </c>
      <c r="BU73" s="30">
        <f t="shared" si="211"/>
        <v>0</v>
      </c>
      <c r="BV73" s="96"/>
      <c r="BW73" s="284"/>
      <c r="BX73" s="1">
        <v>3</v>
      </c>
      <c r="BY73">
        <f t="shared" si="212"/>
        <v>0</v>
      </c>
      <c r="BZ73" s="37">
        <f t="shared" si="213"/>
        <v>2</v>
      </c>
      <c r="CA73" s="30">
        <f t="shared" si="214"/>
        <v>0</v>
      </c>
      <c r="CB73" s="96"/>
      <c r="CC73" s="287"/>
    </row>
    <row r="74" spans="1:88" x14ac:dyDescent="0.45">
      <c r="A74" s="294"/>
      <c r="B74" s="1">
        <v>4</v>
      </c>
      <c r="C74">
        <f t="shared" si="215"/>
        <v>0</v>
      </c>
      <c r="D74" s="37">
        <f t="shared" si="181"/>
        <v>2</v>
      </c>
      <c r="E74" s="30">
        <f t="shared" si="182"/>
        <v>12</v>
      </c>
      <c r="F74" s="150"/>
      <c r="G74" s="287"/>
      <c r="H74" s="174"/>
      <c r="I74" s="294"/>
      <c r="J74" s="1">
        <v>4</v>
      </c>
      <c r="K74">
        <f t="shared" si="183"/>
        <v>0</v>
      </c>
      <c r="L74" s="37">
        <f t="shared" si="184"/>
        <v>2</v>
      </c>
      <c r="M74" s="30">
        <f t="shared" si="185"/>
        <v>12</v>
      </c>
      <c r="N74" s="150"/>
      <c r="O74" s="284"/>
      <c r="P74" s="1">
        <v>4</v>
      </c>
      <c r="Q74">
        <f t="shared" si="186"/>
        <v>0</v>
      </c>
      <c r="R74" s="37">
        <f t="shared" si="187"/>
        <v>2</v>
      </c>
      <c r="S74" s="30">
        <f t="shared" si="188"/>
        <v>12</v>
      </c>
      <c r="T74" s="150"/>
      <c r="U74" s="287"/>
      <c r="V74" s="174"/>
      <c r="W74" s="294"/>
      <c r="X74" s="1">
        <v>4</v>
      </c>
      <c r="Y74">
        <f t="shared" si="189"/>
        <v>0</v>
      </c>
      <c r="Z74" s="37">
        <f t="shared" si="190"/>
        <v>2</v>
      </c>
      <c r="AA74" s="30">
        <f t="shared" si="191"/>
        <v>12</v>
      </c>
      <c r="AB74" s="96"/>
      <c r="AC74" s="284"/>
      <c r="AD74" s="1">
        <v>4</v>
      </c>
      <c r="AE74">
        <f t="shared" si="192"/>
        <v>0</v>
      </c>
      <c r="AF74" s="37">
        <f t="shared" si="193"/>
        <v>2</v>
      </c>
      <c r="AG74" s="30">
        <f t="shared" si="194"/>
        <v>12</v>
      </c>
      <c r="AH74" s="96"/>
      <c r="AI74" s="284"/>
      <c r="AJ74" s="1">
        <v>4</v>
      </c>
      <c r="AK74">
        <f t="shared" si="29"/>
        <v>0</v>
      </c>
      <c r="AL74" s="37">
        <f t="shared" si="195"/>
        <v>2</v>
      </c>
      <c r="AM74" s="30">
        <f t="shared" si="196"/>
        <v>12</v>
      </c>
      <c r="AN74" s="96"/>
      <c r="AO74" s="287"/>
      <c r="AP74" s="174"/>
      <c r="AQ74" s="294"/>
      <c r="AR74" s="1">
        <v>4</v>
      </c>
      <c r="AS74">
        <f t="shared" si="197"/>
        <v>0</v>
      </c>
      <c r="AT74" s="37">
        <f t="shared" si="198"/>
        <v>2</v>
      </c>
      <c r="AU74" s="30">
        <f t="shared" si="199"/>
        <v>12</v>
      </c>
      <c r="AV74" s="96"/>
      <c r="AW74" s="284"/>
      <c r="AX74" s="1">
        <v>4</v>
      </c>
      <c r="AY74">
        <f t="shared" si="200"/>
        <v>0</v>
      </c>
      <c r="AZ74" s="37">
        <f t="shared" si="201"/>
        <v>2</v>
      </c>
      <c r="BA74" s="30">
        <f t="shared" si="202"/>
        <v>12</v>
      </c>
      <c r="BB74" s="96"/>
      <c r="BC74" s="284"/>
      <c r="BD74" s="1">
        <v>4</v>
      </c>
      <c r="BE74">
        <f t="shared" si="203"/>
        <v>0</v>
      </c>
      <c r="BF74" s="37">
        <f t="shared" si="204"/>
        <v>2</v>
      </c>
      <c r="BG74" s="30">
        <f t="shared" si="205"/>
        <v>12</v>
      </c>
      <c r="BH74" s="96"/>
      <c r="BI74" s="287"/>
      <c r="BJ74" s="171"/>
      <c r="BK74" s="294"/>
      <c r="BL74" s="1">
        <v>4</v>
      </c>
      <c r="BM74">
        <f t="shared" si="206"/>
        <v>0</v>
      </c>
      <c r="BN74" s="37">
        <f t="shared" si="207"/>
        <v>2</v>
      </c>
      <c r="BO74" s="30">
        <f t="shared" si="208"/>
        <v>12</v>
      </c>
      <c r="BP74" s="96"/>
      <c r="BQ74" s="284"/>
      <c r="BR74" s="1">
        <v>4</v>
      </c>
      <c r="BS74">
        <f t="shared" si="209"/>
        <v>0</v>
      </c>
      <c r="BT74" s="37">
        <f t="shared" si="210"/>
        <v>2</v>
      </c>
      <c r="BU74" s="30">
        <f t="shared" si="211"/>
        <v>12</v>
      </c>
      <c r="BV74" s="96"/>
      <c r="BW74" s="284"/>
      <c r="BX74" s="1">
        <v>4</v>
      </c>
      <c r="BY74">
        <f t="shared" si="212"/>
        <v>0</v>
      </c>
      <c r="BZ74" s="37">
        <f t="shared" si="213"/>
        <v>2</v>
      </c>
      <c r="CA74" s="30">
        <f t="shared" si="214"/>
        <v>12</v>
      </c>
      <c r="CB74" s="96"/>
      <c r="CC74" s="287"/>
      <c r="CJ74" s="138"/>
    </row>
    <row r="75" spans="1:88" x14ac:dyDescent="0.45">
      <c r="A75" s="294"/>
      <c r="B75" s="1">
        <v>5</v>
      </c>
      <c r="C75">
        <f t="shared" si="215"/>
        <v>0</v>
      </c>
      <c r="D75" s="37">
        <f t="shared" si="181"/>
        <v>2</v>
      </c>
      <c r="E75" s="30">
        <f t="shared" si="182"/>
        <v>6</v>
      </c>
      <c r="F75" s="150">
        <v>8</v>
      </c>
      <c r="G75" s="287"/>
      <c r="H75" s="174"/>
      <c r="I75" s="294"/>
      <c r="J75" s="1">
        <v>5</v>
      </c>
      <c r="K75">
        <f t="shared" si="183"/>
        <v>0</v>
      </c>
      <c r="L75" s="37">
        <f t="shared" si="184"/>
        <v>2</v>
      </c>
      <c r="M75" s="30">
        <f t="shared" si="185"/>
        <v>6</v>
      </c>
      <c r="N75" s="150"/>
      <c r="O75" s="284"/>
      <c r="P75" s="1">
        <v>5</v>
      </c>
      <c r="Q75">
        <f t="shared" si="186"/>
        <v>0</v>
      </c>
      <c r="R75" s="37">
        <f t="shared" si="187"/>
        <v>2</v>
      </c>
      <c r="S75" s="30">
        <f t="shared" si="188"/>
        <v>6</v>
      </c>
      <c r="T75" s="150"/>
      <c r="U75" s="287"/>
      <c r="V75" s="174"/>
      <c r="W75" s="294"/>
      <c r="X75" s="1">
        <v>5</v>
      </c>
      <c r="Y75">
        <f t="shared" si="189"/>
        <v>0</v>
      </c>
      <c r="Z75" s="37">
        <f t="shared" si="190"/>
        <v>2</v>
      </c>
      <c r="AA75" s="30">
        <f t="shared" si="191"/>
        <v>6</v>
      </c>
      <c r="AB75" s="96"/>
      <c r="AC75" s="284"/>
      <c r="AD75" s="1">
        <v>5</v>
      </c>
      <c r="AE75">
        <f t="shared" si="192"/>
        <v>0</v>
      </c>
      <c r="AF75" s="37">
        <f t="shared" si="193"/>
        <v>2</v>
      </c>
      <c r="AG75" s="30">
        <f t="shared" si="194"/>
        <v>6</v>
      </c>
      <c r="AH75" s="96"/>
      <c r="AI75" s="284"/>
      <c r="AJ75" s="1">
        <v>5</v>
      </c>
      <c r="AK75">
        <f t="shared" si="29"/>
        <v>0</v>
      </c>
      <c r="AL75" s="37">
        <f t="shared" si="195"/>
        <v>2</v>
      </c>
      <c r="AM75" s="30">
        <f t="shared" si="196"/>
        <v>6</v>
      </c>
      <c r="AN75" s="96"/>
      <c r="AO75" s="287"/>
      <c r="AP75" s="174"/>
      <c r="AQ75" s="294"/>
      <c r="AR75" s="1">
        <v>5</v>
      </c>
      <c r="AS75">
        <f t="shared" si="197"/>
        <v>0</v>
      </c>
      <c r="AT75" s="37">
        <f t="shared" si="198"/>
        <v>2</v>
      </c>
      <c r="AU75" s="30">
        <f t="shared" si="199"/>
        <v>6</v>
      </c>
      <c r="AV75" s="96"/>
      <c r="AW75" s="284"/>
      <c r="AX75" s="1">
        <v>5</v>
      </c>
      <c r="AY75">
        <f t="shared" si="200"/>
        <v>0</v>
      </c>
      <c r="AZ75" s="37">
        <f t="shared" si="201"/>
        <v>2</v>
      </c>
      <c r="BA75" s="30">
        <f t="shared" si="202"/>
        <v>6</v>
      </c>
      <c r="BB75" s="96"/>
      <c r="BC75" s="284"/>
      <c r="BD75" s="1">
        <v>5</v>
      </c>
      <c r="BE75">
        <f t="shared" si="203"/>
        <v>0</v>
      </c>
      <c r="BF75" s="37">
        <f t="shared" si="204"/>
        <v>2</v>
      </c>
      <c r="BG75" s="30">
        <f t="shared" si="205"/>
        <v>6</v>
      </c>
      <c r="BH75" s="96"/>
      <c r="BI75" s="287"/>
      <c r="BJ75" s="171"/>
      <c r="BK75" s="294"/>
      <c r="BL75" s="1">
        <v>5</v>
      </c>
      <c r="BM75">
        <f t="shared" si="206"/>
        <v>0</v>
      </c>
      <c r="BN75" s="37">
        <f t="shared" si="207"/>
        <v>2</v>
      </c>
      <c r="BO75" s="30">
        <f t="shared" si="208"/>
        <v>6</v>
      </c>
      <c r="BP75" s="96"/>
      <c r="BQ75" s="284"/>
      <c r="BR75" s="1">
        <v>5</v>
      </c>
      <c r="BS75">
        <f t="shared" si="209"/>
        <v>0</v>
      </c>
      <c r="BT75" s="37">
        <f t="shared" si="210"/>
        <v>2</v>
      </c>
      <c r="BU75" s="30">
        <f t="shared" si="211"/>
        <v>6</v>
      </c>
      <c r="BV75" s="96"/>
      <c r="BW75" s="284"/>
      <c r="BX75" s="1">
        <v>5</v>
      </c>
      <c r="BY75">
        <f t="shared" si="212"/>
        <v>0</v>
      </c>
      <c r="BZ75" s="37">
        <f t="shared" si="213"/>
        <v>2</v>
      </c>
      <c r="CA75" s="30">
        <f t="shared" si="214"/>
        <v>6</v>
      </c>
      <c r="CB75" s="96"/>
      <c r="CC75" s="287"/>
    </row>
    <row r="76" spans="1:88" s="181" customFormat="1" x14ac:dyDescent="0.45">
      <c r="A76" s="294"/>
      <c r="B76" s="1">
        <v>6</v>
      </c>
      <c r="C76" s="181">
        <f t="shared" si="215"/>
        <v>0</v>
      </c>
      <c r="D76" s="37">
        <f t="shared" si="181"/>
        <v>2</v>
      </c>
      <c r="E76" s="30">
        <f t="shared" si="182"/>
        <v>2</v>
      </c>
      <c r="F76" s="188">
        <v>7</v>
      </c>
      <c r="G76" s="287"/>
      <c r="H76" s="184"/>
      <c r="I76" s="294"/>
      <c r="J76" s="180">
        <v>6</v>
      </c>
      <c r="K76" s="181">
        <f t="shared" si="183"/>
        <v>1</v>
      </c>
      <c r="L76" s="37">
        <f t="shared" si="184"/>
        <v>4</v>
      </c>
      <c r="M76" s="30">
        <f t="shared" si="185"/>
        <v>4</v>
      </c>
      <c r="N76" s="188"/>
      <c r="O76" s="284"/>
      <c r="P76" s="180">
        <v>6</v>
      </c>
      <c r="Q76" s="181">
        <f t="shared" si="186"/>
        <v>1</v>
      </c>
      <c r="R76" s="37">
        <f t="shared" si="187"/>
        <v>4</v>
      </c>
      <c r="S76" s="30">
        <f t="shared" si="188"/>
        <v>4</v>
      </c>
      <c r="T76" s="188"/>
      <c r="U76" s="287"/>
      <c r="V76" s="184"/>
      <c r="W76" s="294"/>
      <c r="X76" s="180">
        <v>6</v>
      </c>
      <c r="Y76" s="181">
        <f t="shared" si="189"/>
        <v>1</v>
      </c>
      <c r="Z76" s="37">
        <f t="shared" si="190"/>
        <v>4</v>
      </c>
      <c r="AA76" s="30">
        <f t="shared" si="191"/>
        <v>4</v>
      </c>
      <c r="AB76" s="189"/>
      <c r="AC76" s="284"/>
      <c r="AD76" s="180">
        <v>6</v>
      </c>
      <c r="AE76" s="181">
        <f t="shared" si="192"/>
        <v>1</v>
      </c>
      <c r="AF76" s="37">
        <f t="shared" si="193"/>
        <v>4</v>
      </c>
      <c r="AG76" s="30">
        <f t="shared" si="194"/>
        <v>4</v>
      </c>
      <c r="AH76" s="189"/>
      <c r="AI76" s="284"/>
      <c r="AJ76" s="180">
        <v>6</v>
      </c>
      <c r="AK76" s="181">
        <f>IF(AH76="",AE76,IF(AH76=MIN(AH$21:AH$28),AE76+1,0))</f>
        <v>1</v>
      </c>
      <c r="AL76" s="37">
        <f t="shared" si="195"/>
        <v>4</v>
      </c>
      <c r="AM76" s="30">
        <f t="shared" si="196"/>
        <v>4</v>
      </c>
      <c r="AN76" s="189"/>
      <c r="AO76" s="287"/>
      <c r="AP76" s="184"/>
      <c r="AQ76" s="294"/>
      <c r="AR76" s="180">
        <v>6</v>
      </c>
      <c r="AS76" s="181">
        <f t="shared" si="197"/>
        <v>1</v>
      </c>
      <c r="AT76" s="37">
        <f t="shared" si="198"/>
        <v>4</v>
      </c>
      <c r="AU76" s="30">
        <f t="shared" si="199"/>
        <v>4</v>
      </c>
      <c r="AV76" s="189"/>
      <c r="AW76" s="284"/>
      <c r="AX76" s="180">
        <v>6</v>
      </c>
      <c r="AY76" s="181">
        <f t="shared" si="200"/>
        <v>1</v>
      </c>
      <c r="AZ76" s="37">
        <f t="shared" si="201"/>
        <v>4</v>
      </c>
      <c r="BA76" s="30">
        <f t="shared" si="202"/>
        <v>4</v>
      </c>
      <c r="BB76" s="189"/>
      <c r="BC76" s="284"/>
      <c r="BD76" s="180">
        <v>6</v>
      </c>
      <c r="BE76" s="181">
        <f t="shared" si="203"/>
        <v>1</v>
      </c>
      <c r="BF76" s="37">
        <f t="shared" si="204"/>
        <v>4</v>
      </c>
      <c r="BG76" s="30">
        <f t="shared" si="205"/>
        <v>4</v>
      </c>
      <c r="BH76" s="189"/>
      <c r="BI76" s="287"/>
      <c r="BJ76" s="187"/>
      <c r="BK76" s="294"/>
      <c r="BL76" s="180">
        <v>6</v>
      </c>
      <c r="BM76" s="181">
        <f t="shared" si="206"/>
        <v>1</v>
      </c>
      <c r="BN76" s="37">
        <f t="shared" si="207"/>
        <v>4</v>
      </c>
      <c r="BO76" s="30">
        <f t="shared" si="208"/>
        <v>4</v>
      </c>
      <c r="BP76" s="189"/>
      <c r="BQ76" s="284"/>
      <c r="BR76" s="180">
        <v>6</v>
      </c>
      <c r="BS76" s="181">
        <f t="shared" si="209"/>
        <v>1</v>
      </c>
      <c r="BT76" s="37">
        <f t="shared" si="210"/>
        <v>4</v>
      </c>
      <c r="BU76" s="30">
        <f t="shared" si="211"/>
        <v>4</v>
      </c>
      <c r="BV76" s="189"/>
      <c r="BW76" s="284"/>
      <c r="BX76" s="180">
        <v>6</v>
      </c>
      <c r="BY76" s="181">
        <f t="shared" si="212"/>
        <v>1</v>
      </c>
      <c r="BZ76" s="37">
        <f t="shared" si="213"/>
        <v>4</v>
      </c>
      <c r="CA76" s="30">
        <f t="shared" si="214"/>
        <v>4</v>
      </c>
      <c r="CB76" s="189"/>
      <c r="CC76" s="287"/>
    </row>
    <row r="77" spans="1:88" x14ac:dyDescent="0.45">
      <c r="A77" s="294"/>
      <c r="B77" s="1">
        <v>7</v>
      </c>
      <c r="C77">
        <f t="shared" si="215"/>
        <v>0</v>
      </c>
      <c r="D77" s="37">
        <f t="shared" si="181"/>
        <v>2</v>
      </c>
      <c r="E77" s="30">
        <f t="shared" si="182"/>
        <v>15</v>
      </c>
      <c r="F77" s="150"/>
      <c r="G77" s="287"/>
      <c r="H77" s="174"/>
      <c r="I77" s="294"/>
      <c r="J77" s="1">
        <v>7</v>
      </c>
      <c r="K77">
        <f t="shared" si="183"/>
        <v>0</v>
      </c>
      <c r="L77" s="37">
        <f t="shared" si="184"/>
        <v>2</v>
      </c>
      <c r="M77" s="30">
        <f t="shared" si="185"/>
        <v>15</v>
      </c>
      <c r="N77" s="150"/>
      <c r="O77" s="284"/>
      <c r="P77" s="1">
        <v>7</v>
      </c>
      <c r="Q77">
        <f t="shared" si="186"/>
        <v>0</v>
      </c>
      <c r="R77" s="37">
        <f t="shared" si="187"/>
        <v>2</v>
      </c>
      <c r="S77" s="30">
        <f t="shared" si="188"/>
        <v>15</v>
      </c>
      <c r="T77" s="150"/>
      <c r="U77" s="287"/>
      <c r="V77" s="174"/>
      <c r="W77" s="294"/>
      <c r="X77" s="1">
        <v>7</v>
      </c>
      <c r="Y77">
        <f t="shared" si="189"/>
        <v>0</v>
      </c>
      <c r="Z77" s="37">
        <f t="shared" si="190"/>
        <v>2</v>
      </c>
      <c r="AA77" s="30">
        <f t="shared" si="191"/>
        <v>15</v>
      </c>
      <c r="AB77" s="96"/>
      <c r="AC77" s="284"/>
      <c r="AD77" s="1">
        <v>7</v>
      </c>
      <c r="AE77">
        <f t="shared" si="192"/>
        <v>0</v>
      </c>
      <c r="AF77" s="37">
        <f t="shared" si="193"/>
        <v>2</v>
      </c>
      <c r="AG77" s="30">
        <f t="shared" si="194"/>
        <v>15</v>
      </c>
      <c r="AH77" s="96"/>
      <c r="AI77" s="284"/>
      <c r="AJ77" s="1">
        <v>7</v>
      </c>
      <c r="AK77">
        <f t="shared" si="29"/>
        <v>0</v>
      </c>
      <c r="AL77" s="37">
        <f t="shared" si="195"/>
        <v>2</v>
      </c>
      <c r="AM77" s="30">
        <f t="shared" si="196"/>
        <v>15</v>
      </c>
      <c r="AN77" s="96"/>
      <c r="AO77" s="287"/>
      <c r="AP77" s="174"/>
      <c r="AQ77" s="294"/>
      <c r="AR77" s="1">
        <v>7</v>
      </c>
      <c r="AS77">
        <f t="shared" si="197"/>
        <v>0</v>
      </c>
      <c r="AT77" s="37">
        <f t="shared" si="198"/>
        <v>2</v>
      </c>
      <c r="AU77" s="30">
        <f t="shared" si="199"/>
        <v>15</v>
      </c>
      <c r="AV77" s="96"/>
      <c r="AW77" s="284"/>
      <c r="AX77" s="1">
        <v>7</v>
      </c>
      <c r="AY77">
        <f t="shared" si="200"/>
        <v>0</v>
      </c>
      <c r="AZ77" s="37">
        <f t="shared" si="201"/>
        <v>2</v>
      </c>
      <c r="BA77" s="30">
        <f t="shared" si="202"/>
        <v>15</v>
      </c>
      <c r="BB77" s="96"/>
      <c r="BC77" s="284"/>
      <c r="BD77" s="1">
        <v>7</v>
      </c>
      <c r="BE77">
        <f t="shared" si="203"/>
        <v>0</v>
      </c>
      <c r="BF77" s="37">
        <f t="shared" si="204"/>
        <v>2</v>
      </c>
      <c r="BG77" s="30">
        <f t="shared" si="205"/>
        <v>15</v>
      </c>
      <c r="BH77" s="96"/>
      <c r="BI77" s="287"/>
      <c r="BJ77" s="171"/>
      <c r="BK77" s="294"/>
      <c r="BL77" s="1">
        <v>7</v>
      </c>
      <c r="BM77">
        <f t="shared" si="206"/>
        <v>0</v>
      </c>
      <c r="BN77" s="37">
        <f t="shared" si="207"/>
        <v>2</v>
      </c>
      <c r="BO77" s="30">
        <f t="shared" si="208"/>
        <v>15</v>
      </c>
      <c r="BP77" s="96"/>
      <c r="BQ77" s="284"/>
      <c r="BR77" s="1">
        <v>7</v>
      </c>
      <c r="BS77">
        <f t="shared" si="209"/>
        <v>0</v>
      </c>
      <c r="BT77" s="37">
        <f t="shared" si="210"/>
        <v>2</v>
      </c>
      <c r="BU77" s="30">
        <f t="shared" si="211"/>
        <v>15</v>
      </c>
      <c r="BV77" s="96"/>
      <c r="BW77" s="284"/>
      <c r="BX77" s="1">
        <v>7</v>
      </c>
      <c r="BY77">
        <f t="shared" si="212"/>
        <v>0</v>
      </c>
      <c r="BZ77" s="37">
        <f t="shared" si="213"/>
        <v>2</v>
      </c>
      <c r="CA77" s="30">
        <f t="shared" si="214"/>
        <v>15</v>
      </c>
      <c r="CB77" s="96"/>
      <c r="CC77" s="287"/>
    </row>
    <row r="78" spans="1:88" x14ac:dyDescent="0.45">
      <c r="A78" s="296"/>
      <c r="B78" s="51">
        <v>8</v>
      </c>
      <c r="C78" s="53">
        <f t="shared" si="215"/>
        <v>0</v>
      </c>
      <c r="D78" s="37">
        <f t="shared" si="181"/>
        <v>2</v>
      </c>
      <c r="E78" s="30">
        <f t="shared" si="182"/>
        <v>11</v>
      </c>
      <c r="F78" s="151"/>
      <c r="G78" s="287"/>
      <c r="H78" s="174"/>
      <c r="I78" s="296"/>
      <c r="J78" s="51">
        <v>8</v>
      </c>
      <c r="K78">
        <f t="shared" si="183"/>
        <v>0</v>
      </c>
      <c r="L78" s="37">
        <f t="shared" si="184"/>
        <v>2</v>
      </c>
      <c r="M78" s="30">
        <f t="shared" si="185"/>
        <v>11</v>
      </c>
      <c r="N78" s="151"/>
      <c r="O78" s="285"/>
      <c r="P78" s="51">
        <v>8</v>
      </c>
      <c r="Q78">
        <f t="shared" si="186"/>
        <v>0</v>
      </c>
      <c r="R78" s="37">
        <f t="shared" si="187"/>
        <v>2</v>
      </c>
      <c r="S78" s="30">
        <f t="shared" si="188"/>
        <v>11</v>
      </c>
      <c r="T78" s="151"/>
      <c r="U78" s="287"/>
      <c r="V78" s="174"/>
      <c r="W78" s="296"/>
      <c r="X78" s="51">
        <v>8</v>
      </c>
      <c r="Y78">
        <f t="shared" si="189"/>
        <v>0</v>
      </c>
      <c r="Z78" s="37">
        <f t="shared" si="190"/>
        <v>2</v>
      </c>
      <c r="AA78" s="30">
        <f t="shared" si="191"/>
        <v>11</v>
      </c>
      <c r="AB78" s="97"/>
      <c r="AC78" s="285"/>
      <c r="AD78" s="51">
        <v>8</v>
      </c>
      <c r="AE78">
        <f t="shared" si="192"/>
        <v>0</v>
      </c>
      <c r="AF78" s="37">
        <f t="shared" si="193"/>
        <v>2</v>
      </c>
      <c r="AG78" s="30">
        <f t="shared" si="194"/>
        <v>11</v>
      </c>
      <c r="AH78" s="97"/>
      <c r="AI78" s="285"/>
      <c r="AJ78" s="51">
        <v>8</v>
      </c>
      <c r="AK78">
        <f t="shared" si="29"/>
        <v>0</v>
      </c>
      <c r="AL78" s="37">
        <f t="shared" si="195"/>
        <v>2</v>
      </c>
      <c r="AM78" s="30">
        <f t="shared" si="196"/>
        <v>11</v>
      </c>
      <c r="AN78" s="97"/>
      <c r="AO78" s="287"/>
      <c r="AP78" s="174"/>
      <c r="AQ78" s="296"/>
      <c r="AR78" s="51">
        <v>8</v>
      </c>
      <c r="AS78">
        <f t="shared" si="197"/>
        <v>0</v>
      </c>
      <c r="AT78" s="37">
        <f t="shared" si="198"/>
        <v>2</v>
      </c>
      <c r="AU78" s="30">
        <f t="shared" si="199"/>
        <v>11</v>
      </c>
      <c r="AV78" s="97"/>
      <c r="AW78" s="285"/>
      <c r="AX78" s="51">
        <v>8</v>
      </c>
      <c r="AY78">
        <f t="shared" si="200"/>
        <v>0</v>
      </c>
      <c r="AZ78" s="37">
        <f t="shared" si="201"/>
        <v>2</v>
      </c>
      <c r="BA78" s="30">
        <f t="shared" si="202"/>
        <v>11</v>
      </c>
      <c r="BB78" s="97"/>
      <c r="BC78" s="285"/>
      <c r="BD78" s="51">
        <v>8</v>
      </c>
      <c r="BE78">
        <f t="shared" si="203"/>
        <v>0</v>
      </c>
      <c r="BF78" s="37">
        <f t="shared" si="204"/>
        <v>2</v>
      </c>
      <c r="BG78" s="30">
        <f t="shared" si="205"/>
        <v>11</v>
      </c>
      <c r="BH78" s="97"/>
      <c r="BI78" s="287"/>
      <c r="BJ78" s="171"/>
      <c r="BK78" s="296"/>
      <c r="BL78" s="51">
        <v>8</v>
      </c>
      <c r="BM78">
        <f t="shared" si="206"/>
        <v>0</v>
      </c>
      <c r="BN78" s="37">
        <f t="shared" si="207"/>
        <v>2</v>
      </c>
      <c r="BO78" s="30">
        <f t="shared" si="208"/>
        <v>11</v>
      </c>
      <c r="BP78" s="97"/>
      <c r="BQ78" s="285"/>
      <c r="BR78" s="51">
        <v>8</v>
      </c>
      <c r="BS78">
        <f t="shared" si="209"/>
        <v>0</v>
      </c>
      <c r="BT78" s="37">
        <f t="shared" si="210"/>
        <v>2</v>
      </c>
      <c r="BU78" s="30">
        <f t="shared" si="211"/>
        <v>11</v>
      </c>
      <c r="BV78" s="97"/>
      <c r="BW78" s="285"/>
      <c r="BX78" s="51">
        <v>8</v>
      </c>
      <c r="BY78">
        <f t="shared" si="212"/>
        <v>0</v>
      </c>
      <c r="BZ78" s="37">
        <f t="shared" si="213"/>
        <v>2</v>
      </c>
      <c r="CA78" s="30">
        <f t="shared" si="214"/>
        <v>11</v>
      </c>
      <c r="CB78" s="97"/>
      <c r="CC78" s="287"/>
    </row>
    <row r="79" spans="1:88" x14ac:dyDescent="0.45">
      <c r="A79" s="293">
        <v>7</v>
      </c>
      <c r="B79" s="48">
        <f>O12</f>
        <v>12</v>
      </c>
      <c r="C79" s="87" t="s">
        <v>154</v>
      </c>
      <c r="D79" s="10" t="s">
        <v>158</v>
      </c>
      <c r="E79" s="88" t="s">
        <v>152</v>
      </c>
      <c r="F79" s="152"/>
      <c r="G79" s="287" t="str">
        <f>IF(COUNT(#REF!,F80:F88) &gt;0, COUNT(#REF!,F80:F88)/2,"")</f>
        <v/>
      </c>
      <c r="H79" s="174"/>
      <c r="I79" s="293">
        <v>7</v>
      </c>
      <c r="J79" s="48">
        <f>W11</f>
        <v>0</v>
      </c>
      <c r="K79" s="87" t="s">
        <v>154</v>
      </c>
      <c r="L79" s="10" t="s">
        <v>158</v>
      </c>
      <c r="M79" s="88" t="s">
        <v>152</v>
      </c>
      <c r="N79" s="152"/>
      <c r="O79" s="286">
        <v>7</v>
      </c>
      <c r="P79" s="48">
        <f>AC11</f>
        <v>0</v>
      </c>
      <c r="Q79" s="87" t="s">
        <v>154</v>
      </c>
      <c r="R79" s="10" t="s">
        <v>158</v>
      </c>
      <c r="S79" s="88" t="s">
        <v>152</v>
      </c>
      <c r="T79" s="152"/>
      <c r="U79" s="287" t="str">
        <f>IF(COUNT(H80:H88,N80:N88,T80:T88) &gt;0, COUNT(H80:H88,N80:N88,T80:T88) /2,"")</f>
        <v/>
      </c>
      <c r="V79" s="174"/>
      <c r="W79" s="293">
        <v>7</v>
      </c>
      <c r="X79" s="48">
        <f>AK11</f>
        <v>0</v>
      </c>
      <c r="Y79" s="87" t="s">
        <v>154</v>
      </c>
      <c r="Z79" s="10" t="s">
        <v>158</v>
      </c>
      <c r="AA79" s="88" t="s">
        <v>152</v>
      </c>
      <c r="AB79" s="94"/>
      <c r="AC79" s="286">
        <v>7</v>
      </c>
      <c r="AD79" s="48">
        <f>AQ11</f>
        <v>0</v>
      </c>
      <c r="AE79" s="87" t="s">
        <v>154</v>
      </c>
      <c r="AF79" s="10" t="s">
        <v>158</v>
      </c>
      <c r="AG79" s="88" t="s">
        <v>152</v>
      </c>
      <c r="AH79" s="94"/>
      <c r="AI79" s="286">
        <v>7</v>
      </c>
      <c r="AJ79" s="48">
        <f>AW11</f>
        <v>0</v>
      </c>
      <c r="AK79" t="str">
        <f t="shared" si="29"/>
        <v xml:space="preserve">CTR </v>
      </c>
      <c r="AL79" s="10" t="s">
        <v>158</v>
      </c>
      <c r="AM79" s="88" t="s">
        <v>152</v>
      </c>
      <c r="AN79" s="94"/>
      <c r="AO79" s="287">
        <f>IF(COUNT(AB80:AB88,AH80:AH88,AN80:AN88) &gt;0, COUNT(AB80:AB88,AH80:AH88,AN80:AN88) /2,"")</f>
        <v>1</v>
      </c>
      <c r="AP79" s="174"/>
      <c r="AQ79" s="293">
        <v>7</v>
      </c>
      <c r="AR79" s="48">
        <f>BE11</f>
        <v>0</v>
      </c>
      <c r="AS79" s="87" t="s">
        <v>154</v>
      </c>
      <c r="AT79" s="10" t="s">
        <v>158</v>
      </c>
      <c r="AU79" s="88" t="s">
        <v>152</v>
      </c>
      <c r="AV79" s="94"/>
      <c r="AW79" s="286">
        <v>7</v>
      </c>
      <c r="AX79" s="48">
        <f>BK11</f>
        <v>0</v>
      </c>
      <c r="AY79" s="87" t="s">
        <v>154</v>
      </c>
      <c r="AZ79" s="10" t="s">
        <v>158</v>
      </c>
      <c r="BA79" s="88" t="s">
        <v>152</v>
      </c>
      <c r="BB79" s="94"/>
      <c r="BC79" s="286">
        <v>7</v>
      </c>
      <c r="BD79" s="48">
        <f>BQ11</f>
        <v>0</v>
      </c>
      <c r="BE79" s="87" t="s">
        <v>154</v>
      </c>
      <c r="BF79" s="10" t="s">
        <v>158</v>
      </c>
      <c r="BG79" s="88" t="s">
        <v>152</v>
      </c>
      <c r="BH79" s="94"/>
      <c r="BI79" s="287" t="str">
        <f>IF(COUNT(AV80:AV88,BB80:BB88,BH80:BH88) &gt;0, COUNT(AV80:AV88,BB80:BB88,BH80:BH88) /2,"")</f>
        <v/>
      </c>
      <c r="BJ79" s="171"/>
      <c r="BK79" s="293">
        <v>7</v>
      </c>
      <c r="BL79" s="48">
        <f>BY11</f>
        <v>0</v>
      </c>
      <c r="BM79" s="87" t="s">
        <v>154</v>
      </c>
      <c r="BN79" s="10" t="s">
        <v>158</v>
      </c>
      <c r="BO79" s="88" t="s">
        <v>152</v>
      </c>
      <c r="BP79" s="94"/>
      <c r="BQ79" s="286">
        <v>7</v>
      </c>
      <c r="BR79" s="48">
        <f>CE11</f>
        <v>0</v>
      </c>
      <c r="BS79" s="87" t="s">
        <v>154</v>
      </c>
      <c r="BT79" s="10" t="s">
        <v>158</v>
      </c>
      <c r="BU79" s="88" t="s">
        <v>152</v>
      </c>
      <c r="BV79" s="94"/>
      <c r="BW79" s="286">
        <v>7</v>
      </c>
      <c r="BX79" s="48">
        <f>CK11</f>
        <v>0</v>
      </c>
      <c r="BY79" s="87" t="s">
        <v>154</v>
      </c>
      <c r="BZ79" s="10" t="s">
        <v>158</v>
      </c>
      <c r="CA79" s="88" t="s">
        <v>152</v>
      </c>
      <c r="CB79" s="94"/>
      <c r="CC79" s="287" t="str">
        <f>IF(COUNT(BP80:BP88,BV80:BV88,CB80:CB88) &gt;0, COUNT(BP80:BP88,BV80:BV88,CB80:CB88) /2,"")</f>
        <v/>
      </c>
    </row>
    <row r="80" spans="1:88" ht="27.75" customHeight="1" x14ac:dyDescent="0.45">
      <c r="A80" s="294"/>
      <c r="B80" s="176" t="s">
        <v>162</v>
      </c>
      <c r="C80" s="102" t="s">
        <v>156</v>
      </c>
      <c r="D80" s="89" t="s">
        <v>175</v>
      </c>
      <c r="E80" s="177" t="s">
        <v>174</v>
      </c>
      <c r="F80" s="148"/>
      <c r="G80" s="287"/>
      <c r="H80" s="174"/>
      <c r="I80" s="294"/>
      <c r="J80" s="176" t="s">
        <v>162</v>
      </c>
      <c r="K80" s="90" t="s">
        <v>155</v>
      </c>
      <c r="L80" s="89" t="s">
        <v>175</v>
      </c>
      <c r="M80" s="177" t="s">
        <v>174</v>
      </c>
      <c r="N80" s="148"/>
      <c r="O80" s="284"/>
      <c r="P80" s="176" t="s">
        <v>162</v>
      </c>
      <c r="Q80" s="90" t="s">
        <v>155</v>
      </c>
      <c r="R80" s="89" t="s">
        <v>175</v>
      </c>
      <c r="S80" s="177" t="s">
        <v>174</v>
      </c>
      <c r="T80" s="156"/>
      <c r="U80" s="287"/>
      <c r="V80" s="174"/>
      <c r="W80" s="294"/>
      <c r="X80" s="176" t="s">
        <v>162</v>
      </c>
      <c r="Y80" s="90" t="s">
        <v>155</v>
      </c>
      <c r="Z80" s="89" t="s">
        <v>175</v>
      </c>
      <c r="AA80" s="177" t="s">
        <v>174</v>
      </c>
      <c r="AB80" s="95"/>
      <c r="AC80" s="284"/>
      <c r="AD80" s="176" t="s">
        <v>162</v>
      </c>
      <c r="AE80" s="90" t="s">
        <v>155</v>
      </c>
      <c r="AF80" s="89" t="s">
        <v>175</v>
      </c>
      <c r="AG80" s="177" t="s">
        <v>174</v>
      </c>
      <c r="AH80" s="95"/>
      <c r="AI80" s="284"/>
      <c r="AJ80" s="176" t="s">
        <v>162</v>
      </c>
      <c r="AK80" s="90" t="s">
        <v>155</v>
      </c>
      <c r="AL80" s="89" t="s">
        <v>175</v>
      </c>
      <c r="AM80" s="177" t="s">
        <v>174</v>
      </c>
      <c r="AN80" s="95"/>
      <c r="AO80" s="287"/>
      <c r="AP80" s="174"/>
      <c r="AQ80" s="294"/>
      <c r="AR80" s="176" t="s">
        <v>162</v>
      </c>
      <c r="AS80" s="90" t="s">
        <v>155</v>
      </c>
      <c r="AT80" s="89" t="s">
        <v>175</v>
      </c>
      <c r="AU80" s="177" t="s">
        <v>174</v>
      </c>
      <c r="AV80" s="95"/>
      <c r="AW80" s="284"/>
      <c r="AX80" s="176" t="s">
        <v>162</v>
      </c>
      <c r="AY80" s="90" t="s">
        <v>155</v>
      </c>
      <c r="AZ80" s="89" t="s">
        <v>175</v>
      </c>
      <c r="BA80" s="177" t="s">
        <v>174</v>
      </c>
      <c r="BB80" s="95"/>
      <c r="BC80" s="284"/>
      <c r="BD80" s="176" t="s">
        <v>162</v>
      </c>
      <c r="BE80" s="90" t="s">
        <v>155</v>
      </c>
      <c r="BF80" s="89" t="s">
        <v>175</v>
      </c>
      <c r="BG80" s="177" t="s">
        <v>174</v>
      </c>
      <c r="BH80" s="95"/>
      <c r="BI80" s="287"/>
      <c r="BJ80" s="171"/>
      <c r="BK80" s="294"/>
      <c r="BL80" s="176" t="s">
        <v>162</v>
      </c>
      <c r="BM80" s="90" t="s">
        <v>155</v>
      </c>
      <c r="BN80" s="89" t="s">
        <v>175</v>
      </c>
      <c r="BO80" s="177" t="s">
        <v>174</v>
      </c>
      <c r="BP80" s="95"/>
      <c r="BQ80" s="284"/>
      <c r="BR80" s="176" t="s">
        <v>162</v>
      </c>
      <c r="BS80" s="90" t="s">
        <v>155</v>
      </c>
      <c r="BT80" s="89" t="s">
        <v>175</v>
      </c>
      <c r="BU80" s="177" t="s">
        <v>174</v>
      </c>
      <c r="BV80" s="95"/>
      <c r="BW80" s="284"/>
      <c r="BX80" s="176" t="s">
        <v>162</v>
      </c>
      <c r="BY80" s="90" t="s">
        <v>155</v>
      </c>
      <c r="BZ80" s="89" t="s">
        <v>175</v>
      </c>
      <c r="CA80" s="177" t="s">
        <v>174</v>
      </c>
      <c r="CB80" s="95"/>
      <c r="CC80" s="287"/>
    </row>
    <row r="81" spans="1:88" x14ac:dyDescent="0.45">
      <c r="A81" s="294"/>
      <c r="B81" s="1">
        <v>1</v>
      </c>
      <c r="C81">
        <v>0</v>
      </c>
      <c r="D81" s="37">
        <f t="shared" ref="D81:D88" si="216">(C81+$B$19)*$G$3</f>
        <v>2</v>
      </c>
      <c r="E81" s="30">
        <f t="shared" ref="E81:E88" si="217">MOD($F6+D81,$G$2)</f>
        <v>9</v>
      </c>
      <c r="F81" s="149"/>
      <c r="G81" s="287"/>
      <c r="H81" s="174"/>
      <c r="I81" s="294"/>
      <c r="J81" s="1">
        <v>1</v>
      </c>
      <c r="K81">
        <f t="shared" ref="K81:K88" si="218">IF(F81="", C81,IF(F81=MIN(F$81:F$88),C81+1,0))</f>
        <v>0</v>
      </c>
      <c r="L81" s="37">
        <f t="shared" ref="L81:L88" si="219">(K81+$B$19)*$G$3</f>
        <v>2</v>
      </c>
      <c r="M81" s="30">
        <f t="shared" ref="M81:M88" si="220">MOD($F6+L81,$G$2)</f>
        <v>9</v>
      </c>
      <c r="N81" s="149"/>
      <c r="O81" s="284"/>
      <c r="P81" s="1">
        <v>1</v>
      </c>
      <c r="Q81">
        <f t="shared" ref="Q81:Q88" si="221">IF(N81="", K81,IF(N81=MIN(N$81:N$88),K81+1,0))</f>
        <v>0</v>
      </c>
      <c r="R81" s="37">
        <f t="shared" ref="R81:R88" si="222">(Q81+$B$19)*$G$3</f>
        <v>2</v>
      </c>
      <c r="S81" s="30">
        <f t="shared" ref="S81:S88" si="223">MOD($F6+R81,$G$2)</f>
        <v>9</v>
      </c>
      <c r="T81" s="149"/>
      <c r="U81" s="287"/>
      <c r="V81" s="174"/>
      <c r="W81" s="294"/>
      <c r="X81" s="1">
        <v>1</v>
      </c>
      <c r="Y81">
        <f t="shared" ref="Y81:Y88" si="224">IF(T81="", Q81,IF(T81=MIN(T$81:T$88),Q81+1,0))</f>
        <v>0</v>
      </c>
      <c r="Z81" s="37">
        <f t="shared" ref="Z81:Z88" si="225">(Y81+$B$19)*$G$3</f>
        <v>2</v>
      </c>
      <c r="AA81" s="30">
        <f t="shared" ref="AA81:AA88" si="226">MOD($F6+Z81,$G$2)</f>
        <v>9</v>
      </c>
      <c r="AB81" s="98"/>
      <c r="AC81" s="284"/>
      <c r="AD81" s="1">
        <v>1</v>
      </c>
      <c r="AE81">
        <f t="shared" ref="AE81:AE88" si="227">IF(AB81="", Y81,IF(AB81=MIN(AB$81:AB$88),Y81+1,0))</f>
        <v>0</v>
      </c>
      <c r="AF81" s="37">
        <f t="shared" ref="AF81:AF88" si="228">(AE81+$B$19)*$G$3</f>
        <v>2</v>
      </c>
      <c r="AG81" s="30">
        <f t="shared" ref="AG81:AG88" si="229">MOD($F6+AF81,$G$2)</f>
        <v>9</v>
      </c>
      <c r="AH81" s="98"/>
      <c r="AI81" s="284"/>
      <c r="AJ81" s="1">
        <v>1</v>
      </c>
      <c r="AK81">
        <f t="shared" si="29"/>
        <v>0</v>
      </c>
      <c r="AL81" s="37">
        <f t="shared" ref="AL81:AL88" si="230">(AK81+$B$19)*$G$3</f>
        <v>2</v>
      </c>
      <c r="AM81" s="30">
        <f t="shared" ref="AM81:AM88" si="231">MOD($F6+AL81,$G$2)</f>
        <v>9</v>
      </c>
      <c r="AN81" s="98"/>
      <c r="AO81" s="287"/>
      <c r="AP81" s="174"/>
      <c r="AQ81" s="294"/>
      <c r="AR81" s="1">
        <v>1</v>
      </c>
      <c r="AS81">
        <f t="shared" ref="AS81:AS88" si="232">IF(AN81="", AK81,IF(AN81=MIN(AN$81:AN$88),AK81+1,0))</f>
        <v>0</v>
      </c>
      <c r="AT81" s="37">
        <f t="shared" ref="AT81:AT88" si="233">(AS81+$B$19)*$G$3</f>
        <v>2</v>
      </c>
      <c r="AU81" s="30">
        <f t="shared" ref="AU81:AU88" si="234">MOD($F6+AT81,$G$2)</f>
        <v>9</v>
      </c>
      <c r="AV81" s="98"/>
      <c r="AW81" s="284"/>
      <c r="AX81" s="1">
        <v>1</v>
      </c>
      <c r="AY81">
        <f t="shared" ref="AY81:AY88" si="235">IF(AV81="", AS81,IF(AV81=MIN(AV$81:AV$88),AS81+1,0))</f>
        <v>0</v>
      </c>
      <c r="AZ81" s="37">
        <f t="shared" ref="AZ81:AZ88" si="236">(AY81+$B$19)*$G$3</f>
        <v>2</v>
      </c>
      <c r="BA81" s="30">
        <f t="shared" ref="BA81:BA88" si="237">MOD($F6+AZ81,$G$2)</f>
        <v>9</v>
      </c>
      <c r="BB81" s="98"/>
      <c r="BC81" s="284"/>
      <c r="BD81" s="1">
        <v>1</v>
      </c>
      <c r="BE81">
        <f t="shared" ref="BE81:BE88" si="238">IF(BB81="", AY81,IF(BB81=MIN(BB$81:BB$88),AY81+1,0))</f>
        <v>0</v>
      </c>
      <c r="BF81" s="37">
        <f t="shared" ref="BF81:BF88" si="239">(BE81+$B$19)*$G$3</f>
        <v>2</v>
      </c>
      <c r="BG81" s="30">
        <f t="shared" ref="BG81:BG88" si="240">MOD($F6+BF81,$G$2)</f>
        <v>9</v>
      </c>
      <c r="BH81" s="98"/>
      <c r="BI81" s="287"/>
      <c r="BJ81" s="171"/>
      <c r="BK81" s="294"/>
      <c r="BL81" s="1">
        <v>1</v>
      </c>
      <c r="BM81">
        <f t="shared" ref="BM81:BM88" si="241">IF(BH81="", BE81,IF(BH81=MIN(BH$81:BH$88),BE81+1,0))</f>
        <v>0</v>
      </c>
      <c r="BN81" s="37">
        <f t="shared" ref="BN81:BN88" si="242">(BM81+$B$19)*$G$3</f>
        <v>2</v>
      </c>
      <c r="BO81" s="30">
        <f t="shared" ref="BO81:BO88" si="243">MOD($F6+BN81,$G$2)</f>
        <v>9</v>
      </c>
      <c r="BP81" s="98"/>
      <c r="BQ81" s="284"/>
      <c r="BR81" s="1">
        <v>1</v>
      </c>
      <c r="BS81">
        <f t="shared" ref="BS81:BS88" si="244">IF(BP81="", BM81,IF(BP81=MIN(BP$81:BP$88),BM81+1,0))</f>
        <v>0</v>
      </c>
      <c r="BT81" s="37">
        <f t="shared" ref="BT81:BT88" si="245">(BS81+$B$19)*$G$3</f>
        <v>2</v>
      </c>
      <c r="BU81" s="30">
        <f t="shared" ref="BU81:BU88" si="246">MOD($F6+BT81,$G$2)</f>
        <v>9</v>
      </c>
      <c r="BV81" s="98"/>
      <c r="BW81" s="284"/>
      <c r="BX81" s="1">
        <v>1</v>
      </c>
      <c r="BY81">
        <f t="shared" ref="BY81:BY88" si="247">IF(BV81="", BS81,IF(BV81=MIN(BV$81:BV$88),BS81+1,0))</f>
        <v>0</v>
      </c>
      <c r="BZ81" s="37">
        <f t="shared" ref="BZ81:BZ88" si="248">(BY81+$B$19)*$G$3</f>
        <v>2</v>
      </c>
      <c r="CA81" s="30">
        <f t="shared" ref="CA81:CA88" si="249">MOD($F6+BZ81,$G$2)</f>
        <v>9</v>
      </c>
      <c r="CB81" s="98"/>
      <c r="CC81" s="287"/>
    </row>
    <row r="82" spans="1:88" x14ac:dyDescent="0.45">
      <c r="A82" s="294"/>
      <c r="B82" s="1">
        <v>2</v>
      </c>
      <c r="C82">
        <f t="shared" ref="C82:C88" si="250">IF(B82=MIN(B$21:B$28),1,0)</f>
        <v>0</v>
      </c>
      <c r="D82" s="37">
        <f t="shared" si="216"/>
        <v>2</v>
      </c>
      <c r="E82" s="30">
        <f t="shared" si="217"/>
        <v>5</v>
      </c>
      <c r="F82" s="150"/>
      <c r="G82" s="287"/>
      <c r="H82" s="174"/>
      <c r="I82" s="294"/>
      <c r="J82" s="1">
        <v>2</v>
      </c>
      <c r="K82">
        <f t="shared" si="218"/>
        <v>0</v>
      </c>
      <c r="L82" s="37">
        <f t="shared" si="219"/>
        <v>2</v>
      </c>
      <c r="M82" s="30">
        <f t="shared" si="220"/>
        <v>5</v>
      </c>
      <c r="N82" s="150"/>
      <c r="O82" s="284"/>
      <c r="P82" s="1">
        <v>2</v>
      </c>
      <c r="Q82">
        <f t="shared" si="221"/>
        <v>0</v>
      </c>
      <c r="R82" s="37">
        <f t="shared" si="222"/>
        <v>2</v>
      </c>
      <c r="S82" s="30">
        <f t="shared" si="223"/>
        <v>5</v>
      </c>
      <c r="T82" s="150"/>
      <c r="U82" s="287"/>
      <c r="V82" s="174"/>
      <c r="W82" s="294"/>
      <c r="X82" s="1">
        <v>2</v>
      </c>
      <c r="Y82">
        <f t="shared" si="224"/>
        <v>0</v>
      </c>
      <c r="Z82" s="37">
        <f t="shared" si="225"/>
        <v>2</v>
      </c>
      <c r="AA82" s="30">
        <f t="shared" si="226"/>
        <v>5</v>
      </c>
      <c r="AB82" s="96"/>
      <c r="AC82" s="284"/>
      <c r="AD82" s="1">
        <v>2</v>
      </c>
      <c r="AE82">
        <f t="shared" si="227"/>
        <v>0</v>
      </c>
      <c r="AF82" s="37">
        <f t="shared" si="228"/>
        <v>2</v>
      </c>
      <c r="AG82" s="30">
        <f t="shared" si="229"/>
        <v>5</v>
      </c>
      <c r="AH82" s="96"/>
      <c r="AI82" s="284"/>
      <c r="AJ82" s="1">
        <v>2</v>
      </c>
      <c r="AK82">
        <f t="shared" si="29"/>
        <v>0</v>
      </c>
      <c r="AL82" s="37">
        <f t="shared" si="230"/>
        <v>2</v>
      </c>
      <c r="AM82" s="30">
        <f t="shared" si="231"/>
        <v>5</v>
      </c>
      <c r="AN82" s="96"/>
      <c r="AO82" s="287"/>
      <c r="AP82" s="174"/>
      <c r="AQ82" s="294"/>
      <c r="AR82" s="1">
        <v>2</v>
      </c>
      <c r="AS82">
        <f t="shared" si="232"/>
        <v>0</v>
      </c>
      <c r="AT82" s="37">
        <f t="shared" si="233"/>
        <v>2</v>
      </c>
      <c r="AU82" s="30">
        <f t="shared" si="234"/>
        <v>5</v>
      </c>
      <c r="AV82" s="96"/>
      <c r="AW82" s="284"/>
      <c r="AX82" s="1">
        <v>2</v>
      </c>
      <c r="AY82">
        <f t="shared" si="235"/>
        <v>0</v>
      </c>
      <c r="AZ82" s="37">
        <f t="shared" si="236"/>
        <v>2</v>
      </c>
      <c r="BA82" s="30">
        <f t="shared" si="237"/>
        <v>5</v>
      </c>
      <c r="BB82" s="96"/>
      <c r="BC82" s="284"/>
      <c r="BD82" s="1">
        <v>2</v>
      </c>
      <c r="BE82">
        <f t="shared" si="238"/>
        <v>0</v>
      </c>
      <c r="BF82" s="37">
        <f t="shared" si="239"/>
        <v>2</v>
      </c>
      <c r="BG82" s="30">
        <f t="shared" si="240"/>
        <v>5</v>
      </c>
      <c r="BH82" s="96"/>
      <c r="BI82" s="287"/>
      <c r="BJ82" s="171"/>
      <c r="BK82" s="294"/>
      <c r="BL82" s="1">
        <v>2</v>
      </c>
      <c r="BM82">
        <f t="shared" si="241"/>
        <v>0</v>
      </c>
      <c r="BN82" s="37">
        <f t="shared" si="242"/>
        <v>2</v>
      </c>
      <c r="BO82" s="30">
        <f t="shared" si="243"/>
        <v>5</v>
      </c>
      <c r="BP82" s="96"/>
      <c r="BQ82" s="284"/>
      <c r="BR82" s="1">
        <v>2</v>
      </c>
      <c r="BS82">
        <f t="shared" si="244"/>
        <v>0</v>
      </c>
      <c r="BT82" s="37">
        <f t="shared" si="245"/>
        <v>2</v>
      </c>
      <c r="BU82" s="30">
        <f t="shared" si="246"/>
        <v>5</v>
      </c>
      <c r="BV82" s="96"/>
      <c r="BW82" s="284"/>
      <c r="BX82" s="1">
        <v>2</v>
      </c>
      <c r="BY82">
        <f t="shared" si="247"/>
        <v>0</v>
      </c>
      <c r="BZ82" s="37">
        <f t="shared" si="248"/>
        <v>2</v>
      </c>
      <c r="CA82" s="30">
        <f t="shared" si="249"/>
        <v>5</v>
      </c>
      <c r="CB82" s="96"/>
      <c r="CC82" s="287"/>
    </row>
    <row r="83" spans="1:88" x14ac:dyDescent="0.45">
      <c r="A83" s="294"/>
      <c r="B83" s="180">
        <v>3</v>
      </c>
      <c r="C83">
        <f t="shared" si="250"/>
        <v>0</v>
      </c>
      <c r="D83" s="37">
        <f t="shared" si="216"/>
        <v>2</v>
      </c>
      <c r="E83" s="30">
        <f t="shared" si="217"/>
        <v>0</v>
      </c>
      <c r="F83" s="150"/>
      <c r="G83" s="287"/>
      <c r="H83" s="174"/>
      <c r="I83" s="294"/>
      <c r="J83" s="1">
        <v>3</v>
      </c>
      <c r="K83">
        <f t="shared" si="218"/>
        <v>0</v>
      </c>
      <c r="L83" s="37">
        <f t="shared" si="219"/>
        <v>2</v>
      </c>
      <c r="M83" s="30">
        <f t="shared" si="220"/>
        <v>0</v>
      </c>
      <c r="N83" s="150"/>
      <c r="O83" s="284"/>
      <c r="P83" s="1">
        <v>3</v>
      </c>
      <c r="Q83">
        <f t="shared" si="221"/>
        <v>0</v>
      </c>
      <c r="R83" s="37">
        <f t="shared" si="222"/>
        <v>2</v>
      </c>
      <c r="S83" s="30">
        <f t="shared" si="223"/>
        <v>0</v>
      </c>
      <c r="T83" s="150"/>
      <c r="U83" s="287"/>
      <c r="V83" s="174"/>
      <c r="W83" s="294"/>
      <c r="X83" s="1">
        <v>3</v>
      </c>
      <c r="Y83">
        <f t="shared" si="224"/>
        <v>0</v>
      </c>
      <c r="Z83" s="37">
        <f t="shared" si="225"/>
        <v>2</v>
      </c>
      <c r="AA83" s="30">
        <f t="shared" si="226"/>
        <v>0</v>
      </c>
      <c r="AB83" s="96"/>
      <c r="AC83" s="284"/>
      <c r="AD83" s="1">
        <v>3</v>
      </c>
      <c r="AE83">
        <f t="shared" si="227"/>
        <v>0</v>
      </c>
      <c r="AF83" s="37">
        <f t="shared" si="228"/>
        <v>2</v>
      </c>
      <c r="AG83" s="30">
        <f t="shared" si="229"/>
        <v>0</v>
      </c>
      <c r="AH83" s="96"/>
      <c r="AI83" s="284"/>
      <c r="AJ83" s="1">
        <v>3</v>
      </c>
      <c r="AK83">
        <f t="shared" si="29"/>
        <v>0</v>
      </c>
      <c r="AL83" s="37">
        <f t="shared" si="230"/>
        <v>2</v>
      </c>
      <c r="AM83" s="30">
        <f t="shared" si="231"/>
        <v>0</v>
      </c>
      <c r="AN83" s="96"/>
      <c r="AO83" s="287"/>
      <c r="AP83" s="174"/>
      <c r="AQ83" s="294"/>
      <c r="AR83" s="1">
        <v>3</v>
      </c>
      <c r="AS83">
        <f t="shared" si="232"/>
        <v>0</v>
      </c>
      <c r="AT83" s="37">
        <f t="shared" si="233"/>
        <v>2</v>
      </c>
      <c r="AU83" s="30">
        <f t="shared" si="234"/>
        <v>0</v>
      </c>
      <c r="AV83" s="96"/>
      <c r="AW83" s="284"/>
      <c r="AX83" s="1">
        <v>3</v>
      </c>
      <c r="AY83">
        <f t="shared" si="235"/>
        <v>0</v>
      </c>
      <c r="AZ83" s="37">
        <f t="shared" si="236"/>
        <v>2</v>
      </c>
      <c r="BA83" s="30">
        <f t="shared" si="237"/>
        <v>0</v>
      </c>
      <c r="BB83" s="96"/>
      <c r="BC83" s="284"/>
      <c r="BD83" s="1">
        <v>3</v>
      </c>
      <c r="BE83">
        <f t="shared" si="238"/>
        <v>0</v>
      </c>
      <c r="BF83" s="37">
        <f t="shared" si="239"/>
        <v>2</v>
      </c>
      <c r="BG83" s="30">
        <f t="shared" si="240"/>
        <v>0</v>
      </c>
      <c r="BH83" s="96"/>
      <c r="BI83" s="287"/>
      <c r="BJ83" s="171"/>
      <c r="BK83" s="294"/>
      <c r="BL83" s="1">
        <v>3</v>
      </c>
      <c r="BM83">
        <f t="shared" si="241"/>
        <v>0</v>
      </c>
      <c r="BN83" s="37">
        <f t="shared" si="242"/>
        <v>2</v>
      </c>
      <c r="BO83" s="30">
        <f t="shared" si="243"/>
        <v>0</v>
      </c>
      <c r="BP83" s="96"/>
      <c r="BQ83" s="284"/>
      <c r="BR83" s="1">
        <v>3</v>
      </c>
      <c r="BS83">
        <f t="shared" si="244"/>
        <v>0</v>
      </c>
      <c r="BT83" s="37">
        <f t="shared" si="245"/>
        <v>2</v>
      </c>
      <c r="BU83" s="30">
        <f t="shared" si="246"/>
        <v>0</v>
      </c>
      <c r="BV83" s="96"/>
      <c r="BW83" s="284"/>
      <c r="BX83" s="1">
        <v>3</v>
      </c>
      <c r="BY83">
        <f t="shared" si="247"/>
        <v>0</v>
      </c>
      <c r="BZ83" s="37">
        <f t="shared" si="248"/>
        <v>2</v>
      </c>
      <c r="CA83" s="30">
        <f t="shared" si="249"/>
        <v>0</v>
      </c>
      <c r="CB83" s="96"/>
      <c r="CC83" s="287"/>
    </row>
    <row r="84" spans="1:88" x14ac:dyDescent="0.45">
      <c r="A84" s="294"/>
      <c r="B84" s="1">
        <v>4</v>
      </c>
      <c r="C84">
        <f t="shared" si="250"/>
        <v>0</v>
      </c>
      <c r="D84" s="37">
        <f t="shared" si="216"/>
        <v>2</v>
      </c>
      <c r="E84" s="30">
        <f t="shared" si="217"/>
        <v>12</v>
      </c>
      <c r="F84" s="150"/>
      <c r="G84" s="287"/>
      <c r="H84" s="174"/>
      <c r="I84" s="294"/>
      <c r="J84" s="1">
        <v>4</v>
      </c>
      <c r="K84">
        <f t="shared" si="218"/>
        <v>0</v>
      </c>
      <c r="L84" s="37">
        <f t="shared" si="219"/>
        <v>2</v>
      </c>
      <c r="M84" s="30">
        <f t="shared" si="220"/>
        <v>12</v>
      </c>
      <c r="N84" s="150"/>
      <c r="O84" s="284"/>
      <c r="P84" s="1">
        <v>4</v>
      </c>
      <c r="Q84">
        <f t="shared" si="221"/>
        <v>0</v>
      </c>
      <c r="R84" s="37">
        <f t="shared" si="222"/>
        <v>2</v>
      </c>
      <c r="S84" s="30">
        <f t="shared" si="223"/>
        <v>12</v>
      </c>
      <c r="T84" s="150"/>
      <c r="U84" s="287"/>
      <c r="V84" s="174"/>
      <c r="W84" s="294"/>
      <c r="X84" s="1">
        <v>4</v>
      </c>
      <c r="Y84">
        <f t="shared" si="224"/>
        <v>0</v>
      </c>
      <c r="Z84" s="37">
        <f t="shared" si="225"/>
        <v>2</v>
      </c>
      <c r="AA84" s="30">
        <f t="shared" si="226"/>
        <v>12</v>
      </c>
      <c r="AB84" s="96"/>
      <c r="AC84" s="284"/>
      <c r="AD84" s="1">
        <v>4</v>
      </c>
      <c r="AE84">
        <f t="shared" si="227"/>
        <v>0</v>
      </c>
      <c r="AF84" s="37">
        <f t="shared" si="228"/>
        <v>2</v>
      </c>
      <c r="AG84" s="30">
        <f t="shared" si="229"/>
        <v>12</v>
      </c>
      <c r="AH84" s="96"/>
      <c r="AI84" s="284"/>
      <c r="AJ84" s="1">
        <v>4</v>
      </c>
      <c r="AK84">
        <f t="shared" si="29"/>
        <v>0</v>
      </c>
      <c r="AL84" s="37">
        <f t="shared" si="230"/>
        <v>2</v>
      </c>
      <c r="AM84" s="30">
        <f t="shared" si="231"/>
        <v>12</v>
      </c>
      <c r="AN84" s="96"/>
      <c r="AO84" s="287"/>
      <c r="AP84" s="174"/>
      <c r="AQ84" s="294"/>
      <c r="AR84" s="1">
        <v>4</v>
      </c>
      <c r="AS84">
        <f t="shared" si="232"/>
        <v>0</v>
      </c>
      <c r="AT84" s="37">
        <f t="shared" si="233"/>
        <v>2</v>
      </c>
      <c r="AU84" s="30">
        <f t="shared" si="234"/>
        <v>12</v>
      </c>
      <c r="AV84" s="96"/>
      <c r="AW84" s="284"/>
      <c r="AX84" s="1">
        <v>4</v>
      </c>
      <c r="AY84">
        <f t="shared" si="235"/>
        <v>0</v>
      </c>
      <c r="AZ84" s="37">
        <f t="shared" si="236"/>
        <v>2</v>
      </c>
      <c r="BA84" s="30">
        <f t="shared" si="237"/>
        <v>12</v>
      </c>
      <c r="BB84" s="96"/>
      <c r="BC84" s="284"/>
      <c r="BD84" s="1">
        <v>4</v>
      </c>
      <c r="BE84">
        <f t="shared" si="238"/>
        <v>0</v>
      </c>
      <c r="BF84" s="37">
        <f t="shared" si="239"/>
        <v>2</v>
      </c>
      <c r="BG84" s="30">
        <f t="shared" si="240"/>
        <v>12</v>
      </c>
      <c r="BH84" s="96"/>
      <c r="BI84" s="287"/>
      <c r="BJ84" s="171"/>
      <c r="BK84" s="294"/>
      <c r="BL84" s="1">
        <v>4</v>
      </c>
      <c r="BM84">
        <f t="shared" si="241"/>
        <v>0</v>
      </c>
      <c r="BN84" s="37">
        <f t="shared" si="242"/>
        <v>2</v>
      </c>
      <c r="BO84" s="30">
        <f t="shared" si="243"/>
        <v>12</v>
      </c>
      <c r="BP84" s="96"/>
      <c r="BQ84" s="284"/>
      <c r="BR84" s="1">
        <v>4</v>
      </c>
      <c r="BS84">
        <f t="shared" si="244"/>
        <v>0</v>
      </c>
      <c r="BT84" s="37">
        <f t="shared" si="245"/>
        <v>2</v>
      </c>
      <c r="BU84" s="30">
        <f t="shared" si="246"/>
        <v>12</v>
      </c>
      <c r="BV84" s="96"/>
      <c r="BW84" s="284"/>
      <c r="BX84" s="1">
        <v>4</v>
      </c>
      <c r="BY84">
        <f t="shared" si="247"/>
        <v>0</v>
      </c>
      <c r="BZ84" s="37">
        <f t="shared" si="248"/>
        <v>2</v>
      </c>
      <c r="CA84" s="30">
        <f t="shared" si="249"/>
        <v>12</v>
      </c>
      <c r="CB84" s="96"/>
      <c r="CC84" s="287"/>
    </row>
    <row r="85" spans="1:88" x14ac:dyDescent="0.45">
      <c r="A85" s="294"/>
      <c r="B85" s="1">
        <v>5</v>
      </c>
      <c r="C85">
        <f t="shared" si="250"/>
        <v>0</v>
      </c>
      <c r="D85" s="37">
        <f t="shared" si="216"/>
        <v>2</v>
      </c>
      <c r="E85" s="30">
        <f t="shared" si="217"/>
        <v>6</v>
      </c>
      <c r="F85" s="150"/>
      <c r="G85" s="287"/>
      <c r="H85" s="174"/>
      <c r="I85" s="294"/>
      <c r="J85" s="1">
        <v>5</v>
      </c>
      <c r="K85">
        <f t="shared" si="218"/>
        <v>0</v>
      </c>
      <c r="L85" s="37">
        <f t="shared" si="219"/>
        <v>2</v>
      </c>
      <c r="M85" s="30">
        <f t="shared" si="220"/>
        <v>6</v>
      </c>
      <c r="N85" s="150"/>
      <c r="O85" s="284"/>
      <c r="P85" s="1">
        <v>5</v>
      </c>
      <c r="Q85">
        <f t="shared" si="221"/>
        <v>0</v>
      </c>
      <c r="R85" s="37">
        <f t="shared" si="222"/>
        <v>2</v>
      </c>
      <c r="S85" s="30">
        <f t="shared" si="223"/>
        <v>6</v>
      </c>
      <c r="T85" s="150"/>
      <c r="U85" s="287"/>
      <c r="V85" s="174"/>
      <c r="W85" s="294"/>
      <c r="X85" s="1">
        <v>5</v>
      </c>
      <c r="Y85">
        <f t="shared" si="224"/>
        <v>0</v>
      </c>
      <c r="Z85" s="37">
        <f t="shared" si="225"/>
        <v>2</v>
      </c>
      <c r="AA85" s="30">
        <f t="shared" si="226"/>
        <v>6</v>
      </c>
      <c r="AB85" s="96"/>
      <c r="AC85" s="284"/>
      <c r="AD85" s="1">
        <v>5</v>
      </c>
      <c r="AE85">
        <f t="shared" si="227"/>
        <v>0</v>
      </c>
      <c r="AF85" s="37">
        <f t="shared" si="228"/>
        <v>2</v>
      </c>
      <c r="AG85" s="30">
        <f t="shared" si="229"/>
        <v>6</v>
      </c>
      <c r="AH85" s="96"/>
      <c r="AI85" s="284"/>
      <c r="AJ85" s="1">
        <v>5</v>
      </c>
      <c r="AK85">
        <f t="shared" si="29"/>
        <v>0</v>
      </c>
      <c r="AL85" s="37">
        <f t="shared" si="230"/>
        <v>2</v>
      </c>
      <c r="AM85" s="30">
        <f t="shared" si="231"/>
        <v>6</v>
      </c>
      <c r="AN85" s="96"/>
      <c r="AO85" s="287"/>
      <c r="AP85" s="174"/>
      <c r="AQ85" s="294"/>
      <c r="AR85" s="1">
        <v>5</v>
      </c>
      <c r="AS85">
        <f t="shared" si="232"/>
        <v>0</v>
      </c>
      <c r="AT85" s="37">
        <f t="shared" si="233"/>
        <v>2</v>
      </c>
      <c r="AU85" s="30">
        <f t="shared" si="234"/>
        <v>6</v>
      </c>
      <c r="AV85" s="96"/>
      <c r="AW85" s="284"/>
      <c r="AX85" s="1">
        <v>5</v>
      </c>
      <c r="AY85">
        <f t="shared" si="235"/>
        <v>0</v>
      </c>
      <c r="AZ85" s="37">
        <f t="shared" si="236"/>
        <v>2</v>
      </c>
      <c r="BA85" s="30">
        <f t="shared" si="237"/>
        <v>6</v>
      </c>
      <c r="BB85" s="96"/>
      <c r="BC85" s="284"/>
      <c r="BD85" s="1">
        <v>5</v>
      </c>
      <c r="BE85">
        <f t="shared" si="238"/>
        <v>0</v>
      </c>
      <c r="BF85" s="37">
        <f t="shared" si="239"/>
        <v>2</v>
      </c>
      <c r="BG85" s="30">
        <f t="shared" si="240"/>
        <v>6</v>
      </c>
      <c r="BH85" s="96"/>
      <c r="BI85" s="287"/>
      <c r="BJ85" s="171"/>
      <c r="BK85" s="294"/>
      <c r="BL85" s="1">
        <v>5</v>
      </c>
      <c r="BM85">
        <f t="shared" si="241"/>
        <v>0</v>
      </c>
      <c r="BN85" s="37">
        <f t="shared" si="242"/>
        <v>2</v>
      </c>
      <c r="BO85" s="30">
        <f t="shared" si="243"/>
        <v>6</v>
      </c>
      <c r="BP85" s="96"/>
      <c r="BQ85" s="284"/>
      <c r="BR85" s="1">
        <v>5</v>
      </c>
      <c r="BS85">
        <f t="shared" si="244"/>
        <v>0</v>
      </c>
      <c r="BT85" s="37">
        <f t="shared" si="245"/>
        <v>2</v>
      </c>
      <c r="BU85" s="30">
        <f t="shared" si="246"/>
        <v>6</v>
      </c>
      <c r="BV85" s="96"/>
      <c r="BW85" s="284"/>
      <c r="BX85" s="1">
        <v>5</v>
      </c>
      <c r="BY85">
        <f t="shared" si="247"/>
        <v>0</v>
      </c>
      <c r="BZ85" s="37">
        <f t="shared" si="248"/>
        <v>2</v>
      </c>
      <c r="CA85" s="30">
        <f t="shared" si="249"/>
        <v>6</v>
      </c>
      <c r="CB85" s="96"/>
      <c r="CC85" s="287"/>
      <c r="CJ85" s="138"/>
    </row>
    <row r="86" spans="1:88" x14ac:dyDescent="0.45">
      <c r="A86" s="294"/>
      <c r="B86" s="1">
        <v>6</v>
      </c>
      <c r="C86">
        <f t="shared" si="250"/>
        <v>0</v>
      </c>
      <c r="D86" s="37">
        <f t="shared" si="216"/>
        <v>2</v>
      </c>
      <c r="E86" s="30">
        <f t="shared" si="217"/>
        <v>2</v>
      </c>
      <c r="F86" s="150"/>
      <c r="G86" s="287"/>
      <c r="H86" s="174"/>
      <c r="I86" s="294"/>
      <c r="J86" s="1">
        <v>6</v>
      </c>
      <c r="K86">
        <f t="shared" si="218"/>
        <v>0</v>
      </c>
      <c r="L86" s="37">
        <f t="shared" si="219"/>
        <v>2</v>
      </c>
      <c r="M86" s="30">
        <f t="shared" si="220"/>
        <v>2</v>
      </c>
      <c r="N86" s="150"/>
      <c r="O86" s="284"/>
      <c r="P86" s="1">
        <v>6</v>
      </c>
      <c r="Q86">
        <f t="shared" si="221"/>
        <v>0</v>
      </c>
      <c r="R86" s="37">
        <f t="shared" si="222"/>
        <v>2</v>
      </c>
      <c r="S86" s="30">
        <f t="shared" si="223"/>
        <v>2</v>
      </c>
      <c r="T86" s="150"/>
      <c r="U86" s="287"/>
      <c r="V86" s="174"/>
      <c r="W86" s="294"/>
      <c r="X86" s="1">
        <v>6</v>
      </c>
      <c r="Y86">
        <f t="shared" si="224"/>
        <v>0</v>
      </c>
      <c r="Z86" s="37">
        <f t="shared" si="225"/>
        <v>2</v>
      </c>
      <c r="AA86" s="30">
        <f t="shared" si="226"/>
        <v>2</v>
      </c>
      <c r="AB86" s="96"/>
      <c r="AC86" s="284"/>
      <c r="AD86" s="1">
        <v>6</v>
      </c>
      <c r="AE86">
        <f t="shared" si="227"/>
        <v>0</v>
      </c>
      <c r="AF86" s="37">
        <f t="shared" si="228"/>
        <v>2</v>
      </c>
      <c r="AG86" s="30">
        <f t="shared" si="229"/>
        <v>2</v>
      </c>
      <c r="AH86" s="96"/>
      <c r="AI86" s="284"/>
      <c r="AJ86" s="1">
        <v>6</v>
      </c>
      <c r="AK86">
        <f t="shared" ref="AK86:AK98" si="251">IF(AH86="",AE86,IF(AH86=MIN(AH$21:AH$28),AE86+1,0))</f>
        <v>0</v>
      </c>
      <c r="AL86" s="37">
        <f t="shared" si="230"/>
        <v>2</v>
      </c>
      <c r="AM86" s="30">
        <f t="shared" si="231"/>
        <v>2</v>
      </c>
      <c r="AN86" s="96"/>
      <c r="AO86" s="287"/>
      <c r="AP86" s="174"/>
      <c r="AQ86" s="294"/>
      <c r="AR86" s="1">
        <v>6</v>
      </c>
      <c r="AS86">
        <f t="shared" si="232"/>
        <v>0</v>
      </c>
      <c r="AT86" s="37">
        <f t="shared" si="233"/>
        <v>2</v>
      </c>
      <c r="AU86" s="30">
        <f t="shared" si="234"/>
        <v>2</v>
      </c>
      <c r="AV86" s="96"/>
      <c r="AW86" s="284"/>
      <c r="AX86" s="1">
        <v>6</v>
      </c>
      <c r="AY86">
        <f t="shared" si="235"/>
        <v>0</v>
      </c>
      <c r="AZ86" s="37">
        <f t="shared" si="236"/>
        <v>2</v>
      </c>
      <c r="BA86" s="30">
        <f t="shared" si="237"/>
        <v>2</v>
      </c>
      <c r="BB86" s="96"/>
      <c r="BC86" s="284"/>
      <c r="BD86" s="1">
        <v>6</v>
      </c>
      <c r="BE86">
        <f t="shared" si="238"/>
        <v>0</v>
      </c>
      <c r="BF86" s="37">
        <f t="shared" si="239"/>
        <v>2</v>
      </c>
      <c r="BG86" s="30">
        <f t="shared" si="240"/>
        <v>2</v>
      </c>
      <c r="BH86" s="96"/>
      <c r="BI86" s="287"/>
      <c r="BJ86" s="171"/>
      <c r="BK86" s="294"/>
      <c r="BL86" s="1">
        <v>6</v>
      </c>
      <c r="BM86">
        <f t="shared" si="241"/>
        <v>0</v>
      </c>
      <c r="BN86" s="37">
        <f t="shared" si="242"/>
        <v>2</v>
      </c>
      <c r="BO86" s="30">
        <f t="shared" si="243"/>
        <v>2</v>
      </c>
      <c r="BP86" s="96"/>
      <c r="BQ86" s="284"/>
      <c r="BR86" s="1">
        <v>6</v>
      </c>
      <c r="BS86">
        <f t="shared" si="244"/>
        <v>0</v>
      </c>
      <c r="BT86" s="37">
        <f t="shared" si="245"/>
        <v>2</v>
      </c>
      <c r="BU86" s="30">
        <f t="shared" si="246"/>
        <v>2</v>
      </c>
      <c r="BV86" s="96"/>
      <c r="BW86" s="284"/>
      <c r="BX86" s="1">
        <v>6</v>
      </c>
      <c r="BY86">
        <f t="shared" si="247"/>
        <v>0</v>
      </c>
      <c r="BZ86" s="37">
        <f t="shared" si="248"/>
        <v>2</v>
      </c>
      <c r="CA86" s="30">
        <f t="shared" si="249"/>
        <v>2</v>
      </c>
      <c r="CB86" s="96"/>
      <c r="CC86" s="287"/>
    </row>
    <row r="87" spans="1:88" s="181" customFormat="1" x14ac:dyDescent="0.45">
      <c r="A87" s="294"/>
      <c r="B87" s="1">
        <v>7</v>
      </c>
      <c r="C87" s="181">
        <f t="shared" si="250"/>
        <v>0</v>
      </c>
      <c r="D87" s="37">
        <f t="shared" si="216"/>
        <v>2</v>
      </c>
      <c r="E87" s="30">
        <f t="shared" si="217"/>
        <v>15</v>
      </c>
      <c r="F87" s="188"/>
      <c r="G87" s="287"/>
      <c r="H87" s="184"/>
      <c r="I87" s="294"/>
      <c r="J87" s="180">
        <v>7</v>
      </c>
      <c r="K87" s="181">
        <f t="shared" si="218"/>
        <v>0</v>
      </c>
      <c r="L87" s="37">
        <f t="shared" si="219"/>
        <v>2</v>
      </c>
      <c r="M87" s="30">
        <f t="shared" si="220"/>
        <v>15</v>
      </c>
      <c r="N87" s="188"/>
      <c r="O87" s="284"/>
      <c r="P87" s="180">
        <v>7</v>
      </c>
      <c r="Q87" s="181">
        <f t="shared" si="221"/>
        <v>0</v>
      </c>
      <c r="R87" s="37">
        <f t="shared" si="222"/>
        <v>2</v>
      </c>
      <c r="S87" s="30">
        <f t="shared" si="223"/>
        <v>15</v>
      </c>
      <c r="T87" s="188"/>
      <c r="U87" s="287"/>
      <c r="V87" s="184"/>
      <c r="W87" s="294"/>
      <c r="X87" s="180">
        <v>7</v>
      </c>
      <c r="Y87" s="181">
        <f t="shared" si="224"/>
        <v>0</v>
      </c>
      <c r="Z87" s="37">
        <f t="shared" si="225"/>
        <v>2</v>
      </c>
      <c r="AA87" s="30">
        <f t="shared" si="226"/>
        <v>15</v>
      </c>
      <c r="AB87" s="189">
        <v>5</v>
      </c>
      <c r="AC87" s="284"/>
      <c r="AD87" s="180">
        <v>7</v>
      </c>
      <c r="AE87" s="181">
        <f t="shared" si="227"/>
        <v>1</v>
      </c>
      <c r="AF87" s="37">
        <f t="shared" si="228"/>
        <v>4</v>
      </c>
      <c r="AG87" s="30">
        <f t="shared" si="229"/>
        <v>1</v>
      </c>
      <c r="AH87" s="189"/>
      <c r="AI87" s="284"/>
      <c r="AJ87" s="180">
        <v>7</v>
      </c>
      <c r="AK87" s="181">
        <f t="shared" si="251"/>
        <v>1</v>
      </c>
      <c r="AL87" s="37">
        <f t="shared" si="230"/>
        <v>4</v>
      </c>
      <c r="AM87" s="30">
        <f t="shared" si="231"/>
        <v>1</v>
      </c>
      <c r="AN87" s="189"/>
      <c r="AO87" s="287"/>
      <c r="AP87" s="184"/>
      <c r="AQ87" s="294"/>
      <c r="AR87" s="180">
        <v>7</v>
      </c>
      <c r="AS87" s="181">
        <f t="shared" si="232"/>
        <v>1</v>
      </c>
      <c r="AT87" s="37">
        <f t="shared" si="233"/>
        <v>4</v>
      </c>
      <c r="AU87" s="30">
        <f t="shared" si="234"/>
        <v>1</v>
      </c>
      <c r="AV87" s="189"/>
      <c r="AW87" s="284"/>
      <c r="AX87" s="180">
        <v>7</v>
      </c>
      <c r="AY87" s="181">
        <f t="shared" si="235"/>
        <v>1</v>
      </c>
      <c r="AZ87" s="37">
        <f t="shared" si="236"/>
        <v>4</v>
      </c>
      <c r="BA87" s="30">
        <f t="shared" si="237"/>
        <v>1</v>
      </c>
      <c r="BB87" s="189"/>
      <c r="BC87" s="284"/>
      <c r="BD87" s="180">
        <v>7</v>
      </c>
      <c r="BE87" s="181">
        <f t="shared" si="238"/>
        <v>1</v>
      </c>
      <c r="BF87" s="37">
        <f t="shared" si="239"/>
        <v>4</v>
      </c>
      <c r="BG87" s="30">
        <f t="shared" si="240"/>
        <v>1</v>
      </c>
      <c r="BH87" s="189"/>
      <c r="BI87" s="287"/>
      <c r="BJ87" s="187"/>
      <c r="BK87" s="294"/>
      <c r="BL87" s="180">
        <v>7</v>
      </c>
      <c r="BM87" s="181">
        <f t="shared" si="241"/>
        <v>1</v>
      </c>
      <c r="BN87" s="37">
        <f t="shared" si="242"/>
        <v>4</v>
      </c>
      <c r="BO87" s="30">
        <f t="shared" si="243"/>
        <v>1</v>
      </c>
      <c r="BP87" s="189"/>
      <c r="BQ87" s="284"/>
      <c r="BR87" s="180">
        <v>7</v>
      </c>
      <c r="BS87" s="181">
        <f t="shared" si="244"/>
        <v>1</v>
      </c>
      <c r="BT87" s="37">
        <f t="shared" si="245"/>
        <v>4</v>
      </c>
      <c r="BU87" s="30">
        <f t="shared" si="246"/>
        <v>1</v>
      </c>
      <c r="BV87" s="189"/>
      <c r="BW87" s="284"/>
      <c r="BX87" s="180">
        <v>7</v>
      </c>
      <c r="BY87" s="181">
        <f t="shared" si="247"/>
        <v>1</v>
      </c>
      <c r="BZ87" s="37">
        <f t="shared" si="248"/>
        <v>4</v>
      </c>
      <c r="CA87" s="30">
        <f t="shared" si="249"/>
        <v>1</v>
      </c>
      <c r="CB87" s="189"/>
      <c r="CC87" s="287"/>
    </row>
    <row r="88" spans="1:88" x14ac:dyDescent="0.45">
      <c r="A88" s="296"/>
      <c r="B88" s="51">
        <v>8</v>
      </c>
      <c r="C88" s="53">
        <f t="shared" si="250"/>
        <v>0</v>
      </c>
      <c r="D88" s="37">
        <f t="shared" si="216"/>
        <v>2</v>
      </c>
      <c r="E88" s="30">
        <f t="shared" si="217"/>
        <v>11</v>
      </c>
      <c r="F88" s="151"/>
      <c r="G88" s="287"/>
      <c r="H88" s="174"/>
      <c r="I88" s="296"/>
      <c r="J88" s="51">
        <v>8</v>
      </c>
      <c r="K88">
        <f t="shared" si="218"/>
        <v>0</v>
      </c>
      <c r="L88" s="37">
        <f t="shared" si="219"/>
        <v>2</v>
      </c>
      <c r="M88" s="30">
        <f t="shared" si="220"/>
        <v>11</v>
      </c>
      <c r="N88" s="151"/>
      <c r="O88" s="285"/>
      <c r="P88" s="51">
        <v>8</v>
      </c>
      <c r="Q88">
        <f t="shared" si="221"/>
        <v>0</v>
      </c>
      <c r="R88" s="37">
        <f t="shared" si="222"/>
        <v>2</v>
      </c>
      <c r="S88" s="30">
        <f t="shared" si="223"/>
        <v>11</v>
      </c>
      <c r="T88" s="151"/>
      <c r="U88" s="287"/>
      <c r="V88" s="174"/>
      <c r="W88" s="296"/>
      <c r="X88" s="51">
        <v>8</v>
      </c>
      <c r="Y88">
        <f t="shared" si="224"/>
        <v>0</v>
      </c>
      <c r="Z88" s="37">
        <f t="shared" si="225"/>
        <v>2</v>
      </c>
      <c r="AA88" s="30">
        <f t="shared" si="226"/>
        <v>11</v>
      </c>
      <c r="AB88" s="97">
        <v>6</v>
      </c>
      <c r="AC88" s="285"/>
      <c r="AD88" s="51">
        <v>8</v>
      </c>
      <c r="AE88">
        <f t="shared" si="227"/>
        <v>0</v>
      </c>
      <c r="AF88" s="37">
        <f t="shared" si="228"/>
        <v>2</v>
      </c>
      <c r="AG88" s="30">
        <f t="shared" si="229"/>
        <v>11</v>
      </c>
      <c r="AH88" s="97"/>
      <c r="AI88" s="285"/>
      <c r="AJ88" s="51">
        <v>8</v>
      </c>
      <c r="AK88">
        <f t="shared" si="251"/>
        <v>0</v>
      </c>
      <c r="AL88" s="37">
        <f t="shared" si="230"/>
        <v>2</v>
      </c>
      <c r="AM88" s="30">
        <f t="shared" si="231"/>
        <v>11</v>
      </c>
      <c r="AN88" s="97"/>
      <c r="AO88" s="287"/>
      <c r="AP88" s="174"/>
      <c r="AQ88" s="296"/>
      <c r="AR88" s="51">
        <v>8</v>
      </c>
      <c r="AS88">
        <f t="shared" si="232"/>
        <v>0</v>
      </c>
      <c r="AT88" s="37">
        <f t="shared" si="233"/>
        <v>2</v>
      </c>
      <c r="AU88" s="30">
        <f t="shared" si="234"/>
        <v>11</v>
      </c>
      <c r="AV88" s="97"/>
      <c r="AW88" s="285"/>
      <c r="AX88" s="51">
        <v>8</v>
      </c>
      <c r="AY88">
        <f t="shared" si="235"/>
        <v>0</v>
      </c>
      <c r="AZ88" s="37">
        <f t="shared" si="236"/>
        <v>2</v>
      </c>
      <c r="BA88" s="30">
        <f t="shared" si="237"/>
        <v>11</v>
      </c>
      <c r="BB88" s="97"/>
      <c r="BC88" s="285"/>
      <c r="BD88" s="51">
        <v>8</v>
      </c>
      <c r="BE88">
        <f t="shared" si="238"/>
        <v>0</v>
      </c>
      <c r="BF88" s="37">
        <f t="shared" si="239"/>
        <v>2</v>
      </c>
      <c r="BG88" s="30">
        <f t="shared" si="240"/>
        <v>11</v>
      </c>
      <c r="BH88" s="97"/>
      <c r="BI88" s="287"/>
      <c r="BJ88" s="171"/>
      <c r="BK88" s="296"/>
      <c r="BL88" s="51">
        <v>8</v>
      </c>
      <c r="BM88">
        <f t="shared" si="241"/>
        <v>0</v>
      </c>
      <c r="BN88" s="37">
        <f t="shared" si="242"/>
        <v>2</v>
      </c>
      <c r="BO88" s="30">
        <f t="shared" si="243"/>
        <v>11</v>
      </c>
      <c r="BP88" s="97"/>
      <c r="BQ88" s="285"/>
      <c r="BR88" s="51">
        <v>8</v>
      </c>
      <c r="BS88">
        <f t="shared" si="244"/>
        <v>0</v>
      </c>
      <c r="BT88" s="37">
        <f t="shared" si="245"/>
        <v>2</v>
      </c>
      <c r="BU88" s="30">
        <f t="shared" si="246"/>
        <v>11</v>
      </c>
      <c r="BV88" s="97"/>
      <c r="BW88" s="285"/>
      <c r="BX88" s="51">
        <v>8</v>
      </c>
      <c r="BY88">
        <f t="shared" si="247"/>
        <v>0</v>
      </c>
      <c r="BZ88" s="37">
        <f t="shared" si="248"/>
        <v>2</v>
      </c>
      <c r="CA88" s="30">
        <f t="shared" si="249"/>
        <v>11</v>
      </c>
      <c r="CB88" s="97"/>
      <c r="CC88" s="287"/>
    </row>
    <row r="89" spans="1:88" x14ac:dyDescent="0.45">
      <c r="A89" s="293">
        <v>8</v>
      </c>
      <c r="B89" s="179">
        <f>O13</f>
        <v>15</v>
      </c>
      <c r="C89" s="87" t="s">
        <v>154</v>
      </c>
      <c r="D89" s="10" t="s">
        <v>158</v>
      </c>
      <c r="E89" s="88" t="s">
        <v>152</v>
      </c>
      <c r="F89" s="152"/>
      <c r="G89" s="287" t="str">
        <f>IF(COUNT(F90:F98) &gt;0, COUNT(F90:F98)/2,"")</f>
        <v/>
      </c>
      <c r="H89" s="174"/>
      <c r="I89" s="293">
        <v>8</v>
      </c>
      <c r="J89" s="48">
        <f>S57</f>
        <v>15</v>
      </c>
      <c r="K89" s="87" t="s">
        <v>154</v>
      </c>
      <c r="L89" s="10" t="s">
        <v>158</v>
      </c>
      <c r="M89" s="88" t="s">
        <v>152</v>
      </c>
      <c r="N89" s="152"/>
      <c r="O89" s="286">
        <v>8</v>
      </c>
      <c r="P89" s="48">
        <f>Y57</f>
        <v>0</v>
      </c>
      <c r="Q89" s="87" t="s">
        <v>154</v>
      </c>
      <c r="R89" s="10" t="s">
        <v>158</v>
      </c>
      <c r="S89" s="88" t="s">
        <v>152</v>
      </c>
      <c r="T89" s="160"/>
      <c r="U89" s="287" t="str">
        <f>IF(COUNT(H90:H98,N90:N98,T90:T98) &gt;0, COUNT(H90:H98,N90:N98,T90:T98) /2,"")</f>
        <v/>
      </c>
      <c r="V89" s="174"/>
      <c r="W89" s="293">
        <v>8</v>
      </c>
      <c r="X89" s="48">
        <f>AG57</f>
        <v>15</v>
      </c>
      <c r="Y89" s="87" t="s">
        <v>154</v>
      </c>
      <c r="Z89" s="10" t="s">
        <v>158</v>
      </c>
      <c r="AA89" s="88" t="s">
        <v>152</v>
      </c>
      <c r="AB89" s="94"/>
      <c r="AC89" s="286">
        <v>8</v>
      </c>
      <c r="AD89" s="48">
        <f>AM57</f>
        <v>15</v>
      </c>
      <c r="AE89" s="87" t="s">
        <v>154</v>
      </c>
      <c r="AF89" s="10" t="s">
        <v>158</v>
      </c>
      <c r="AG89" s="88" t="s">
        <v>152</v>
      </c>
      <c r="AH89" s="94"/>
      <c r="AI89" s="286">
        <v>8</v>
      </c>
      <c r="AJ89" s="48">
        <f>AS57</f>
        <v>0</v>
      </c>
      <c r="AK89" t="str">
        <f t="shared" si="251"/>
        <v xml:space="preserve">CTR </v>
      </c>
      <c r="AL89" s="10" t="s">
        <v>158</v>
      </c>
      <c r="AM89" s="88" t="s">
        <v>152</v>
      </c>
      <c r="AN89" s="94"/>
      <c r="AO89" s="287">
        <f>IF(COUNT(AB90:AB98,AH90:AH98,AN90:AN98) &gt;0, COUNT(AB90:AB98,AH90:AH98,AN90:AN98) /2,"")</f>
        <v>1</v>
      </c>
      <c r="AP89" s="174"/>
      <c r="AQ89" s="293">
        <v>8</v>
      </c>
      <c r="AR89" s="48">
        <f>BA57</f>
        <v>15</v>
      </c>
      <c r="AS89" s="87" t="s">
        <v>154</v>
      </c>
      <c r="AT89" s="10" t="s">
        <v>158</v>
      </c>
      <c r="AU89" s="88" t="s">
        <v>152</v>
      </c>
      <c r="AV89" s="94"/>
      <c r="AW89" s="286">
        <v>8</v>
      </c>
      <c r="AX89" s="48">
        <f>BG57</f>
        <v>15</v>
      </c>
      <c r="AY89" s="87" t="s">
        <v>154</v>
      </c>
      <c r="AZ89" s="10" t="s">
        <v>158</v>
      </c>
      <c r="BA89" s="88" t="s">
        <v>152</v>
      </c>
      <c r="BB89" s="94"/>
      <c r="BC89" s="286">
        <v>8</v>
      </c>
      <c r="BD89" s="48">
        <f>BM57</f>
        <v>0</v>
      </c>
      <c r="BE89" s="87" t="s">
        <v>154</v>
      </c>
      <c r="BF89" s="10" t="s">
        <v>158</v>
      </c>
      <c r="BG89" s="88" t="s">
        <v>152</v>
      </c>
      <c r="BH89" s="94"/>
      <c r="BI89" s="287" t="str">
        <f>IF(COUNT(AV90:AV98,BB90:BB98,BH90:BH98) &gt;0, COUNT(AV90:AV98,BB90:BB98,BH90:BH98) /2,"")</f>
        <v/>
      </c>
      <c r="BJ89" s="171"/>
      <c r="BK89" s="293">
        <v>8</v>
      </c>
      <c r="BL89" s="48">
        <f>BU57</f>
        <v>15</v>
      </c>
      <c r="BM89" s="87" t="s">
        <v>154</v>
      </c>
      <c r="BN89" s="10" t="s">
        <v>158</v>
      </c>
      <c r="BO89" s="88" t="s">
        <v>152</v>
      </c>
      <c r="BP89" s="94"/>
      <c r="BQ89" s="286">
        <v>8</v>
      </c>
      <c r="BR89" s="48">
        <f>CA57</f>
        <v>15</v>
      </c>
      <c r="BS89" s="87" t="s">
        <v>154</v>
      </c>
      <c r="BT89" s="10" t="s">
        <v>158</v>
      </c>
      <c r="BU89" s="88" t="s">
        <v>152</v>
      </c>
      <c r="BV89" s="94"/>
      <c r="BW89" s="286">
        <v>8</v>
      </c>
      <c r="BX89" s="48">
        <f>CG57</f>
        <v>0</v>
      </c>
      <c r="BY89" s="87" t="s">
        <v>154</v>
      </c>
      <c r="BZ89" s="10" t="s">
        <v>158</v>
      </c>
      <c r="CA89" s="88" t="s">
        <v>152</v>
      </c>
      <c r="CB89" s="94"/>
      <c r="CC89" s="287" t="str">
        <f>IF(COUNT(BP90:BP98,BV90:BV98,CB90:CB98) &gt;0, COUNT(BP90:BP98,BV90:BV98,CB90:CB98) /2,"")</f>
        <v/>
      </c>
    </row>
    <row r="90" spans="1:88" ht="27.75" customHeight="1" x14ac:dyDescent="0.45">
      <c r="A90" s="294"/>
      <c r="B90" s="176" t="s">
        <v>162</v>
      </c>
      <c r="C90" s="102" t="s">
        <v>156</v>
      </c>
      <c r="D90" s="89" t="s">
        <v>175</v>
      </c>
      <c r="E90" s="177" t="s">
        <v>174</v>
      </c>
      <c r="F90" s="148"/>
      <c r="G90" s="287"/>
      <c r="H90" s="174"/>
      <c r="I90" s="294"/>
      <c r="J90" s="176" t="s">
        <v>162</v>
      </c>
      <c r="K90" s="90" t="s">
        <v>155</v>
      </c>
      <c r="L90" s="89" t="s">
        <v>175</v>
      </c>
      <c r="M90" s="177" t="s">
        <v>174</v>
      </c>
      <c r="N90" s="148"/>
      <c r="O90" s="284"/>
      <c r="P90" s="176" t="s">
        <v>162</v>
      </c>
      <c r="Q90" s="90" t="s">
        <v>155</v>
      </c>
      <c r="R90" s="89" t="s">
        <v>175</v>
      </c>
      <c r="S90" s="177" t="s">
        <v>174</v>
      </c>
      <c r="T90" s="156"/>
      <c r="U90" s="287"/>
      <c r="V90" s="174"/>
      <c r="W90" s="294"/>
      <c r="X90" s="176" t="s">
        <v>162</v>
      </c>
      <c r="Y90" s="90" t="s">
        <v>155</v>
      </c>
      <c r="Z90" s="89" t="s">
        <v>175</v>
      </c>
      <c r="AA90" s="177" t="s">
        <v>174</v>
      </c>
      <c r="AB90" s="95"/>
      <c r="AC90" s="284"/>
      <c r="AD90" s="176" t="s">
        <v>162</v>
      </c>
      <c r="AE90" s="90" t="s">
        <v>155</v>
      </c>
      <c r="AF90" s="89" t="s">
        <v>175</v>
      </c>
      <c r="AG90" s="177" t="s">
        <v>174</v>
      </c>
      <c r="AH90" s="95"/>
      <c r="AI90" s="284"/>
      <c r="AJ90" s="176" t="s">
        <v>162</v>
      </c>
      <c r="AK90" s="90" t="s">
        <v>155</v>
      </c>
      <c r="AL90" s="89" t="s">
        <v>175</v>
      </c>
      <c r="AM90" s="177" t="s">
        <v>174</v>
      </c>
      <c r="AN90" s="95"/>
      <c r="AO90" s="287"/>
      <c r="AP90" s="174"/>
      <c r="AQ90" s="294"/>
      <c r="AR90" s="176" t="s">
        <v>162</v>
      </c>
      <c r="AS90" s="90" t="s">
        <v>155</v>
      </c>
      <c r="AT90" s="89" t="s">
        <v>175</v>
      </c>
      <c r="AU90" s="177" t="s">
        <v>174</v>
      </c>
      <c r="AV90" s="95"/>
      <c r="AW90" s="284"/>
      <c r="AX90" s="176" t="s">
        <v>162</v>
      </c>
      <c r="AY90" s="90" t="s">
        <v>155</v>
      </c>
      <c r="AZ90" s="89" t="s">
        <v>175</v>
      </c>
      <c r="BA90" s="177" t="s">
        <v>174</v>
      </c>
      <c r="BB90" s="95"/>
      <c r="BC90" s="284"/>
      <c r="BD90" s="176" t="s">
        <v>162</v>
      </c>
      <c r="BE90" s="90" t="s">
        <v>155</v>
      </c>
      <c r="BF90" s="89" t="s">
        <v>175</v>
      </c>
      <c r="BG90" s="177" t="s">
        <v>174</v>
      </c>
      <c r="BH90" s="95"/>
      <c r="BI90" s="287"/>
      <c r="BJ90" s="171"/>
      <c r="BK90" s="294"/>
      <c r="BL90" s="176" t="s">
        <v>162</v>
      </c>
      <c r="BM90" s="90" t="s">
        <v>155</v>
      </c>
      <c r="BN90" s="89" t="s">
        <v>175</v>
      </c>
      <c r="BO90" s="177" t="s">
        <v>174</v>
      </c>
      <c r="BP90" s="95"/>
      <c r="BQ90" s="284"/>
      <c r="BR90" s="176" t="s">
        <v>162</v>
      </c>
      <c r="BS90" s="90" t="s">
        <v>155</v>
      </c>
      <c r="BT90" s="89" t="s">
        <v>175</v>
      </c>
      <c r="BU90" s="177" t="s">
        <v>174</v>
      </c>
      <c r="BV90" s="95"/>
      <c r="BW90" s="284"/>
      <c r="BX90" s="176" t="s">
        <v>162</v>
      </c>
      <c r="BY90" s="90" t="s">
        <v>155</v>
      </c>
      <c r="BZ90" s="89" t="s">
        <v>175</v>
      </c>
      <c r="CA90" s="177" t="s">
        <v>174</v>
      </c>
      <c r="CB90" s="95"/>
      <c r="CC90" s="287"/>
    </row>
    <row r="91" spans="1:88" x14ac:dyDescent="0.45">
      <c r="A91" s="294"/>
      <c r="B91" s="1">
        <v>1</v>
      </c>
      <c r="C91">
        <v>0</v>
      </c>
      <c r="D91" s="37">
        <f t="shared" ref="D91:D98" si="252">(C91+$B$19)*$G$3</f>
        <v>2</v>
      </c>
      <c r="E91" s="30">
        <f t="shared" ref="E91:E98" si="253">MOD($F6+D91,$G$2)</f>
        <v>9</v>
      </c>
      <c r="F91" s="149"/>
      <c r="G91" s="287"/>
      <c r="H91" s="174"/>
      <c r="I91" s="294"/>
      <c r="J91" s="1">
        <v>1</v>
      </c>
      <c r="K91">
        <f t="shared" ref="K91:K98" si="254">IF(F91="", C91,IF(F91=MIN(F$91:F$98),C91+1,0))</f>
        <v>0</v>
      </c>
      <c r="L91" s="37">
        <f t="shared" ref="L91:L98" si="255">(K91+$B$19)*$G$3</f>
        <v>2</v>
      </c>
      <c r="M91" s="30">
        <f t="shared" ref="M91:M98" si="256">MOD($F6+L91,$G$2)</f>
        <v>9</v>
      </c>
      <c r="N91" s="149"/>
      <c r="O91" s="284"/>
      <c r="P91" s="1">
        <v>1</v>
      </c>
      <c r="Q91">
        <f t="shared" ref="Q91:Q98" si="257">IF(N91="", K91,IF(N91=MIN(N$91:N$98),K91+1,0))</f>
        <v>0</v>
      </c>
      <c r="R91" s="37">
        <f t="shared" ref="R91:R98" si="258">(Q91+$B$19)*$G$3</f>
        <v>2</v>
      </c>
      <c r="S91" s="30">
        <f t="shared" ref="S91:S98" si="259">MOD($F6+R91,$G$2)</f>
        <v>9</v>
      </c>
      <c r="T91" s="157"/>
      <c r="U91" s="287"/>
      <c r="V91" s="174"/>
      <c r="W91" s="294"/>
      <c r="X91" s="1">
        <v>1</v>
      </c>
      <c r="Y91">
        <f t="shared" ref="Y91:Y98" si="260">IF(T91="", Q91,IF(T91=MIN(T$91:T$98),Q91+1,0))</f>
        <v>0</v>
      </c>
      <c r="Z91" s="37">
        <f t="shared" ref="Z91:Z98" si="261">(Y91+$B$19)*$G$3</f>
        <v>2</v>
      </c>
      <c r="AA91" s="30">
        <f t="shared" ref="AA91:AA98" si="262">MOD($F6+Z91,$G$2)</f>
        <v>9</v>
      </c>
      <c r="AB91" s="98"/>
      <c r="AC91" s="284"/>
      <c r="AD91" s="1">
        <v>1</v>
      </c>
      <c r="AE91">
        <f t="shared" ref="AE91:AE98" si="263">IF(AB91="", Y91,IF(AB91=MIN(AB$91:AB$98),Y91+1,0))</f>
        <v>0</v>
      </c>
      <c r="AF91" s="37">
        <f t="shared" ref="AF91:AF98" si="264">(AE91+$B$19)*$G$3</f>
        <v>2</v>
      </c>
      <c r="AG91" s="30">
        <f t="shared" ref="AG91:AG98" si="265">MOD($F6+AF91,$G$2)</f>
        <v>9</v>
      </c>
      <c r="AH91" s="98"/>
      <c r="AI91" s="284"/>
      <c r="AJ91" s="1">
        <v>1</v>
      </c>
      <c r="AK91">
        <f t="shared" si="251"/>
        <v>0</v>
      </c>
      <c r="AL91" s="37">
        <f t="shared" ref="AL91:AL98" si="266">(AK91+$B$19)*$G$3</f>
        <v>2</v>
      </c>
      <c r="AM91" s="30">
        <f t="shared" ref="AM91:AM98" si="267">MOD($F6+AL91,$G$2)</f>
        <v>9</v>
      </c>
      <c r="AN91" s="98"/>
      <c r="AO91" s="287"/>
      <c r="AP91" s="174"/>
      <c r="AQ91" s="294"/>
      <c r="AR91" s="1">
        <v>1</v>
      </c>
      <c r="AS91">
        <f t="shared" ref="AS91:AS98" si="268">IF(AN91="", AK91,IF(AN91=MIN(AN$91:AN$98),AK91+1,0))</f>
        <v>0</v>
      </c>
      <c r="AT91" s="37">
        <f t="shared" ref="AT91:AT98" si="269">(AS91+$B$19)*$G$3</f>
        <v>2</v>
      </c>
      <c r="AU91" s="30">
        <f t="shared" ref="AU91:AU98" si="270">MOD($F6+AT91,$G$2)</f>
        <v>9</v>
      </c>
      <c r="AV91" s="98"/>
      <c r="AW91" s="284"/>
      <c r="AX91" s="1">
        <v>1</v>
      </c>
      <c r="AY91">
        <f t="shared" ref="AY91:AY98" si="271">IF(AV91="", AS91,IF(AV91=MIN(AV$91:AV$98),AS91+1,0))</f>
        <v>0</v>
      </c>
      <c r="AZ91" s="37">
        <f t="shared" ref="AZ91:AZ98" si="272">(AY91+$B$19)*$G$3</f>
        <v>2</v>
      </c>
      <c r="BA91" s="30">
        <f t="shared" ref="BA91:BA98" si="273">MOD($F6+AZ91,$G$2)</f>
        <v>9</v>
      </c>
      <c r="BB91" s="98"/>
      <c r="BC91" s="284"/>
      <c r="BD91" s="1">
        <v>1</v>
      </c>
      <c r="BE91">
        <f t="shared" ref="BE91" si="274">IF(BB91="", AY91,IF(BB91=MIN(BB$91:BB$98),AY91+1,0))</f>
        <v>0</v>
      </c>
      <c r="BF91" s="37">
        <f t="shared" ref="BF91:BF98" si="275">(BE91+$B$19)*$G$3</f>
        <v>2</v>
      </c>
      <c r="BG91" s="30">
        <f t="shared" ref="BG91:BG98" si="276">MOD($F6+BF91,$G$2)</f>
        <v>9</v>
      </c>
      <c r="BH91" s="98"/>
      <c r="BI91" s="287"/>
      <c r="BJ91" s="171"/>
      <c r="BK91" s="294"/>
      <c r="BL91" s="1">
        <v>1</v>
      </c>
      <c r="BM91">
        <f t="shared" ref="BM91:BM98" si="277">IF(BH91="", BE91,IF(BH91=MIN(BH$91:BH$98),BE91+1,0))</f>
        <v>0</v>
      </c>
      <c r="BN91" s="37">
        <f t="shared" ref="BN91:BN98" si="278">(BM91+$B$19)*$G$3</f>
        <v>2</v>
      </c>
      <c r="BO91" s="30">
        <f t="shared" ref="BO91:BO98" si="279">MOD($F6+BN91,$G$2)</f>
        <v>9</v>
      </c>
      <c r="BP91" s="98"/>
      <c r="BQ91" s="284"/>
      <c r="BR91" s="1">
        <v>1</v>
      </c>
      <c r="BS91">
        <f t="shared" ref="BS91:BS98" si="280">IF(BP91="", BM91,IF(BP91=MIN(BP$91:BP$98),BM91+1,0))</f>
        <v>0</v>
      </c>
      <c r="BT91" s="37">
        <f t="shared" ref="BT91:BT98" si="281">(BS91+$B$19)*$G$3</f>
        <v>2</v>
      </c>
      <c r="BU91" s="30">
        <f t="shared" ref="BU91:BU98" si="282">MOD($F6+BT91,$G$2)</f>
        <v>9</v>
      </c>
      <c r="BV91" s="98"/>
      <c r="BW91" s="284"/>
      <c r="BX91" s="1">
        <v>1</v>
      </c>
      <c r="BY91">
        <f t="shared" ref="BY91:BY98" si="283">IF(BV91="", BS91,IF(BV91=MIN(BV$91:BV$98),BS91+1,0))</f>
        <v>0</v>
      </c>
      <c r="BZ91" s="37">
        <f t="shared" ref="BZ91:BZ98" si="284">(BY91+$B$19)*$G$3</f>
        <v>2</v>
      </c>
      <c r="CA91" s="30">
        <f t="shared" ref="CA91:CA98" si="285">MOD($F6+BZ91,$G$2)</f>
        <v>9</v>
      </c>
      <c r="CB91" s="98"/>
      <c r="CC91" s="287"/>
    </row>
    <row r="92" spans="1:88" x14ac:dyDescent="0.45">
      <c r="A92" s="294"/>
      <c r="B92" s="1">
        <v>2</v>
      </c>
      <c r="C92">
        <f t="shared" ref="C92:C98" si="286">IF(B92=MIN(B$21:B$28),1,0)</f>
        <v>0</v>
      </c>
      <c r="D92" s="37">
        <f t="shared" si="252"/>
        <v>2</v>
      </c>
      <c r="E92" s="30">
        <f t="shared" si="253"/>
        <v>5</v>
      </c>
      <c r="F92" s="150"/>
      <c r="G92" s="287"/>
      <c r="H92" s="174"/>
      <c r="I92" s="294"/>
      <c r="J92" s="1">
        <v>2</v>
      </c>
      <c r="K92">
        <f t="shared" si="254"/>
        <v>0</v>
      </c>
      <c r="L92" s="37">
        <f t="shared" si="255"/>
        <v>2</v>
      </c>
      <c r="M92" s="30">
        <f t="shared" si="256"/>
        <v>5</v>
      </c>
      <c r="N92" s="150"/>
      <c r="O92" s="284"/>
      <c r="P92" s="1">
        <v>2</v>
      </c>
      <c r="Q92">
        <f t="shared" si="257"/>
        <v>0</v>
      </c>
      <c r="R92" s="37">
        <f t="shared" si="258"/>
        <v>2</v>
      </c>
      <c r="S92" s="30">
        <f t="shared" si="259"/>
        <v>5</v>
      </c>
      <c r="T92" s="158"/>
      <c r="U92" s="287"/>
      <c r="V92" s="174"/>
      <c r="W92" s="294"/>
      <c r="X92" s="1">
        <v>2</v>
      </c>
      <c r="Y92">
        <f t="shared" si="260"/>
        <v>0</v>
      </c>
      <c r="Z92" s="37">
        <f t="shared" si="261"/>
        <v>2</v>
      </c>
      <c r="AA92" s="30">
        <f t="shared" si="262"/>
        <v>5</v>
      </c>
      <c r="AB92" s="96"/>
      <c r="AC92" s="284"/>
      <c r="AD92" s="1">
        <v>2</v>
      </c>
      <c r="AE92">
        <f t="shared" si="263"/>
        <v>0</v>
      </c>
      <c r="AF92" s="37">
        <f t="shared" si="264"/>
        <v>2</v>
      </c>
      <c r="AG92" s="30">
        <f t="shared" si="265"/>
        <v>5</v>
      </c>
      <c r="AH92" s="96"/>
      <c r="AI92" s="284"/>
      <c r="AJ92" s="1">
        <v>2</v>
      </c>
      <c r="AK92">
        <f t="shared" si="251"/>
        <v>0</v>
      </c>
      <c r="AL92" s="37">
        <f t="shared" si="266"/>
        <v>2</v>
      </c>
      <c r="AM92" s="30">
        <f t="shared" si="267"/>
        <v>5</v>
      </c>
      <c r="AN92" s="96"/>
      <c r="AO92" s="287"/>
      <c r="AP92" s="174"/>
      <c r="AQ92" s="294"/>
      <c r="AR92" s="1">
        <v>2</v>
      </c>
      <c r="AS92">
        <f t="shared" si="268"/>
        <v>0</v>
      </c>
      <c r="AT92" s="37">
        <f t="shared" si="269"/>
        <v>2</v>
      </c>
      <c r="AU92" s="30">
        <f t="shared" si="270"/>
        <v>5</v>
      </c>
      <c r="AV92" s="96"/>
      <c r="AW92" s="284"/>
      <c r="AX92" s="1">
        <v>2</v>
      </c>
      <c r="AY92">
        <f>IF(AV92="", AS92,IF(AV92=MIN(AV$91:AV$98),AS92+1,0))</f>
        <v>0</v>
      </c>
      <c r="AZ92" s="37">
        <f t="shared" si="272"/>
        <v>2</v>
      </c>
      <c r="BA92" s="30">
        <f t="shared" si="273"/>
        <v>5</v>
      </c>
      <c r="BB92" s="96"/>
      <c r="BC92" s="284"/>
      <c r="BD92" s="1">
        <v>2</v>
      </c>
      <c r="BE92">
        <f>IF(BB92="", AY92,IF(BB92=MIN(BB$91:BB$98),AY92+1,0))</f>
        <v>0</v>
      </c>
      <c r="BF92" s="37">
        <f t="shared" si="275"/>
        <v>2</v>
      </c>
      <c r="BG92" s="30">
        <f t="shared" si="276"/>
        <v>5</v>
      </c>
      <c r="BH92" s="96"/>
      <c r="BI92" s="287"/>
      <c r="BJ92" s="171"/>
      <c r="BK92" s="294"/>
      <c r="BL92" s="1">
        <v>2</v>
      </c>
      <c r="BM92">
        <f t="shared" si="277"/>
        <v>0</v>
      </c>
      <c r="BN92" s="37">
        <f t="shared" si="278"/>
        <v>2</v>
      </c>
      <c r="BO92" s="30">
        <f t="shared" si="279"/>
        <v>5</v>
      </c>
      <c r="BP92" s="96"/>
      <c r="BQ92" s="284"/>
      <c r="BR92" s="1">
        <v>2</v>
      </c>
      <c r="BS92">
        <f>IF(BP92="", BM92,IF(BP92=MIN(BP$91:BP$98),BM92+1,0))</f>
        <v>0</v>
      </c>
      <c r="BT92" s="37">
        <f t="shared" si="281"/>
        <v>2</v>
      </c>
      <c r="BU92" s="30">
        <f t="shared" si="282"/>
        <v>5</v>
      </c>
      <c r="BV92" s="96"/>
      <c r="BW92" s="284"/>
      <c r="BX92" s="1">
        <v>2</v>
      </c>
      <c r="BY92">
        <f>IF(BV92="", BS92,IF(BV92=MIN(BV$91:BV$98),BS92+1,0))</f>
        <v>0</v>
      </c>
      <c r="BZ92" s="37">
        <f t="shared" si="284"/>
        <v>2</v>
      </c>
      <c r="CA92" s="30">
        <f t="shared" si="285"/>
        <v>5</v>
      </c>
      <c r="CB92" s="96"/>
      <c r="CC92" s="287"/>
    </row>
    <row r="93" spans="1:88" x14ac:dyDescent="0.45">
      <c r="A93" s="294"/>
      <c r="B93" s="1">
        <v>3</v>
      </c>
      <c r="C93">
        <f t="shared" si="286"/>
        <v>0</v>
      </c>
      <c r="D93" s="37">
        <f t="shared" si="252"/>
        <v>2</v>
      </c>
      <c r="E93" s="30">
        <f t="shared" si="253"/>
        <v>0</v>
      </c>
      <c r="F93" s="150"/>
      <c r="G93" s="287"/>
      <c r="H93" s="174"/>
      <c r="I93" s="294"/>
      <c r="J93" s="1">
        <v>3</v>
      </c>
      <c r="K93">
        <f t="shared" si="254"/>
        <v>0</v>
      </c>
      <c r="L93" s="37">
        <f t="shared" si="255"/>
        <v>2</v>
      </c>
      <c r="M93" s="30">
        <f t="shared" si="256"/>
        <v>0</v>
      </c>
      <c r="N93" s="150"/>
      <c r="O93" s="284"/>
      <c r="P93" s="1">
        <v>3</v>
      </c>
      <c r="Q93">
        <f t="shared" si="257"/>
        <v>0</v>
      </c>
      <c r="R93" s="37">
        <f t="shared" si="258"/>
        <v>2</v>
      </c>
      <c r="S93" s="30">
        <f t="shared" si="259"/>
        <v>0</v>
      </c>
      <c r="T93" s="158"/>
      <c r="U93" s="287"/>
      <c r="V93" s="174"/>
      <c r="W93" s="294"/>
      <c r="X93" s="1">
        <v>3</v>
      </c>
      <c r="Y93">
        <f t="shared" si="260"/>
        <v>0</v>
      </c>
      <c r="Z93" s="37">
        <f t="shared" si="261"/>
        <v>2</v>
      </c>
      <c r="AA93" s="30">
        <f t="shared" si="262"/>
        <v>0</v>
      </c>
      <c r="AB93" s="96"/>
      <c r="AC93" s="284"/>
      <c r="AD93" s="1">
        <v>3</v>
      </c>
      <c r="AE93">
        <f t="shared" si="263"/>
        <v>0</v>
      </c>
      <c r="AF93" s="37">
        <f t="shared" si="264"/>
        <v>2</v>
      </c>
      <c r="AG93" s="30">
        <f t="shared" si="265"/>
        <v>0</v>
      </c>
      <c r="AH93" s="96"/>
      <c r="AI93" s="284"/>
      <c r="AJ93" s="1">
        <v>3</v>
      </c>
      <c r="AK93">
        <f t="shared" si="251"/>
        <v>0</v>
      </c>
      <c r="AL93" s="37">
        <f t="shared" si="266"/>
        <v>2</v>
      </c>
      <c r="AM93" s="30">
        <f t="shared" si="267"/>
        <v>0</v>
      </c>
      <c r="AN93" s="96"/>
      <c r="AO93" s="287"/>
      <c r="AP93" s="174"/>
      <c r="AQ93" s="294"/>
      <c r="AR93" s="1">
        <v>3</v>
      </c>
      <c r="AS93">
        <f t="shared" si="268"/>
        <v>0</v>
      </c>
      <c r="AT93" s="37">
        <f t="shared" si="269"/>
        <v>2</v>
      </c>
      <c r="AU93" s="30">
        <f t="shared" si="270"/>
        <v>0</v>
      </c>
      <c r="AV93" s="96"/>
      <c r="AW93" s="284"/>
      <c r="AX93" s="1">
        <v>3</v>
      </c>
      <c r="AY93">
        <f t="shared" si="271"/>
        <v>0</v>
      </c>
      <c r="AZ93" s="37">
        <f t="shared" si="272"/>
        <v>2</v>
      </c>
      <c r="BA93" s="30">
        <f t="shared" si="273"/>
        <v>0</v>
      </c>
      <c r="BB93" s="96"/>
      <c r="BC93" s="284"/>
      <c r="BD93" s="1">
        <v>3</v>
      </c>
      <c r="BE93">
        <f t="shared" ref="BE93:BE96" si="287">IF(BB93="", AY93,IF(BB93=MIN(BB$91:BB$98),AY93+1,0))</f>
        <v>0</v>
      </c>
      <c r="BF93" s="37">
        <f t="shared" si="275"/>
        <v>2</v>
      </c>
      <c r="BG93" s="30">
        <f t="shared" si="276"/>
        <v>0</v>
      </c>
      <c r="BH93" s="96"/>
      <c r="BI93" s="287"/>
      <c r="BJ93" s="171"/>
      <c r="BK93" s="294"/>
      <c r="BL93" s="1">
        <v>3</v>
      </c>
      <c r="BM93">
        <f t="shared" si="277"/>
        <v>0</v>
      </c>
      <c r="BN93" s="37">
        <f t="shared" si="278"/>
        <v>2</v>
      </c>
      <c r="BO93" s="30">
        <f t="shared" si="279"/>
        <v>0</v>
      </c>
      <c r="BP93" s="96"/>
      <c r="BQ93" s="284"/>
      <c r="BR93" s="1">
        <v>3</v>
      </c>
      <c r="BS93">
        <f t="shared" si="280"/>
        <v>0</v>
      </c>
      <c r="BT93" s="37">
        <f t="shared" si="281"/>
        <v>2</v>
      </c>
      <c r="BU93" s="30">
        <f t="shared" si="282"/>
        <v>0</v>
      </c>
      <c r="BV93" s="96"/>
      <c r="BW93" s="284"/>
      <c r="BX93" s="1">
        <v>3</v>
      </c>
      <c r="BY93">
        <f t="shared" si="283"/>
        <v>0</v>
      </c>
      <c r="BZ93" s="37">
        <f t="shared" si="284"/>
        <v>2</v>
      </c>
      <c r="CA93" s="30">
        <f t="shared" si="285"/>
        <v>0</v>
      </c>
      <c r="CB93" s="96"/>
      <c r="CC93" s="287"/>
    </row>
    <row r="94" spans="1:88" x14ac:dyDescent="0.45">
      <c r="A94" s="294"/>
      <c r="B94" s="1">
        <v>4</v>
      </c>
      <c r="C94">
        <f t="shared" si="286"/>
        <v>0</v>
      </c>
      <c r="D94" s="37">
        <f t="shared" si="252"/>
        <v>2</v>
      </c>
      <c r="E94" s="30">
        <f t="shared" si="253"/>
        <v>12</v>
      </c>
      <c r="F94" s="150"/>
      <c r="G94" s="287"/>
      <c r="H94" s="174"/>
      <c r="I94" s="294"/>
      <c r="J94" s="1">
        <v>4</v>
      </c>
      <c r="K94">
        <f t="shared" si="254"/>
        <v>0</v>
      </c>
      <c r="L94" s="37">
        <f t="shared" si="255"/>
        <v>2</v>
      </c>
      <c r="M94" s="30">
        <f t="shared" si="256"/>
        <v>12</v>
      </c>
      <c r="N94" s="150"/>
      <c r="O94" s="284"/>
      <c r="P94" s="1">
        <v>4</v>
      </c>
      <c r="Q94">
        <f t="shared" si="257"/>
        <v>0</v>
      </c>
      <c r="R94" s="37">
        <f t="shared" si="258"/>
        <v>2</v>
      </c>
      <c r="S94" s="30">
        <f t="shared" si="259"/>
        <v>12</v>
      </c>
      <c r="T94" s="158"/>
      <c r="U94" s="287"/>
      <c r="V94" s="174"/>
      <c r="W94" s="294"/>
      <c r="X94" s="1">
        <v>4</v>
      </c>
      <c r="Y94">
        <f t="shared" si="260"/>
        <v>0</v>
      </c>
      <c r="Z94" s="37">
        <f t="shared" si="261"/>
        <v>2</v>
      </c>
      <c r="AA94" s="30">
        <f t="shared" si="262"/>
        <v>12</v>
      </c>
      <c r="AB94" s="96"/>
      <c r="AC94" s="284"/>
      <c r="AD94" s="1">
        <v>4</v>
      </c>
      <c r="AE94">
        <f t="shared" si="263"/>
        <v>0</v>
      </c>
      <c r="AF94" s="37">
        <f t="shared" si="264"/>
        <v>2</v>
      </c>
      <c r="AG94" s="30">
        <f t="shared" si="265"/>
        <v>12</v>
      </c>
      <c r="AH94" s="96"/>
      <c r="AI94" s="284"/>
      <c r="AJ94" s="1">
        <v>4</v>
      </c>
      <c r="AK94">
        <f t="shared" si="251"/>
        <v>0</v>
      </c>
      <c r="AL94" s="37">
        <f t="shared" si="266"/>
        <v>2</v>
      </c>
      <c r="AM94" s="30">
        <f t="shared" si="267"/>
        <v>12</v>
      </c>
      <c r="AN94" s="96"/>
      <c r="AO94" s="287"/>
      <c r="AP94" s="174"/>
      <c r="AQ94" s="294"/>
      <c r="AR94" s="1">
        <v>4</v>
      </c>
      <c r="AS94">
        <f t="shared" si="268"/>
        <v>0</v>
      </c>
      <c r="AT94" s="37">
        <f t="shared" si="269"/>
        <v>2</v>
      </c>
      <c r="AU94" s="30">
        <f t="shared" si="270"/>
        <v>12</v>
      </c>
      <c r="AV94" s="96"/>
      <c r="AW94" s="284"/>
      <c r="AX94" s="1">
        <v>4</v>
      </c>
      <c r="AY94">
        <f t="shared" si="271"/>
        <v>0</v>
      </c>
      <c r="AZ94" s="37">
        <f t="shared" si="272"/>
        <v>2</v>
      </c>
      <c r="BA94" s="30">
        <f t="shared" si="273"/>
        <v>12</v>
      </c>
      <c r="BB94" s="96"/>
      <c r="BC94" s="284"/>
      <c r="BD94" s="1">
        <v>4</v>
      </c>
      <c r="BE94">
        <f t="shared" si="287"/>
        <v>0</v>
      </c>
      <c r="BF94" s="37">
        <f t="shared" si="275"/>
        <v>2</v>
      </c>
      <c r="BG94" s="30">
        <f t="shared" si="276"/>
        <v>12</v>
      </c>
      <c r="BH94" s="96"/>
      <c r="BI94" s="287"/>
      <c r="BJ94" s="171"/>
      <c r="BK94" s="294"/>
      <c r="BL94" s="1">
        <v>4</v>
      </c>
      <c r="BM94">
        <f t="shared" si="277"/>
        <v>0</v>
      </c>
      <c r="BN94" s="37">
        <f t="shared" si="278"/>
        <v>2</v>
      </c>
      <c r="BO94" s="30">
        <f t="shared" si="279"/>
        <v>12</v>
      </c>
      <c r="BP94" s="96"/>
      <c r="BQ94" s="284"/>
      <c r="BR94" s="1">
        <v>4</v>
      </c>
      <c r="BS94">
        <f t="shared" si="280"/>
        <v>0</v>
      </c>
      <c r="BT94" s="37">
        <f t="shared" si="281"/>
        <v>2</v>
      </c>
      <c r="BU94" s="30">
        <f t="shared" si="282"/>
        <v>12</v>
      </c>
      <c r="BV94" s="96"/>
      <c r="BW94" s="284"/>
      <c r="BX94" s="1">
        <v>4</v>
      </c>
      <c r="BY94">
        <f t="shared" si="283"/>
        <v>0</v>
      </c>
      <c r="BZ94" s="37">
        <f t="shared" si="284"/>
        <v>2</v>
      </c>
      <c r="CA94" s="30">
        <f t="shared" si="285"/>
        <v>12</v>
      </c>
      <c r="CB94" s="96"/>
      <c r="CC94" s="287"/>
    </row>
    <row r="95" spans="1:88" x14ac:dyDescent="0.45">
      <c r="A95" s="294"/>
      <c r="B95" s="1">
        <v>5</v>
      </c>
      <c r="C95">
        <f t="shared" si="286"/>
        <v>0</v>
      </c>
      <c r="D95" s="37">
        <f t="shared" si="252"/>
        <v>2</v>
      </c>
      <c r="E95" s="30">
        <f t="shared" si="253"/>
        <v>6</v>
      </c>
      <c r="F95" s="150"/>
      <c r="G95" s="287"/>
      <c r="H95" s="174"/>
      <c r="I95" s="294"/>
      <c r="J95" s="1">
        <v>5</v>
      </c>
      <c r="K95">
        <f t="shared" si="254"/>
        <v>0</v>
      </c>
      <c r="L95" s="37">
        <f t="shared" si="255"/>
        <v>2</v>
      </c>
      <c r="M95" s="30">
        <f t="shared" si="256"/>
        <v>6</v>
      </c>
      <c r="N95" s="150"/>
      <c r="O95" s="284"/>
      <c r="P95" s="1">
        <v>5</v>
      </c>
      <c r="Q95">
        <f t="shared" si="257"/>
        <v>0</v>
      </c>
      <c r="R95" s="37">
        <f t="shared" si="258"/>
        <v>2</v>
      </c>
      <c r="S95" s="30">
        <f t="shared" si="259"/>
        <v>6</v>
      </c>
      <c r="T95" s="158"/>
      <c r="U95" s="287"/>
      <c r="V95" s="174"/>
      <c r="W95" s="294"/>
      <c r="X95" s="1">
        <v>5</v>
      </c>
      <c r="Y95">
        <f t="shared" si="260"/>
        <v>0</v>
      </c>
      <c r="Z95" s="37">
        <f t="shared" si="261"/>
        <v>2</v>
      </c>
      <c r="AA95" s="30">
        <f t="shared" si="262"/>
        <v>6</v>
      </c>
      <c r="AB95" s="96">
        <v>8</v>
      </c>
      <c r="AC95" s="284"/>
      <c r="AD95" s="1">
        <v>5</v>
      </c>
      <c r="AE95">
        <f t="shared" si="263"/>
        <v>0</v>
      </c>
      <c r="AF95" s="37">
        <f t="shared" si="264"/>
        <v>2</v>
      </c>
      <c r="AG95" s="30">
        <f t="shared" si="265"/>
        <v>6</v>
      </c>
      <c r="AH95" s="96"/>
      <c r="AI95" s="284"/>
      <c r="AJ95" s="1">
        <v>5</v>
      </c>
      <c r="AK95">
        <f t="shared" si="251"/>
        <v>0</v>
      </c>
      <c r="AL95" s="37">
        <f t="shared" si="266"/>
        <v>2</v>
      </c>
      <c r="AM95" s="30">
        <f t="shared" si="267"/>
        <v>6</v>
      </c>
      <c r="AN95" s="96"/>
      <c r="AO95" s="287"/>
      <c r="AP95" s="174"/>
      <c r="AQ95" s="294"/>
      <c r="AR95" s="1">
        <v>5</v>
      </c>
      <c r="AS95">
        <f t="shared" si="268"/>
        <v>0</v>
      </c>
      <c r="AT95" s="37">
        <f t="shared" si="269"/>
        <v>2</v>
      </c>
      <c r="AU95" s="30">
        <f t="shared" si="270"/>
        <v>6</v>
      </c>
      <c r="AV95" s="96"/>
      <c r="AW95" s="284"/>
      <c r="AX95" s="1">
        <v>5</v>
      </c>
      <c r="AY95">
        <f t="shared" si="271"/>
        <v>0</v>
      </c>
      <c r="AZ95" s="37">
        <f t="shared" si="272"/>
        <v>2</v>
      </c>
      <c r="BA95" s="30">
        <f t="shared" si="273"/>
        <v>6</v>
      </c>
      <c r="BB95" s="96"/>
      <c r="BC95" s="284"/>
      <c r="BD95" s="1">
        <v>5</v>
      </c>
      <c r="BE95">
        <f t="shared" si="287"/>
        <v>0</v>
      </c>
      <c r="BF95" s="37">
        <f t="shared" si="275"/>
        <v>2</v>
      </c>
      <c r="BG95" s="30">
        <f t="shared" si="276"/>
        <v>6</v>
      </c>
      <c r="BH95" s="96"/>
      <c r="BI95" s="287"/>
      <c r="BJ95" s="171"/>
      <c r="BK95" s="294"/>
      <c r="BL95" s="1">
        <v>5</v>
      </c>
      <c r="BM95">
        <f t="shared" si="277"/>
        <v>0</v>
      </c>
      <c r="BN95" s="37">
        <f t="shared" si="278"/>
        <v>2</v>
      </c>
      <c r="BO95" s="30">
        <f t="shared" si="279"/>
        <v>6</v>
      </c>
      <c r="BP95" s="96"/>
      <c r="BQ95" s="284"/>
      <c r="BR95" s="1">
        <v>5</v>
      </c>
      <c r="BS95">
        <f t="shared" si="280"/>
        <v>0</v>
      </c>
      <c r="BT95" s="37">
        <f t="shared" si="281"/>
        <v>2</v>
      </c>
      <c r="BU95" s="30">
        <f t="shared" si="282"/>
        <v>6</v>
      </c>
      <c r="BV95" s="96"/>
      <c r="BW95" s="284"/>
      <c r="BX95" s="1">
        <v>5</v>
      </c>
      <c r="BY95">
        <f t="shared" si="283"/>
        <v>0</v>
      </c>
      <c r="BZ95" s="37">
        <f t="shared" si="284"/>
        <v>2</v>
      </c>
      <c r="CA95" s="30">
        <f t="shared" si="285"/>
        <v>6</v>
      </c>
      <c r="CB95" s="96"/>
      <c r="CC95" s="287"/>
    </row>
    <row r="96" spans="1:88" x14ac:dyDescent="0.45">
      <c r="A96" s="294"/>
      <c r="B96" s="1">
        <v>6</v>
      </c>
      <c r="C96">
        <f t="shared" si="286"/>
        <v>0</v>
      </c>
      <c r="D96" s="37">
        <f t="shared" si="252"/>
        <v>2</v>
      </c>
      <c r="E96" s="30">
        <f t="shared" si="253"/>
        <v>2</v>
      </c>
      <c r="F96" s="150"/>
      <c r="G96" s="287"/>
      <c r="H96" s="174"/>
      <c r="I96" s="294"/>
      <c r="J96" s="1">
        <v>6</v>
      </c>
      <c r="K96">
        <f t="shared" si="254"/>
        <v>0</v>
      </c>
      <c r="L96" s="37">
        <f t="shared" si="255"/>
        <v>2</v>
      </c>
      <c r="M96" s="30">
        <f t="shared" si="256"/>
        <v>2</v>
      </c>
      <c r="N96" s="150"/>
      <c r="O96" s="284"/>
      <c r="P96" s="1">
        <v>6</v>
      </c>
      <c r="Q96">
        <f t="shared" si="257"/>
        <v>0</v>
      </c>
      <c r="R96" s="37">
        <f t="shared" si="258"/>
        <v>2</v>
      </c>
      <c r="S96" s="30">
        <f t="shared" si="259"/>
        <v>2</v>
      </c>
      <c r="T96" s="158"/>
      <c r="U96" s="287"/>
      <c r="V96" s="174"/>
      <c r="W96" s="294"/>
      <c r="X96" s="1">
        <v>6</v>
      </c>
      <c r="Y96">
        <f t="shared" si="260"/>
        <v>0</v>
      </c>
      <c r="Z96" s="37">
        <f t="shared" si="261"/>
        <v>2</v>
      </c>
      <c r="AA96" s="30">
        <f t="shared" si="262"/>
        <v>2</v>
      </c>
      <c r="AB96" s="96"/>
      <c r="AC96" s="284"/>
      <c r="AD96" s="1">
        <v>6</v>
      </c>
      <c r="AE96">
        <f t="shared" si="263"/>
        <v>0</v>
      </c>
      <c r="AF96" s="37">
        <f t="shared" si="264"/>
        <v>2</v>
      </c>
      <c r="AG96" s="30">
        <f t="shared" si="265"/>
        <v>2</v>
      </c>
      <c r="AH96" s="96"/>
      <c r="AI96" s="284"/>
      <c r="AJ96" s="1">
        <v>6</v>
      </c>
      <c r="AK96">
        <f t="shared" si="251"/>
        <v>0</v>
      </c>
      <c r="AL96" s="37">
        <f t="shared" si="266"/>
        <v>2</v>
      </c>
      <c r="AM96" s="30">
        <f t="shared" si="267"/>
        <v>2</v>
      </c>
      <c r="AN96" s="96"/>
      <c r="AO96" s="287"/>
      <c r="AP96" s="174"/>
      <c r="AQ96" s="294"/>
      <c r="AR96" s="1">
        <v>6</v>
      </c>
      <c r="AS96">
        <f t="shared" si="268"/>
        <v>0</v>
      </c>
      <c r="AT96" s="37">
        <f t="shared" si="269"/>
        <v>2</v>
      </c>
      <c r="AU96" s="30">
        <f t="shared" si="270"/>
        <v>2</v>
      </c>
      <c r="AV96" s="96"/>
      <c r="AW96" s="284"/>
      <c r="AX96" s="1">
        <v>6</v>
      </c>
      <c r="AY96">
        <f t="shared" si="271"/>
        <v>0</v>
      </c>
      <c r="AZ96" s="37">
        <f t="shared" si="272"/>
        <v>2</v>
      </c>
      <c r="BA96" s="30">
        <f t="shared" si="273"/>
        <v>2</v>
      </c>
      <c r="BB96" s="96"/>
      <c r="BC96" s="284"/>
      <c r="BD96" s="1">
        <v>6</v>
      </c>
      <c r="BE96">
        <f t="shared" si="287"/>
        <v>0</v>
      </c>
      <c r="BF96" s="37">
        <f t="shared" si="275"/>
        <v>2</v>
      </c>
      <c r="BG96" s="30">
        <f t="shared" si="276"/>
        <v>2</v>
      </c>
      <c r="BH96" s="96"/>
      <c r="BI96" s="287"/>
      <c r="BJ96" s="171"/>
      <c r="BK96" s="294"/>
      <c r="BL96" s="1">
        <v>6</v>
      </c>
      <c r="BM96">
        <f t="shared" si="277"/>
        <v>0</v>
      </c>
      <c r="BN96" s="37">
        <f t="shared" si="278"/>
        <v>2</v>
      </c>
      <c r="BO96" s="30">
        <f t="shared" si="279"/>
        <v>2</v>
      </c>
      <c r="BP96" s="96"/>
      <c r="BQ96" s="284"/>
      <c r="BR96" s="1">
        <v>6</v>
      </c>
      <c r="BS96">
        <f t="shared" si="280"/>
        <v>0</v>
      </c>
      <c r="BT96" s="37">
        <f t="shared" si="281"/>
        <v>2</v>
      </c>
      <c r="BU96" s="30">
        <f t="shared" si="282"/>
        <v>2</v>
      </c>
      <c r="BV96" s="96"/>
      <c r="BW96" s="284"/>
      <c r="BX96" s="1">
        <v>6</v>
      </c>
      <c r="BY96">
        <f t="shared" si="283"/>
        <v>0</v>
      </c>
      <c r="BZ96" s="37">
        <f t="shared" si="284"/>
        <v>2</v>
      </c>
      <c r="CA96" s="30">
        <f t="shared" si="285"/>
        <v>2</v>
      </c>
      <c r="CB96" s="96"/>
      <c r="CC96" s="287"/>
    </row>
    <row r="97" spans="1:81" x14ac:dyDescent="0.45">
      <c r="A97" s="294"/>
      <c r="B97" s="1">
        <v>7</v>
      </c>
      <c r="C97">
        <f t="shared" si="286"/>
        <v>0</v>
      </c>
      <c r="D97" s="37">
        <f t="shared" si="252"/>
        <v>2</v>
      </c>
      <c r="E97" s="30">
        <f t="shared" si="253"/>
        <v>15</v>
      </c>
      <c r="F97" s="150"/>
      <c r="G97" s="287"/>
      <c r="H97" s="174"/>
      <c r="I97" s="294"/>
      <c r="J97" s="1">
        <v>7</v>
      </c>
      <c r="K97">
        <f t="shared" si="254"/>
        <v>0</v>
      </c>
      <c r="L97" s="37">
        <f t="shared" si="255"/>
        <v>2</v>
      </c>
      <c r="M97" s="30">
        <f t="shared" si="256"/>
        <v>15</v>
      </c>
      <c r="N97" s="150"/>
      <c r="O97" s="284"/>
      <c r="P97" s="1">
        <v>7</v>
      </c>
      <c r="Q97">
        <f t="shared" si="257"/>
        <v>0</v>
      </c>
      <c r="R97" s="37">
        <f t="shared" si="258"/>
        <v>2</v>
      </c>
      <c r="S97" s="30">
        <f t="shared" si="259"/>
        <v>15</v>
      </c>
      <c r="T97" s="158"/>
      <c r="U97" s="287"/>
      <c r="V97" s="174"/>
      <c r="W97" s="294"/>
      <c r="X97" s="1">
        <v>7</v>
      </c>
      <c r="Y97">
        <f t="shared" si="260"/>
        <v>0</v>
      </c>
      <c r="Z97" s="37">
        <f t="shared" si="261"/>
        <v>2</v>
      </c>
      <c r="AA97" s="30">
        <f t="shared" si="262"/>
        <v>15</v>
      </c>
      <c r="AB97" s="96"/>
      <c r="AC97" s="284"/>
      <c r="AD97" s="1">
        <v>7</v>
      </c>
      <c r="AE97">
        <f t="shared" si="263"/>
        <v>0</v>
      </c>
      <c r="AF97" s="37">
        <f t="shared" si="264"/>
        <v>2</v>
      </c>
      <c r="AG97" s="30">
        <f t="shared" si="265"/>
        <v>15</v>
      </c>
      <c r="AH97" s="96"/>
      <c r="AI97" s="284"/>
      <c r="AJ97" s="1">
        <v>7</v>
      </c>
      <c r="AK97">
        <f t="shared" si="251"/>
        <v>0</v>
      </c>
      <c r="AL97" s="37">
        <f t="shared" si="266"/>
        <v>2</v>
      </c>
      <c r="AM97" s="30">
        <f t="shared" si="267"/>
        <v>15</v>
      </c>
      <c r="AN97" s="96"/>
      <c r="AO97" s="287"/>
      <c r="AP97" s="174"/>
      <c r="AQ97" s="294"/>
      <c r="AR97" s="1">
        <v>7</v>
      </c>
      <c r="AS97">
        <f t="shared" si="268"/>
        <v>0</v>
      </c>
      <c r="AT97" s="37">
        <f t="shared" si="269"/>
        <v>2</v>
      </c>
      <c r="AU97" s="30">
        <f t="shared" si="270"/>
        <v>15</v>
      </c>
      <c r="AV97" s="96"/>
      <c r="AW97" s="284"/>
      <c r="AX97" s="1">
        <v>7</v>
      </c>
      <c r="AY97">
        <f>IF(AV97="", AS97,IF(AV97=MIN(AV$91:AV$98),AS97+1,0))</f>
        <v>0</v>
      </c>
      <c r="AZ97" s="37">
        <f t="shared" si="272"/>
        <v>2</v>
      </c>
      <c r="BA97" s="30">
        <f t="shared" si="273"/>
        <v>15</v>
      </c>
      <c r="BB97" s="96"/>
      <c r="BC97" s="284"/>
      <c r="BD97" s="1">
        <v>7</v>
      </c>
      <c r="BE97">
        <f>IF(BB97="", AY97,IF(BB97=MIN(BB$91:BB$98),AY97+1,0))</f>
        <v>0</v>
      </c>
      <c r="BF97" s="37">
        <f t="shared" si="275"/>
        <v>2</v>
      </c>
      <c r="BG97" s="30">
        <f t="shared" si="276"/>
        <v>15</v>
      </c>
      <c r="BH97" s="96"/>
      <c r="BI97" s="287"/>
      <c r="BJ97" s="171"/>
      <c r="BK97" s="294"/>
      <c r="BL97" s="1">
        <v>7</v>
      </c>
      <c r="BM97">
        <f t="shared" si="277"/>
        <v>0</v>
      </c>
      <c r="BN97" s="37">
        <f t="shared" si="278"/>
        <v>2</v>
      </c>
      <c r="BO97" s="30">
        <f t="shared" si="279"/>
        <v>15</v>
      </c>
      <c r="BP97" s="96"/>
      <c r="BQ97" s="284"/>
      <c r="BR97" s="1">
        <v>7</v>
      </c>
      <c r="BS97">
        <f>IF(BP97="", BM97,IF(BP97=MIN(BP$91:BP$98),BM97+1,0))</f>
        <v>0</v>
      </c>
      <c r="BT97" s="37">
        <f t="shared" si="281"/>
        <v>2</v>
      </c>
      <c r="BU97" s="30">
        <f t="shared" si="282"/>
        <v>15</v>
      </c>
      <c r="BV97" s="96"/>
      <c r="BW97" s="284"/>
      <c r="BX97" s="1">
        <v>7</v>
      </c>
      <c r="BY97">
        <f>IF(BV97="", BS97,IF(BV97=MIN(BV$91:BV$98),BS97+1,0))</f>
        <v>0</v>
      </c>
      <c r="BZ97" s="37">
        <f t="shared" si="284"/>
        <v>2</v>
      </c>
      <c r="CA97" s="30">
        <f t="shared" si="285"/>
        <v>15</v>
      </c>
      <c r="CB97" s="96"/>
      <c r="CC97" s="287"/>
    </row>
    <row r="98" spans="1:81" s="181" customFormat="1" ht="21.5" thickBot="1" x14ac:dyDescent="0.5">
      <c r="A98" s="295"/>
      <c r="B98" s="190">
        <v>8</v>
      </c>
      <c r="C98" s="191">
        <f t="shared" si="286"/>
        <v>0</v>
      </c>
      <c r="D98" s="37">
        <f t="shared" si="252"/>
        <v>2</v>
      </c>
      <c r="E98" s="30">
        <f t="shared" si="253"/>
        <v>11</v>
      </c>
      <c r="F98" s="192"/>
      <c r="G98" s="287"/>
      <c r="H98" s="184"/>
      <c r="I98" s="295"/>
      <c r="J98" s="190">
        <v>8</v>
      </c>
      <c r="K98" s="191">
        <f t="shared" si="254"/>
        <v>0</v>
      </c>
      <c r="L98" s="37">
        <f t="shared" si="255"/>
        <v>2</v>
      </c>
      <c r="M98" s="30">
        <f t="shared" si="256"/>
        <v>11</v>
      </c>
      <c r="N98" s="192"/>
      <c r="O98" s="288"/>
      <c r="P98" s="190">
        <v>8</v>
      </c>
      <c r="Q98" s="181">
        <f t="shared" si="257"/>
        <v>0</v>
      </c>
      <c r="R98" s="37">
        <f t="shared" si="258"/>
        <v>2</v>
      </c>
      <c r="S98" s="30">
        <f t="shared" si="259"/>
        <v>11</v>
      </c>
      <c r="T98" s="193"/>
      <c r="U98" s="287"/>
      <c r="V98" s="184"/>
      <c r="W98" s="295"/>
      <c r="X98" s="190">
        <v>8</v>
      </c>
      <c r="Y98" s="191">
        <f t="shared" si="260"/>
        <v>0</v>
      </c>
      <c r="Z98" s="37">
        <f t="shared" si="261"/>
        <v>2</v>
      </c>
      <c r="AA98" s="30">
        <f t="shared" si="262"/>
        <v>11</v>
      </c>
      <c r="AB98" s="194">
        <v>7</v>
      </c>
      <c r="AC98" s="288"/>
      <c r="AD98" s="190">
        <v>8</v>
      </c>
      <c r="AE98" s="181">
        <f t="shared" si="263"/>
        <v>1</v>
      </c>
      <c r="AF98" s="37">
        <f t="shared" si="264"/>
        <v>4</v>
      </c>
      <c r="AG98" s="30">
        <f t="shared" si="265"/>
        <v>13</v>
      </c>
      <c r="AH98" s="194"/>
      <c r="AI98" s="288"/>
      <c r="AJ98" s="190">
        <v>8</v>
      </c>
      <c r="AK98" s="181">
        <f t="shared" si="251"/>
        <v>1</v>
      </c>
      <c r="AL98" s="37">
        <f t="shared" si="266"/>
        <v>4</v>
      </c>
      <c r="AM98" s="30">
        <f t="shared" si="267"/>
        <v>13</v>
      </c>
      <c r="AN98" s="194"/>
      <c r="AO98" s="287"/>
      <c r="AP98" s="184"/>
      <c r="AQ98" s="295"/>
      <c r="AR98" s="190">
        <v>8</v>
      </c>
      <c r="AS98" s="181">
        <f t="shared" si="268"/>
        <v>1</v>
      </c>
      <c r="AT98" s="37">
        <f t="shared" si="269"/>
        <v>4</v>
      </c>
      <c r="AU98" s="30">
        <f t="shared" si="270"/>
        <v>13</v>
      </c>
      <c r="AV98" s="194"/>
      <c r="AW98" s="288"/>
      <c r="AX98" s="190">
        <v>8</v>
      </c>
      <c r="AY98" s="181">
        <f t="shared" si="271"/>
        <v>1</v>
      </c>
      <c r="AZ98" s="37">
        <f t="shared" si="272"/>
        <v>4</v>
      </c>
      <c r="BA98" s="30">
        <f t="shared" si="273"/>
        <v>13</v>
      </c>
      <c r="BB98" s="194"/>
      <c r="BC98" s="288"/>
      <c r="BD98" s="190">
        <v>8</v>
      </c>
      <c r="BE98" s="181">
        <f t="shared" ref="BE98" si="288">IF(BB98="", AY98,IF(BB98=MIN(BB$91:BB$98),AY98+1,0))</f>
        <v>1</v>
      </c>
      <c r="BF98" s="37">
        <f t="shared" si="275"/>
        <v>4</v>
      </c>
      <c r="BG98" s="30">
        <f t="shared" si="276"/>
        <v>13</v>
      </c>
      <c r="BH98" s="194"/>
      <c r="BI98" s="287"/>
      <c r="BJ98" s="187"/>
      <c r="BK98" s="295"/>
      <c r="BL98" s="190">
        <v>8</v>
      </c>
      <c r="BM98" s="181">
        <f t="shared" si="277"/>
        <v>1</v>
      </c>
      <c r="BN98" s="37">
        <f t="shared" si="278"/>
        <v>4</v>
      </c>
      <c r="BO98" s="30">
        <f t="shared" si="279"/>
        <v>13</v>
      </c>
      <c r="BP98" s="194"/>
      <c r="BQ98" s="288"/>
      <c r="BR98" s="190">
        <v>8</v>
      </c>
      <c r="BS98" s="181">
        <f t="shared" si="280"/>
        <v>1</v>
      </c>
      <c r="BT98" s="37">
        <f t="shared" si="281"/>
        <v>4</v>
      </c>
      <c r="BU98" s="30">
        <f t="shared" si="282"/>
        <v>13</v>
      </c>
      <c r="BV98" s="194"/>
      <c r="BW98" s="288"/>
      <c r="BX98" s="190">
        <v>8</v>
      </c>
      <c r="BY98" s="181">
        <f t="shared" si="283"/>
        <v>1</v>
      </c>
      <c r="BZ98" s="37">
        <f t="shared" si="284"/>
        <v>4</v>
      </c>
      <c r="CA98" s="30">
        <f t="shared" si="285"/>
        <v>13</v>
      </c>
      <c r="CB98" s="194"/>
      <c r="CC98" s="287"/>
    </row>
    <row r="99" spans="1:81" x14ac:dyDescent="0.45">
      <c r="A99" s="272"/>
      <c r="B99" s="272"/>
      <c r="C99" s="272"/>
      <c r="D99" s="272"/>
      <c r="E99" s="272"/>
      <c r="K99" s="83"/>
      <c r="P99" s="125"/>
      <c r="Q99" s="135"/>
      <c r="R99" s="125"/>
      <c r="S99" s="125"/>
      <c r="T99" s="162"/>
    </row>
    <row r="102" spans="1:81" x14ac:dyDescent="0.45">
      <c r="A102" t="s">
        <v>163</v>
      </c>
    </row>
  </sheetData>
  <mergeCells count="143">
    <mergeCell ref="A16:F16"/>
    <mergeCell ref="I16:T16"/>
    <mergeCell ref="W16:AN16"/>
    <mergeCell ref="AQ16:BH16"/>
    <mergeCell ref="BK16:CB16"/>
    <mergeCell ref="B18:E18"/>
    <mergeCell ref="BI19:BI28"/>
    <mergeCell ref="BK19:BK28"/>
    <mergeCell ref="BQ19:BQ28"/>
    <mergeCell ref="BW19:BW28"/>
    <mergeCell ref="CC19:CC28"/>
    <mergeCell ref="A29:A38"/>
    <mergeCell ref="G29:G38"/>
    <mergeCell ref="I29:I38"/>
    <mergeCell ref="O29:O38"/>
    <mergeCell ref="U29:U38"/>
    <mergeCell ref="AC19:AC28"/>
    <mergeCell ref="AI19:AI28"/>
    <mergeCell ref="AO19:AO28"/>
    <mergeCell ref="AQ19:AQ28"/>
    <mergeCell ref="AW19:AW28"/>
    <mergeCell ref="BC19:BC28"/>
    <mergeCell ref="A19:A28"/>
    <mergeCell ref="G19:G28"/>
    <mergeCell ref="I19:I28"/>
    <mergeCell ref="O19:O28"/>
    <mergeCell ref="U19:U28"/>
    <mergeCell ref="W19:W28"/>
    <mergeCell ref="BC29:BC38"/>
    <mergeCell ref="BI29:BI38"/>
    <mergeCell ref="BK29:BK38"/>
    <mergeCell ref="BQ29:BQ38"/>
    <mergeCell ref="BW29:BW38"/>
    <mergeCell ref="CC29:CC38"/>
    <mergeCell ref="W29:W38"/>
    <mergeCell ref="AC29:AC38"/>
    <mergeCell ref="AI29:AI38"/>
    <mergeCell ref="AO29:AO38"/>
    <mergeCell ref="AQ29:AQ38"/>
    <mergeCell ref="AW29:AW38"/>
    <mergeCell ref="BI39:BI48"/>
    <mergeCell ref="BK39:BK48"/>
    <mergeCell ref="BQ39:BQ48"/>
    <mergeCell ref="BW39:BW48"/>
    <mergeCell ref="CC39:CC48"/>
    <mergeCell ref="A49:A58"/>
    <mergeCell ref="G49:G58"/>
    <mergeCell ref="I49:I58"/>
    <mergeCell ref="O49:O58"/>
    <mergeCell ref="U49:U58"/>
    <mergeCell ref="AC39:AC48"/>
    <mergeCell ref="AI39:AI48"/>
    <mergeCell ref="AO39:AO48"/>
    <mergeCell ref="AQ39:AQ48"/>
    <mergeCell ref="AW39:AW48"/>
    <mergeCell ref="BC39:BC48"/>
    <mergeCell ref="A39:A48"/>
    <mergeCell ref="G39:G48"/>
    <mergeCell ref="I39:I48"/>
    <mergeCell ref="O39:O48"/>
    <mergeCell ref="U39:U48"/>
    <mergeCell ref="W39:W48"/>
    <mergeCell ref="BC49:BC58"/>
    <mergeCell ref="BI49:BI58"/>
    <mergeCell ref="BK49:BK58"/>
    <mergeCell ref="BQ49:BQ58"/>
    <mergeCell ref="BW49:BW58"/>
    <mergeCell ref="CC49:CC58"/>
    <mergeCell ref="W49:W58"/>
    <mergeCell ref="AC49:AC58"/>
    <mergeCell ref="AI49:AI58"/>
    <mergeCell ref="AO49:AO58"/>
    <mergeCell ref="AQ49:AQ58"/>
    <mergeCell ref="AW49:AW58"/>
    <mergeCell ref="BI59:BI68"/>
    <mergeCell ref="BK59:BK68"/>
    <mergeCell ref="BQ59:BQ68"/>
    <mergeCell ref="BW59:BW68"/>
    <mergeCell ref="CC59:CC68"/>
    <mergeCell ref="AW59:AW68"/>
    <mergeCell ref="BC59:BC68"/>
    <mergeCell ref="A69:A78"/>
    <mergeCell ref="G69:G78"/>
    <mergeCell ref="I69:I78"/>
    <mergeCell ref="O69:O78"/>
    <mergeCell ref="U69:U78"/>
    <mergeCell ref="AC59:AC68"/>
    <mergeCell ref="AI59:AI68"/>
    <mergeCell ref="AO59:AO68"/>
    <mergeCell ref="AQ59:AQ68"/>
    <mergeCell ref="A59:A68"/>
    <mergeCell ref="G59:G68"/>
    <mergeCell ref="I59:I68"/>
    <mergeCell ref="O59:O68"/>
    <mergeCell ref="U59:U68"/>
    <mergeCell ref="W59:W68"/>
    <mergeCell ref="BC69:BC78"/>
    <mergeCell ref="BI69:BI78"/>
    <mergeCell ref="BK69:BK78"/>
    <mergeCell ref="BQ69:BQ78"/>
    <mergeCell ref="BW69:BW78"/>
    <mergeCell ref="CC69:CC78"/>
    <mergeCell ref="W69:W78"/>
    <mergeCell ref="AC69:AC78"/>
    <mergeCell ref="AI69:AI78"/>
    <mergeCell ref="AO69:AO78"/>
    <mergeCell ref="AQ69:AQ78"/>
    <mergeCell ref="AW69:AW78"/>
    <mergeCell ref="BI79:BI88"/>
    <mergeCell ref="BK79:BK88"/>
    <mergeCell ref="BQ79:BQ88"/>
    <mergeCell ref="BW79:BW88"/>
    <mergeCell ref="CC79:CC88"/>
    <mergeCell ref="A89:A98"/>
    <mergeCell ref="G89:G98"/>
    <mergeCell ref="I89:I98"/>
    <mergeCell ref="O89:O98"/>
    <mergeCell ref="U89:U98"/>
    <mergeCell ref="AC79:AC88"/>
    <mergeCell ref="AI79:AI88"/>
    <mergeCell ref="AO79:AO88"/>
    <mergeCell ref="AQ79:AQ88"/>
    <mergeCell ref="AW79:AW88"/>
    <mergeCell ref="BC79:BC88"/>
    <mergeCell ref="A79:A88"/>
    <mergeCell ref="G79:G88"/>
    <mergeCell ref="I79:I88"/>
    <mergeCell ref="O79:O88"/>
    <mergeCell ref="U79:U88"/>
    <mergeCell ref="W79:W88"/>
    <mergeCell ref="A99:E99"/>
    <mergeCell ref="BC89:BC98"/>
    <mergeCell ref="BI89:BI98"/>
    <mergeCell ref="BK89:BK98"/>
    <mergeCell ref="BQ89:BQ98"/>
    <mergeCell ref="BW89:BW98"/>
    <mergeCell ref="CC89:CC98"/>
    <mergeCell ref="W89:W98"/>
    <mergeCell ref="AC89:AC98"/>
    <mergeCell ref="AI89:AI98"/>
    <mergeCell ref="AO89:AO98"/>
    <mergeCell ref="AQ89:AQ98"/>
    <mergeCell ref="AW89:AW98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D5F5-4153-4E75-80B9-C13C2295B34E}">
  <dimension ref="A1:EX102"/>
  <sheetViews>
    <sheetView tabSelected="1" view="pageBreakPreview" topLeftCell="A63" zoomScaleNormal="55" zoomScaleSheetLayoutView="100" workbookViewId="0">
      <selection activeCell="C88" sqref="C88"/>
    </sheetView>
  </sheetViews>
  <sheetFormatPr defaultRowHeight="21" x14ac:dyDescent="0.45"/>
  <cols>
    <col min="2" max="2" width="9" customWidth="1"/>
    <col min="3" max="3" width="9.33203125" bestFit="1" customWidth="1"/>
    <col min="4" max="4" width="13.5" customWidth="1"/>
    <col min="5" max="5" width="12.5" customWidth="1"/>
    <col min="6" max="6" width="12.33203125" customWidth="1"/>
    <col min="9" max="9" width="11.58203125" bestFit="1" customWidth="1"/>
    <col min="10" max="10" width="9" customWidth="1"/>
    <col min="11" max="11" width="9.33203125" customWidth="1"/>
    <col min="12" max="12" width="10.83203125" customWidth="1"/>
    <col min="13" max="13" width="9.75" customWidth="1"/>
    <col min="14" max="14" width="15.25" customWidth="1"/>
    <col min="15" max="15" width="9" customWidth="1"/>
    <col min="16" max="16" width="8.83203125" customWidth="1"/>
    <col min="18" max="18" width="10.25" customWidth="1"/>
    <col min="20" max="20" width="12.08203125" style="138" customWidth="1"/>
    <col min="25" max="25" width="9" customWidth="1"/>
    <col min="32" max="32" width="10.08203125" customWidth="1"/>
    <col min="46" max="46" width="9.58203125" customWidth="1"/>
    <col min="62" max="62" width="9" style="138"/>
  </cols>
  <sheetData>
    <row r="1" spans="1:153" x14ac:dyDescent="0.45">
      <c r="A1" t="s">
        <v>181</v>
      </c>
      <c r="D1">
        <v>5</v>
      </c>
      <c r="G1">
        <f>D1</f>
        <v>5</v>
      </c>
    </row>
    <row r="2" spans="1:153" x14ac:dyDescent="0.45">
      <c r="A2" t="s">
        <v>184</v>
      </c>
      <c r="E2" s="199" t="s">
        <v>182</v>
      </c>
      <c r="G2" s="5">
        <f>2^G1</f>
        <v>32</v>
      </c>
      <c r="H2" s="5"/>
      <c r="T2" s="154"/>
      <c r="AA2" s="6"/>
      <c r="AG2" s="6"/>
      <c r="AM2" s="6"/>
    </row>
    <row r="3" spans="1:153" x14ac:dyDescent="0.45">
      <c r="A3" s="6" t="s">
        <v>185</v>
      </c>
      <c r="B3" s="6"/>
      <c r="C3" s="6">
        <v>4</v>
      </c>
      <c r="D3" s="6" t="s">
        <v>183</v>
      </c>
      <c r="E3">
        <f>1/C3</f>
        <v>0.25</v>
      </c>
      <c r="F3" s="5">
        <f>G2*E3</f>
        <v>8</v>
      </c>
      <c r="G3" s="5">
        <f>ROUND(F3,0)</f>
        <v>8</v>
      </c>
      <c r="I3">
        <f>1/(G2/8)*G2</f>
        <v>8</v>
      </c>
    </row>
    <row r="4" spans="1:153" x14ac:dyDescent="0.45">
      <c r="A4" s="6" t="s">
        <v>173</v>
      </c>
      <c r="B4" s="6"/>
      <c r="C4" s="6"/>
      <c r="D4" s="6"/>
      <c r="E4" s="6"/>
      <c r="F4" s="6"/>
      <c r="G4" s="6"/>
      <c r="H4" s="6"/>
    </row>
    <row r="5" spans="1:153" x14ac:dyDescent="0.45">
      <c r="B5" s="9"/>
      <c r="C5" s="9" t="s">
        <v>24</v>
      </c>
      <c r="D5" s="10"/>
      <c r="E5" s="10" t="s">
        <v>3</v>
      </c>
      <c r="F5" s="11" t="s">
        <v>28</v>
      </c>
      <c r="G5" s="33"/>
      <c r="H5" s="172"/>
      <c r="K5" s="9"/>
      <c r="L5" s="20" t="s">
        <v>26</v>
      </c>
      <c r="M5" s="21"/>
      <c r="N5" s="10" t="s">
        <v>27</v>
      </c>
      <c r="O5" s="24" t="s">
        <v>6</v>
      </c>
    </row>
    <row r="6" spans="1:153" x14ac:dyDescent="0.45">
      <c r="B6" s="12" t="s">
        <v>9</v>
      </c>
      <c r="C6" s="7" t="s">
        <v>33</v>
      </c>
      <c r="D6" s="7"/>
      <c r="E6" s="7" t="s">
        <v>2</v>
      </c>
      <c r="F6" s="13">
        <f>HEX2DEC(E6)</f>
        <v>975202823</v>
      </c>
      <c r="G6" s="67">
        <f t="shared" ref="G6:G13" si="0">MOD(F6,$G$2)</f>
        <v>7</v>
      </c>
      <c r="H6" s="173"/>
      <c r="K6" s="12" t="s">
        <v>9</v>
      </c>
      <c r="L6" s="17" t="s">
        <v>107</v>
      </c>
      <c r="M6" s="7"/>
      <c r="N6" s="7">
        <v>1694767713</v>
      </c>
      <c r="O6" s="22">
        <f t="shared" ref="O6:O13" si="1">MOD(N6,$G$2)</f>
        <v>1</v>
      </c>
    </row>
    <row r="7" spans="1:153" x14ac:dyDescent="0.45">
      <c r="B7" s="12" t="s">
        <v>8</v>
      </c>
      <c r="C7" s="8" t="s">
        <v>34</v>
      </c>
      <c r="D7" s="8"/>
      <c r="E7" s="8" t="s">
        <v>1</v>
      </c>
      <c r="F7" s="13">
        <f t="shared" ref="F7:F13" si="2">HEX2DEC(E7)</f>
        <v>2369628931</v>
      </c>
      <c r="G7" s="67">
        <f t="shared" si="0"/>
        <v>3</v>
      </c>
      <c r="H7" s="173"/>
      <c r="K7" s="12" t="s">
        <v>8</v>
      </c>
      <c r="L7" s="18" t="s">
        <v>109</v>
      </c>
      <c r="M7" s="19"/>
      <c r="N7" s="19">
        <v>1694780381</v>
      </c>
      <c r="O7" s="23">
        <f t="shared" si="1"/>
        <v>29</v>
      </c>
    </row>
    <row r="8" spans="1:153" x14ac:dyDescent="0.45">
      <c r="B8" s="12" t="s">
        <v>7</v>
      </c>
      <c r="C8" s="8" t="s">
        <v>35</v>
      </c>
      <c r="D8" s="8"/>
      <c r="E8" s="8" t="s">
        <v>0</v>
      </c>
      <c r="F8" s="13">
        <f t="shared" si="2"/>
        <v>1411115022</v>
      </c>
      <c r="G8" s="67">
        <f t="shared" si="0"/>
        <v>14</v>
      </c>
      <c r="H8" s="173"/>
      <c r="K8" s="12" t="s">
        <v>7</v>
      </c>
      <c r="L8" s="17" t="s">
        <v>110</v>
      </c>
      <c r="M8" s="7"/>
      <c r="N8" s="7">
        <v>1694866776</v>
      </c>
      <c r="O8" s="22">
        <f t="shared" si="1"/>
        <v>24</v>
      </c>
    </row>
    <row r="9" spans="1:153" x14ac:dyDescent="0.45">
      <c r="B9" s="12" t="s">
        <v>19</v>
      </c>
      <c r="C9" s="8" t="s">
        <v>36</v>
      </c>
      <c r="D9" s="8"/>
      <c r="E9" s="8" t="s">
        <v>12</v>
      </c>
      <c r="F9" s="13">
        <f t="shared" si="2"/>
        <v>3808831754</v>
      </c>
      <c r="G9" s="67">
        <f t="shared" si="0"/>
        <v>10</v>
      </c>
      <c r="H9" s="173"/>
      <c r="K9" s="12" t="s">
        <v>19</v>
      </c>
      <c r="L9" s="17" t="s">
        <v>111</v>
      </c>
      <c r="M9" s="7"/>
      <c r="N9" s="7">
        <v>1694870435</v>
      </c>
      <c r="O9" s="22">
        <f t="shared" si="1"/>
        <v>3</v>
      </c>
    </row>
    <row r="10" spans="1:153" x14ac:dyDescent="0.45">
      <c r="B10" s="12" t="s">
        <v>20</v>
      </c>
      <c r="C10" s="8" t="s">
        <v>37</v>
      </c>
      <c r="D10" s="8"/>
      <c r="E10" s="8" t="s">
        <v>14</v>
      </c>
      <c r="F10" s="13">
        <f t="shared" si="2"/>
        <v>3864423956</v>
      </c>
      <c r="G10" s="67">
        <f t="shared" si="0"/>
        <v>20</v>
      </c>
      <c r="H10" s="173"/>
      <c r="K10" s="12" t="s">
        <v>20</v>
      </c>
      <c r="L10" s="17" t="s">
        <v>112</v>
      </c>
      <c r="M10" s="7"/>
      <c r="N10" s="7">
        <v>1694956842</v>
      </c>
      <c r="O10" s="22">
        <f t="shared" si="1"/>
        <v>10</v>
      </c>
    </row>
    <row r="11" spans="1:153" x14ac:dyDescent="0.45">
      <c r="B11" s="12" t="s">
        <v>21</v>
      </c>
      <c r="C11" s="8" t="s">
        <v>38</v>
      </c>
      <c r="D11" s="8"/>
      <c r="E11" s="8" t="s">
        <v>15</v>
      </c>
      <c r="F11" s="13">
        <f t="shared" si="2"/>
        <v>1363914512</v>
      </c>
      <c r="G11" s="67">
        <f t="shared" si="0"/>
        <v>16</v>
      </c>
      <c r="H11" s="173"/>
      <c r="K11" s="12" t="s">
        <v>21</v>
      </c>
      <c r="L11" s="17" t="s">
        <v>115</v>
      </c>
      <c r="M11" s="7"/>
      <c r="N11" s="7">
        <v>1695027046</v>
      </c>
      <c r="O11" s="22">
        <f t="shared" si="1"/>
        <v>6</v>
      </c>
    </row>
    <row r="12" spans="1:153" x14ac:dyDescent="0.45">
      <c r="B12" s="12" t="s">
        <v>22</v>
      </c>
      <c r="C12" s="8" t="s">
        <v>39</v>
      </c>
      <c r="D12" s="8"/>
      <c r="E12" s="8" t="s">
        <v>16</v>
      </c>
      <c r="F12" s="13">
        <f t="shared" si="2"/>
        <v>2288905245</v>
      </c>
      <c r="G12" s="67">
        <f t="shared" si="0"/>
        <v>29</v>
      </c>
      <c r="H12" s="173"/>
      <c r="K12" s="12" t="s">
        <v>22</v>
      </c>
      <c r="L12" s="17" t="s">
        <v>113</v>
      </c>
      <c r="M12" s="7"/>
      <c r="N12" s="7">
        <v>1695027404</v>
      </c>
      <c r="O12" s="22">
        <f t="shared" si="1"/>
        <v>12</v>
      </c>
    </row>
    <row r="13" spans="1:153" x14ac:dyDescent="0.45">
      <c r="B13" s="14" t="s">
        <v>23</v>
      </c>
      <c r="C13" s="15" t="s">
        <v>40</v>
      </c>
      <c r="D13" s="15"/>
      <c r="E13" s="15" t="s">
        <v>17</v>
      </c>
      <c r="F13" s="16">
        <f t="shared" si="2"/>
        <v>1064316185</v>
      </c>
      <c r="G13" s="68">
        <f t="shared" si="0"/>
        <v>25</v>
      </c>
      <c r="H13" s="173"/>
      <c r="K13" s="14" t="s">
        <v>23</v>
      </c>
      <c r="L13" s="17" t="s">
        <v>114</v>
      </c>
      <c r="M13" s="7"/>
      <c r="N13" s="7">
        <v>1695027407</v>
      </c>
      <c r="O13" s="22">
        <f t="shared" si="1"/>
        <v>15</v>
      </c>
    </row>
    <row r="14" spans="1:153" x14ac:dyDescent="0.45">
      <c r="A14" s="1" t="s">
        <v>179</v>
      </c>
      <c r="B14" s="83"/>
      <c r="L14">
        <f>2^$G$3</f>
        <v>256</v>
      </c>
      <c r="BZ14">
        <f>IF(COUNT(BJ20:BJ28,BP20:BP28,BV20:BV28,CB20:CB28) &gt;0, COUNT(BJ20:BJ28,BP20:BP28,BV20:BV28,CB20:CB28) /2,"")</f>
        <v>4</v>
      </c>
    </row>
    <row r="15" spans="1:153" ht="21.5" thickBot="1" x14ac:dyDescent="0.5">
      <c r="A15" s="83" t="s">
        <v>180</v>
      </c>
      <c r="B15" s="83"/>
      <c r="C15">
        <f>(8+ 2^(1-1))</f>
        <v>9</v>
      </c>
      <c r="AB15" s="170"/>
      <c r="AH15" s="170"/>
      <c r="AN15" s="170"/>
      <c r="AR15" s="169"/>
      <c r="AS15" s="170"/>
      <c r="AU15" s="170"/>
      <c r="AV15" s="170"/>
      <c r="AW15" s="170"/>
      <c r="AX15" s="170"/>
      <c r="AY15" s="170"/>
      <c r="BA15" s="170"/>
      <c r="BB15" s="170"/>
      <c r="BC15" s="170"/>
      <c r="BD15" s="170"/>
    </row>
    <row r="16" spans="1:153" ht="37.5" customHeight="1" thickBot="1" x14ac:dyDescent="0.5">
      <c r="A16" s="297" t="s">
        <v>164</v>
      </c>
      <c r="B16" s="298"/>
      <c r="C16" s="298"/>
      <c r="D16" s="298"/>
      <c r="E16" s="298"/>
      <c r="F16" s="299"/>
      <c r="I16" s="297" t="s">
        <v>166</v>
      </c>
      <c r="J16" s="298"/>
      <c r="K16" s="298"/>
      <c r="L16" s="298"/>
      <c r="M16" s="298"/>
      <c r="N16" s="298"/>
      <c r="O16" s="298"/>
      <c r="P16" s="298"/>
      <c r="Q16" s="298"/>
      <c r="R16" s="298"/>
      <c r="S16" s="298"/>
      <c r="T16" s="299"/>
      <c r="W16" s="297" t="s">
        <v>167</v>
      </c>
      <c r="X16" s="298"/>
      <c r="Y16" s="298"/>
      <c r="Z16" s="298"/>
      <c r="AA16" s="298"/>
      <c r="AB16" s="298"/>
      <c r="AC16" s="298"/>
      <c r="AD16" s="298"/>
      <c r="AE16" s="298"/>
      <c r="AF16" s="298"/>
      <c r="AG16" s="298"/>
      <c r="AH16" s="298"/>
      <c r="AI16" s="298"/>
      <c r="AJ16" s="298"/>
      <c r="AK16" s="298"/>
      <c r="AL16" s="298"/>
      <c r="AM16" s="298"/>
      <c r="AN16" s="299"/>
      <c r="AQ16" s="297" t="s">
        <v>168</v>
      </c>
      <c r="AR16" s="298"/>
      <c r="AS16" s="298"/>
      <c r="AT16" s="298"/>
      <c r="AU16" s="298"/>
      <c r="AV16" s="298"/>
      <c r="AW16" s="298"/>
      <c r="AX16" s="298"/>
      <c r="AY16" s="298"/>
      <c r="AZ16" s="298"/>
      <c r="BA16" s="298"/>
      <c r="BB16" s="299"/>
      <c r="BE16" s="297" t="s">
        <v>170</v>
      </c>
      <c r="BF16" s="298"/>
      <c r="BG16" s="298"/>
      <c r="BH16" s="298"/>
      <c r="BI16" s="298"/>
      <c r="BJ16" s="298"/>
      <c r="BK16" s="298"/>
      <c r="BL16" s="298"/>
      <c r="BM16" s="298"/>
      <c r="BN16" s="298"/>
      <c r="BO16" s="298"/>
      <c r="BP16" s="298"/>
      <c r="BQ16" s="298"/>
      <c r="BR16" s="298"/>
      <c r="BS16" s="298"/>
      <c r="BT16" s="298"/>
      <c r="BU16" s="298"/>
      <c r="BV16" s="298"/>
      <c r="BW16" s="298"/>
      <c r="BX16" s="298"/>
      <c r="BY16" s="298"/>
      <c r="BZ16" s="298"/>
      <c r="CA16" s="298"/>
      <c r="CB16" s="299"/>
      <c r="CE16" s="297" t="s">
        <v>188</v>
      </c>
      <c r="CF16" s="298"/>
      <c r="CG16" s="298"/>
      <c r="CH16" s="298"/>
      <c r="CI16" s="298"/>
      <c r="CJ16" s="298"/>
      <c r="CK16" s="298"/>
      <c r="CL16" s="298"/>
      <c r="CM16" s="298"/>
      <c r="CN16" s="298"/>
      <c r="CO16" s="298"/>
      <c r="CP16" s="298"/>
      <c r="CQ16" s="298"/>
      <c r="CR16" s="298"/>
      <c r="CS16" s="298"/>
      <c r="CT16" s="298"/>
      <c r="CU16" s="298"/>
      <c r="CV16" s="298"/>
      <c r="CW16" s="298"/>
      <c r="CX16" s="298"/>
      <c r="CY16" s="298"/>
      <c r="CZ16" s="298"/>
      <c r="DA16" s="298"/>
      <c r="DB16" s="299"/>
      <c r="DE16" s="297" t="s">
        <v>189</v>
      </c>
      <c r="DF16" s="298"/>
      <c r="DG16" s="298"/>
      <c r="DH16" s="298"/>
      <c r="DI16" s="298"/>
      <c r="DJ16" s="298"/>
      <c r="DK16" s="298"/>
      <c r="DL16" s="298"/>
      <c r="DM16" s="298"/>
      <c r="DN16" s="298"/>
      <c r="DO16" s="298"/>
      <c r="DP16" s="298"/>
      <c r="DQ16" s="298"/>
      <c r="DR16" s="298"/>
      <c r="DS16" s="298"/>
      <c r="DT16" s="298"/>
      <c r="DU16" s="298"/>
      <c r="DV16" s="299"/>
      <c r="DY16" s="297" t="s">
        <v>190</v>
      </c>
      <c r="DZ16" s="298"/>
      <c r="EA16" s="298"/>
      <c r="EB16" s="298"/>
      <c r="EC16" s="298"/>
      <c r="ED16" s="298"/>
      <c r="EE16" s="298"/>
      <c r="EF16" s="298"/>
      <c r="EG16" s="298"/>
      <c r="EH16" s="298"/>
      <c r="EI16" s="298"/>
      <c r="EJ16" s="298"/>
      <c r="EK16" s="298"/>
      <c r="EL16" s="298"/>
      <c r="EM16" s="298"/>
      <c r="EN16" s="298"/>
      <c r="EO16" s="298"/>
      <c r="EP16" s="298"/>
      <c r="EQ16" s="298"/>
      <c r="ER16" s="298"/>
      <c r="ES16" s="298"/>
      <c r="ET16" s="298"/>
      <c r="EU16" s="298"/>
      <c r="EV16" s="298"/>
      <c r="EW16" s="299"/>
    </row>
    <row r="17" spans="1:154" ht="21" customHeight="1" thickBot="1" x14ac:dyDescent="0.5">
      <c r="G17" s="200">
        <f>COUNT(G19:G98)</f>
        <v>8</v>
      </c>
      <c r="H17" t="s">
        <v>187</v>
      </c>
      <c r="U17" s="200">
        <f>COUNT(U19:U98)</f>
        <v>8</v>
      </c>
      <c r="V17" t="s">
        <v>187</v>
      </c>
      <c r="AO17" s="200">
        <f>COUNT(AO19:AO98)</f>
        <v>8</v>
      </c>
      <c r="AP17" t="s">
        <v>187</v>
      </c>
      <c r="BC17" s="200">
        <f>COUNT(BC19:BC98)</f>
        <v>8</v>
      </c>
      <c r="BD17" t="s">
        <v>187</v>
      </c>
      <c r="CC17" s="200">
        <f>COUNT(CC19:CC98)</f>
        <v>8</v>
      </c>
      <c r="CD17" t="s">
        <v>187</v>
      </c>
      <c r="DC17" s="200">
        <f>COUNT(DC19:DC98)</f>
        <v>8</v>
      </c>
      <c r="DD17" t="s">
        <v>187</v>
      </c>
      <c r="DW17" s="200">
        <f>COUNT(DW19:DW98)</f>
        <v>8</v>
      </c>
      <c r="DX17" t="s">
        <v>187</v>
      </c>
      <c r="EW17" s="200">
        <f>COUNT(EW19:EW98)</f>
        <v>8</v>
      </c>
      <c r="EX17" t="s">
        <v>187</v>
      </c>
    </row>
    <row r="18" spans="1:154" s="138" customFormat="1" ht="20.25" customHeight="1" thickBot="1" x14ac:dyDescent="0.5">
      <c r="A18" s="178" t="s">
        <v>165</v>
      </c>
      <c r="B18" s="292"/>
      <c r="C18" s="292"/>
      <c r="D18" s="292"/>
      <c r="E18" s="292"/>
      <c r="F18" s="137">
        <f>COUNT(F19:F98)/2</f>
        <v>8</v>
      </c>
      <c r="G18" s="168">
        <f>SUM(G19:G98)</f>
        <v>8</v>
      </c>
      <c r="H18" t="s">
        <v>177</v>
      </c>
      <c r="I18" s="178" t="s">
        <v>165</v>
      </c>
      <c r="J18" s="139"/>
      <c r="K18" s="140"/>
      <c r="L18" s="140"/>
      <c r="M18" s="140"/>
      <c r="N18" s="140">
        <f>COUNT(N19:N98)/2</f>
        <v>5</v>
      </c>
      <c r="O18" s="138" t="s">
        <v>165</v>
      </c>
      <c r="P18" s="140"/>
      <c r="Q18" s="140"/>
      <c r="R18" s="140"/>
      <c r="S18" s="140"/>
      <c r="T18" s="137">
        <f>COUNT(T19:T98)/2</f>
        <v>4</v>
      </c>
      <c r="U18" s="168">
        <f>SUM(U19:U98)</f>
        <v>9</v>
      </c>
      <c r="V18" t="s">
        <v>177</v>
      </c>
      <c r="W18" s="178" t="s">
        <v>165</v>
      </c>
      <c r="X18" s="142"/>
      <c r="Y18" s="142"/>
      <c r="Z18" s="142"/>
      <c r="AA18" s="142"/>
      <c r="AB18" s="145">
        <f>COUNT(AB19:AB98)/2</f>
        <v>3</v>
      </c>
      <c r="AC18" s="136" t="s">
        <v>165</v>
      </c>
      <c r="AD18" s="136"/>
      <c r="AE18" s="141"/>
      <c r="AF18" s="141"/>
      <c r="AG18" s="141"/>
      <c r="AH18" s="145">
        <f>COUNT(AH19:AH98)/2</f>
        <v>4</v>
      </c>
      <c r="AI18" s="136" t="s">
        <v>165</v>
      </c>
      <c r="AJ18" s="142"/>
      <c r="AK18" s="142"/>
      <c r="AL18" s="141"/>
      <c r="AM18" s="142"/>
      <c r="AN18" s="145">
        <f>COUNT(AN19:AN98)/2</f>
        <v>6</v>
      </c>
      <c r="AO18" s="168">
        <f>SUM(AO19:AO98)</f>
        <v>13</v>
      </c>
      <c r="AP18" t="s">
        <v>177</v>
      </c>
      <c r="AQ18" s="178" t="s">
        <v>165</v>
      </c>
      <c r="AR18" s="143"/>
      <c r="AS18" s="143"/>
      <c r="AT18" s="141"/>
      <c r="AU18" s="143"/>
      <c r="AV18" s="145">
        <f>COUNT(AV19:AV98)/2</f>
        <v>7</v>
      </c>
      <c r="AW18" s="146" t="s">
        <v>165</v>
      </c>
      <c r="AX18" s="143"/>
      <c r="AY18" s="143"/>
      <c r="AZ18" s="141"/>
      <c r="BA18" s="143"/>
      <c r="BB18" s="145">
        <f>COUNT(BB19:BB98)/2</f>
        <v>3</v>
      </c>
      <c r="BC18" s="168">
        <f>SUM(BC19:BC98)</f>
        <v>10</v>
      </c>
      <c r="BD18" t="s">
        <v>177</v>
      </c>
      <c r="BE18" s="178" t="s">
        <v>165</v>
      </c>
      <c r="BF18" s="142"/>
      <c r="BG18" s="142"/>
      <c r="BH18" s="141"/>
      <c r="BI18" s="142"/>
      <c r="BJ18" s="137">
        <f>COUNT(BJ19:BJ98)/2</f>
        <v>6</v>
      </c>
      <c r="BK18" s="146" t="s">
        <v>165</v>
      </c>
      <c r="BL18" s="143"/>
      <c r="BM18" s="143"/>
      <c r="BN18" s="141"/>
      <c r="BO18" s="143"/>
      <c r="BP18" s="145">
        <f>COUNT(BP19:BP98)/2</f>
        <v>2</v>
      </c>
      <c r="BQ18" s="146" t="s">
        <v>165</v>
      </c>
      <c r="BR18" s="143"/>
      <c r="BS18" s="143"/>
      <c r="BT18" s="141"/>
      <c r="BU18" s="143"/>
      <c r="BV18" s="145">
        <f>COUNT(BV19:BV98)/2</f>
        <v>6</v>
      </c>
      <c r="BW18" s="146" t="s">
        <v>165</v>
      </c>
      <c r="BX18" s="143"/>
      <c r="BY18" s="143"/>
      <c r="BZ18" s="141"/>
      <c r="CA18" s="143"/>
      <c r="CB18" s="145">
        <f>COUNT(CB19:CB98)/2</f>
        <v>2</v>
      </c>
      <c r="CC18" s="168">
        <f>SUM(CC19:CC98)</f>
        <v>16</v>
      </c>
      <c r="CD18" t="s">
        <v>177</v>
      </c>
      <c r="CE18" s="178" t="s">
        <v>165</v>
      </c>
      <c r="CF18" s="143"/>
      <c r="CG18" s="143"/>
      <c r="CH18" s="141"/>
      <c r="CI18" s="143"/>
      <c r="CJ18" s="145">
        <f>COUNT(CJ19:CJ98)/2</f>
        <v>3</v>
      </c>
      <c r="CK18" s="146" t="s">
        <v>165</v>
      </c>
      <c r="CL18" s="143"/>
      <c r="CM18" s="143"/>
      <c r="CN18" s="141"/>
      <c r="CO18" s="143"/>
      <c r="CP18" s="145">
        <f>COUNT(CP19:CP98)/2</f>
        <v>7</v>
      </c>
      <c r="CQ18" s="146" t="s">
        <v>165</v>
      </c>
      <c r="CR18" s="143"/>
      <c r="CS18" s="143"/>
      <c r="CT18" s="141"/>
      <c r="CU18" s="143"/>
      <c r="CV18" s="145">
        <f>COUNT(CV19:CV98)/2</f>
        <v>4</v>
      </c>
      <c r="CW18" s="146" t="s">
        <v>165</v>
      </c>
      <c r="CX18" s="143"/>
      <c r="CY18" s="143"/>
      <c r="CZ18" s="141"/>
      <c r="DA18" s="143"/>
      <c r="DB18" s="145">
        <f>COUNT(DB19:DB98)/2</f>
        <v>2</v>
      </c>
      <c r="DC18" s="168">
        <f>SUM(DC19:DC98)</f>
        <v>16</v>
      </c>
      <c r="DD18" t="s">
        <v>177</v>
      </c>
      <c r="DE18" s="178" t="s">
        <v>165</v>
      </c>
      <c r="DF18" s="143"/>
      <c r="DG18" s="143"/>
      <c r="DH18" s="141"/>
      <c r="DI18" s="143"/>
      <c r="DJ18" s="145">
        <f>COUNT(DJ19:DJ98)/2</f>
        <v>4</v>
      </c>
      <c r="DK18" s="146" t="s">
        <v>165</v>
      </c>
      <c r="DL18" s="143"/>
      <c r="DM18" s="143"/>
      <c r="DN18" s="141"/>
      <c r="DO18" s="143"/>
      <c r="DP18" s="145">
        <f>COUNT(DP19:DP98)/2</f>
        <v>4</v>
      </c>
      <c r="DQ18" s="146" t="s">
        <v>165</v>
      </c>
      <c r="DR18" s="143"/>
      <c r="DS18" s="143"/>
      <c r="DT18" s="141"/>
      <c r="DU18" s="143"/>
      <c r="DV18" s="145">
        <f>COUNT(DV19:DV98)/2</f>
        <v>3</v>
      </c>
      <c r="DW18" s="168">
        <f>SUM(DW19:DW98)</f>
        <v>11</v>
      </c>
      <c r="DX18" t="s">
        <v>177</v>
      </c>
      <c r="DY18" s="178" t="s">
        <v>165</v>
      </c>
      <c r="DZ18" s="143"/>
      <c r="EA18" s="143"/>
      <c r="EB18" s="141"/>
      <c r="EC18" s="143"/>
      <c r="ED18" s="145">
        <f>COUNT(ED19:ED98)/2</f>
        <v>4</v>
      </c>
      <c r="EE18" s="146" t="s">
        <v>165</v>
      </c>
      <c r="EF18" s="143"/>
      <c r="EG18" s="143"/>
      <c r="EH18" s="141"/>
      <c r="EI18" s="143"/>
      <c r="EJ18" s="145">
        <f>COUNT(EJ19:EJ98)/2</f>
        <v>4</v>
      </c>
      <c r="EK18" s="146" t="s">
        <v>165</v>
      </c>
      <c r="EL18" s="143"/>
      <c r="EM18" s="143"/>
      <c r="EN18" s="141"/>
      <c r="EO18" s="143"/>
      <c r="EP18" s="145">
        <f>COUNT(EP19:EP98)/2</f>
        <v>3</v>
      </c>
      <c r="EQ18" s="146" t="s">
        <v>165</v>
      </c>
      <c r="ER18" s="143"/>
      <c r="ES18" s="143"/>
      <c r="ET18" s="141"/>
      <c r="EU18" s="143"/>
      <c r="EV18" s="145">
        <f>COUNT(EV19:EV98)/2</f>
        <v>2</v>
      </c>
      <c r="EW18" s="168">
        <f>SUM(EW19:EW98)</f>
        <v>13</v>
      </c>
      <c r="EX18" t="s">
        <v>177</v>
      </c>
    </row>
    <row r="19" spans="1:154" x14ac:dyDescent="0.45">
      <c r="A19" s="293">
        <v>1</v>
      </c>
      <c r="B19" s="48">
        <f>O6</f>
        <v>1</v>
      </c>
      <c r="C19" s="87" t="s">
        <v>154</v>
      </c>
      <c r="D19" s="10" t="s">
        <v>149</v>
      </c>
      <c r="E19" s="88" t="s">
        <v>152</v>
      </c>
      <c r="F19" s="147" t="s">
        <v>153</v>
      </c>
      <c r="G19" s="287">
        <f>IF(COUNT(F20:F28) &gt;0, COUNT(F20:F28)/2,"")</f>
        <v>1</v>
      </c>
      <c r="H19" s="201"/>
      <c r="I19" s="293">
        <v>1</v>
      </c>
      <c r="J19" s="104"/>
      <c r="K19" s="105" t="s">
        <v>154</v>
      </c>
      <c r="L19" s="10" t="s">
        <v>149</v>
      </c>
      <c r="M19" s="88" t="s">
        <v>152</v>
      </c>
      <c r="N19" s="147" t="s">
        <v>153</v>
      </c>
      <c r="O19" s="283">
        <v>1</v>
      </c>
      <c r="P19" s="104"/>
      <c r="Q19" s="133" t="s">
        <v>154</v>
      </c>
      <c r="R19" s="10" t="s">
        <v>149</v>
      </c>
      <c r="S19" s="88" t="s">
        <v>152</v>
      </c>
      <c r="T19" s="155" t="s">
        <v>153</v>
      </c>
      <c r="U19" s="287">
        <f>IF(COUNT(H20:H28,N20:N28,T20:T28) &gt;0, COUNT(H20:H28,N20:N28,T20:T28) /2,"")</f>
        <v>1</v>
      </c>
      <c r="V19" s="201"/>
      <c r="W19" s="293">
        <v>1</v>
      </c>
      <c r="X19" s="104"/>
      <c r="Y19" s="87" t="s">
        <v>154</v>
      </c>
      <c r="Z19" s="10" t="s">
        <v>149</v>
      </c>
      <c r="AA19" s="88" t="s">
        <v>152</v>
      </c>
      <c r="AB19" s="96" t="s">
        <v>153</v>
      </c>
      <c r="AC19" s="283">
        <v>1</v>
      </c>
      <c r="AD19" s="104"/>
      <c r="AE19" s="87" t="s">
        <v>154</v>
      </c>
      <c r="AF19" s="10" t="s">
        <v>149</v>
      </c>
      <c r="AG19" s="88" t="s">
        <v>152</v>
      </c>
      <c r="AH19" s="96" t="s">
        <v>153</v>
      </c>
      <c r="AI19" s="283">
        <v>1</v>
      </c>
      <c r="AJ19" s="104"/>
      <c r="AK19" s="87" t="s">
        <v>154</v>
      </c>
      <c r="AL19" s="10" t="s">
        <v>149</v>
      </c>
      <c r="AM19" s="88" t="s">
        <v>152</v>
      </c>
      <c r="AN19" s="96" t="s">
        <v>153</v>
      </c>
      <c r="AO19" s="287">
        <f>IF(COUNT(AB20:AB28,AH20:AH28,AN20:AN28) &gt;0, COUNT(AB20:AB28,AH20:AH28,AN20:AN28) /2,"")</f>
        <v>3</v>
      </c>
      <c r="AP19" s="201"/>
      <c r="AQ19" s="293">
        <v>1</v>
      </c>
      <c r="AR19" s="104"/>
      <c r="AS19" s="144" t="s">
        <v>154</v>
      </c>
      <c r="AT19" s="10" t="s">
        <v>149</v>
      </c>
      <c r="AU19" s="88" t="s">
        <v>152</v>
      </c>
      <c r="AV19" s="96" t="s">
        <v>153</v>
      </c>
      <c r="AW19" s="283">
        <v>1</v>
      </c>
      <c r="AX19" s="104"/>
      <c r="AY19" s="144" t="s">
        <v>154</v>
      </c>
      <c r="AZ19" s="10" t="s">
        <v>149</v>
      </c>
      <c r="BA19" s="88" t="s">
        <v>152</v>
      </c>
      <c r="BB19" s="96" t="s">
        <v>153</v>
      </c>
      <c r="BC19" s="287">
        <f>IF(COUNT(AV20:AV28,BB20:BB28,#REF!) &gt;0, COUNT(AV20:AV28,BB20:BB28,#REF!) /2,"")</f>
        <v>1</v>
      </c>
      <c r="BD19" s="201"/>
      <c r="BE19" s="293">
        <v>1</v>
      </c>
      <c r="BF19" s="104"/>
      <c r="BG19" s="87" t="s">
        <v>154</v>
      </c>
      <c r="BH19" s="10" t="s">
        <v>149</v>
      </c>
      <c r="BI19" s="88" t="s">
        <v>152</v>
      </c>
      <c r="BJ19" s="96" t="s">
        <v>153</v>
      </c>
      <c r="BK19" s="283">
        <v>1</v>
      </c>
      <c r="BL19" s="104"/>
      <c r="BM19" s="144" t="s">
        <v>154</v>
      </c>
      <c r="BN19" s="10" t="s">
        <v>149</v>
      </c>
      <c r="BO19" s="88" t="s">
        <v>152</v>
      </c>
      <c r="BP19" s="96" t="s">
        <v>153</v>
      </c>
      <c r="BQ19" s="283">
        <v>1</v>
      </c>
      <c r="BR19" s="104"/>
      <c r="BS19" s="144" t="s">
        <v>154</v>
      </c>
      <c r="BT19" s="10" t="s">
        <v>149</v>
      </c>
      <c r="BU19" s="88" t="s">
        <v>152</v>
      </c>
      <c r="BV19" s="96" t="s">
        <v>153</v>
      </c>
      <c r="BW19" s="283">
        <v>1</v>
      </c>
      <c r="BX19" s="104"/>
      <c r="BY19" s="144" t="s">
        <v>154</v>
      </c>
      <c r="BZ19" s="10" t="s">
        <v>149</v>
      </c>
      <c r="CA19" s="88" t="s">
        <v>152</v>
      </c>
      <c r="CB19" s="96" t="s">
        <v>153</v>
      </c>
      <c r="CC19" s="287">
        <f>IF(COUNT(BJ20:BJ28,BP20:BP28,BV20:BV28,CB20:CB28) &gt;0, COUNT(BJ20:BJ28,BP20:BP28,BV20:BV28,CB20:CB28) /2,"")</f>
        <v>4</v>
      </c>
      <c r="CD19" s="201"/>
      <c r="CE19" s="293">
        <v>1</v>
      </c>
      <c r="CF19" s="104"/>
      <c r="CG19" s="87" t="s">
        <v>154</v>
      </c>
      <c r="CH19" s="10" t="s">
        <v>149</v>
      </c>
      <c r="CI19" s="88" t="s">
        <v>152</v>
      </c>
      <c r="CJ19" s="96" t="s">
        <v>153</v>
      </c>
      <c r="CK19" s="283">
        <v>1</v>
      </c>
      <c r="CL19" s="104"/>
      <c r="CM19" s="144" t="s">
        <v>154</v>
      </c>
      <c r="CN19" s="10" t="s">
        <v>149</v>
      </c>
      <c r="CO19" s="88" t="s">
        <v>152</v>
      </c>
      <c r="CP19" s="96" t="s">
        <v>153</v>
      </c>
      <c r="CQ19" s="283">
        <v>1</v>
      </c>
      <c r="CR19" s="104"/>
      <c r="CS19" s="144" t="s">
        <v>154</v>
      </c>
      <c r="CT19" s="10" t="s">
        <v>149</v>
      </c>
      <c r="CU19" s="88" t="s">
        <v>152</v>
      </c>
      <c r="CV19" s="96" t="s">
        <v>153</v>
      </c>
      <c r="CW19" s="283">
        <v>1</v>
      </c>
      <c r="CX19" s="104"/>
      <c r="CY19" s="144" t="s">
        <v>154</v>
      </c>
      <c r="CZ19" s="10" t="s">
        <v>149</v>
      </c>
      <c r="DA19" s="88" t="s">
        <v>152</v>
      </c>
      <c r="DB19" s="96" t="s">
        <v>153</v>
      </c>
      <c r="DC19" s="287">
        <f>IF(COUNT(CJ20:CJ28,CP20:CP28,CV20:CV28,DB20:DB28) &gt;0, COUNT(CJ20:CJ28,CP20:CP28,CV20:CV28,DB20:DB28) /2,"")</f>
        <v>2</v>
      </c>
      <c r="DD19" s="201"/>
      <c r="DE19" s="293">
        <v>1</v>
      </c>
      <c r="DF19" s="104"/>
      <c r="DG19" s="144" t="s">
        <v>154</v>
      </c>
      <c r="DH19" s="10" t="s">
        <v>149</v>
      </c>
      <c r="DI19" s="88" t="s">
        <v>152</v>
      </c>
      <c r="DJ19" s="96" t="s">
        <v>153</v>
      </c>
      <c r="DK19" s="283">
        <v>1</v>
      </c>
      <c r="DL19" s="104"/>
      <c r="DM19" s="144" t="s">
        <v>154</v>
      </c>
      <c r="DN19" s="10" t="s">
        <v>149</v>
      </c>
      <c r="DO19" s="88" t="s">
        <v>152</v>
      </c>
      <c r="DP19" s="96" t="s">
        <v>153</v>
      </c>
      <c r="DQ19" s="283">
        <v>1</v>
      </c>
      <c r="DR19" s="104"/>
      <c r="DS19" s="144" t="s">
        <v>154</v>
      </c>
      <c r="DT19" s="10" t="s">
        <v>149</v>
      </c>
      <c r="DU19" s="88" t="s">
        <v>152</v>
      </c>
      <c r="DV19" s="96" t="s">
        <v>153</v>
      </c>
      <c r="DW19" s="287">
        <f>IF(COUNT(DJ20:DJ28,DP20:DP28,DV20:DV28) &gt;0, COUNT(DJ20:DJ28,DP20:DP28,DV20:DV28) /2,"")</f>
        <v>2</v>
      </c>
      <c r="DX19" s="201"/>
      <c r="DY19" s="293">
        <v>1</v>
      </c>
      <c r="DZ19" s="104"/>
      <c r="EA19" s="144" t="s">
        <v>154</v>
      </c>
      <c r="EB19" s="10" t="s">
        <v>149</v>
      </c>
      <c r="EC19" s="88" t="s">
        <v>152</v>
      </c>
      <c r="ED19" s="96" t="s">
        <v>153</v>
      </c>
      <c r="EE19" s="283">
        <v>1</v>
      </c>
      <c r="EF19" s="104"/>
      <c r="EG19" s="144" t="s">
        <v>154</v>
      </c>
      <c r="EH19" s="10" t="s">
        <v>149</v>
      </c>
      <c r="EI19" s="88" t="s">
        <v>152</v>
      </c>
      <c r="EJ19" s="96" t="s">
        <v>153</v>
      </c>
      <c r="EK19" s="283">
        <v>1</v>
      </c>
      <c r="EL19" s="104"/>
      <c r="EM19" s="144" t="s">
        <v>154</v>
      </c>
      <c r="EN19" s="10" t="s">
        <v>149</v>
      </c>
      <c r="EO19" s="88" t="s">
        <v>152</v>
      </c>
      <c r="EP19" s="96" t="s">
        <v>153</v>
      </c>
      <c r="EQ19" s="283">
        <v>1</v>
      </c>
      <c r="ER19" s="104"/>
      <c r="ES19" s="144" t="s">
        <v>154</v>
      </c>
      <c r="ET19" s="10" t="s">
        <v>149</v>
      </c>
      <c r="EU19" s="88" t="s">
        <v>152</v>
      </c>
      <c r="EV19" s="96" t="s">
        <v>153</v>
      </c>
      <c r="EW19" s="287">
        <f>IF(COUNT(ED20:ED28,EJ20:EJ28,EP20:EP28,EV20:EV28) &gt;0, COUNT(ED20:ED28,EJ20:EJ28,EP20:EP28,EV20:EV28) /2,"")</f>
        <v>4</v>
      </c>
      <c r="EX19" s="201"/>
    </row>
    <row r="20" spans="1:154" ht="27.75" customHeight="1" x14ac:dyDescent="0.45">
      <c r="A20" s="294"/>
      <c r="B20" s="176" t="s">
        <v>162</v>
      </c>
      <c r="C20" s="102" t="s">
        <v>156</v>
      </c>
      <c r="D20" s="89" t="s">
        <v>186</v>
      </c>
      <c r="E20" s="177" t="s">
        <v>174</v>
      </c>
      <c r="F20" s="148"/>
      <c r="G20" s="287"/>
      <c r="H20" s="201"/>
      <c r="I20" s="294"/>
      <c r="J20" s="176" t="s">
        <v>162</v>
      </c>
      <c r="K20" s="90" t="s">
        <v>155</v>
      </c>
      <c r="L20" s="89" t="s">
        <v>186</v>
      </c>
      <c r="M20" s="177" t="s">
        <v>174</v>
      </c>
      <c r="N20" s="148"/>
      <c r="O20" s="284"/>
      <c r="P20" s="176" t="s">
        <v>162</v>
      </c>
      <c r="Q20" s="90" t="s">
        <v>155</v>
      </c>
      <c r="R20" s="89" t="s">
        <v>186</v>
      </c>
      <c r="S20" s="177" t="s">
        <v>174</v>
      </c>
      <c r="T20" s="156"/>
      <c r="U20" s="287"/>
      <c r="V20" s="201"/>
      <c r="W20" s="294"/>
      <c r="X20" s="176" t="s">
        <v>162</v>
      </c>
      <c r="Y20" s="90" t="s">
        <v>155</v>
      </c>
      <c r="Z20" s="89" t="s">
        <v>186</v>
      </c>
      <c r="AA20" s="177" t="s">
        <v>174</v>
      </c>
      <c r="AB20" s="95"/>
      <c r="AC20" s="284"/>
      <c r="AD20" s="176" t="s">
        <v>162</v>
      </c>
      <c r="AE20" s="90" t="s">
        <v>155</v>
      </c>
      <c r="AF20" s="89" t="s">
        <v>186</v>
      </c>
      <c r="AG20" s="177" t="s">
        <v>174</v>
      </c>
      <c r="AH20" s="95"/>
      <c r="AI20" s="284"/>
      <c r="AJ20" s="176" t="s">
        <v>162</v>
      </c>
      <c r="AK20" s="90" t="s">
        <v>155</v>
      </c>
      <c r="AL20" s="89" t="s">
        <v>186</v>
      </c>
      <c r="AM20" s="177" t="s">
        <v>174</v>
      </c>
      <c r="AN20" s="95"/>
      <c r="AO20" s="287"/>
      <c r="AP20" s="201"/>
      <c r="AQ20" s="294"/>
      <c r="AR20" s="176" t="s">
        <v>162</v>
      </c>
      <c r="AS20" s="90" t="s">
        <v>155</v>
      </c>
      <c r="AT20" s="89" t="s">
        <v>186</v>
      </c>
      <c r="AU20" s="177" t="s">
        <v>174</v>
      </c>
      <c r="AV20" s="95"/>
      <c r="AW20" s="284"/>
      <c r="AX20" s="176" t="s">
        <v>162</v>
      </c>
      <c r="AY20" s="90" t="s">
        <v>155</v>
      </c>
      <c r="AZ20" s="89" t="s">
        <v>186</v>
      </c>
      <c r="BA20" s="177" t="s">
        <v>174</v>
      </c>
      <c r="BB20" s="95"/>
      <c r="BC20" s="287"/>
      <c r="BD20" s="201"/>
      <c r="BE20" s="294"/>
      <c r="BF20" s="176" t="s">
        <v>162</v>
      </c>
      <c r="BG20" s="90" t="s">
        <v>155</v>
      </c>
      <c r="BH20" s="89" t="s">
        <v>186</v>
      </c>
      <c r="BI20" s="177" t="s">
        <v>174</v>
      </c>
      <c r="BJ20" s="95"/>
      <c r="BK20" s="284"/>
      <c r="BL20" s="176" t="s">
        <v>162</v>
      </c>
      <c r="BM20" s="90" t="s">
        <v>155</v>
      </c>
      <c r="BN20" s="89" t="s">
        <v>186</v>
      </c>
      <c r="BO20" s="177" t="s">
        <v>174</v>
      </c>
      <c r="BP20" s="95"/>
      <c r="BQ20" s="284"/>
      <c r="BR20" s="176" t="s">
        <v>162</v>
      </c>
      <c r="BS20" s="90" t="s">
        <v>155</v>
      </c>
      <c r="BT20" s="89" t="s">
        <v>186</v>
      </c>
      <c r="BU20" s="177" t="s">
        <v>174</v>
      </c>
      <c r="BV20" s="95"/>
      <c r="BW20" s="284"/>
      <c r="BX20" s="176" t="s">
        <v>162</v>
      </c>
      <c r="BY20" s="90" t="s">
        <v>155</v>
      </c>
      <c r="BZ20" s="89" t="s">
        <v>186</v>
      </c>
      <c r="CA20" s="177" t="s">
        <v>174</v>
      </c>
      <c r="CB20" s="95"/>
      <c r="CC20" s="287"/>
      <c r="CD20" s="201"/>
      <c r="CE20" s="294"/>
      <c r="CF20" s="176" t="s">
        <v>162</v>
      </c>
      <c r="CG20" s="90" t="s">
        <v>155</v>
      </c>
      <c r="CH20" s="89" t="s">
        <v>186</v>
      </c>
      <c r="CI20" s="177" t="s">
        <v>174</v>
      </c>
      <c r="CJ20" s="95"/>
      <c r="CK20" s="284"/>
      <c r="CL20" s="176" t="s">
        <v>162</v>
      </c>
      <c r="CM20" s="90" t="s">
        <v>155</v>
      </c>
      <c r="CN20" s="89" t="s">
        <v>186</v>
      </c>
      <c r="CO20" s="177" t="s">
        <v>174</v>
      </c>
      <c r="CP20" s="95"/>
      <c r="CQ20" s="284"/>
      <c r="CR20" s="176" t="s">
        <v>162</v>
      </c>
      <c r="CS20" s="90" t="s">
        <v>155</v>
      </c>
      <c r="CT20" s="89" t="s">
        <v>186</v>
      </c>
      <c r="CU20" s="177" t="s">
        <v>174</v>
      </c>
      <c r="CV20" s="95"/>
      <c r="CW20" s="284"/>
      <c r="CX20" s="176" t="s">
        <v>162</v>
      </c>
      <c r="CY20" s="90" t="s">
        <v>155</v>
      </c>
      <c r="CZ20" s="89" t="s">
        <v>186</v>
      </c>
      <c r="DA20" s="177" t="s">
        <v>174</v>
      </c>
      <c r="DB20" s="95"/>
      <c r="DC20" s="287"/>
      <c r="DD20" s="201"/>
      <c r="DE20" s="294"/>
      <c r="DF20" s="176" t="s">
        <v>162</v>
      </c>
      <c r="DG20" s="90" t="s">
        <v>155</v>
      </c>
      <c r="DH20" s="89" t="s">
        <v>186</v>
      </c>
      <c r="DI20" s="177" t="s">
        <v>174</v>
      </c>
      <c r="DJ20" s="95"/>
      <c r="DK20" s="284"/>
      <c r="DL20" s="176" t="s">
        <v>162</v>
      </c>
      <c r="DM20" s="90" t="s">
        <v>155</v>
      </c>
      <c r="DN20" s="89" t="s">
        <v>186</v>
      </c>
      <c r="DO20" s="177" t="s">
        <v>174</v>
      </c>
      <c r="DP20" s="95"/>
      <c r="DQ20" s="284"/>
      <c r="DR20" s="176" t="s">
        <v>162</v>
      </c>
      <c r="DS20" s="90" t="s">
        <v>155</v>
      </c>
      <c r="DT20" s="89" t="s">
        <v>186</v>
      </c>
      <c r="DU20" s="177" t="s">
        <v>174</v>
      </c>
      <c r="DV20" s="95"/>
      <c r="DW20" s="287"/>
      <c r="DX20" s="201"/>
      <c r="DY20" s="294"/>
      <c r="DZ20" s="176" t="s">
        <v>162</v>
      </c>
      <c r="EA20" s="90" t="s">
        <v>155</v>
      </c>
      <c r="EB20" s="89" t="s">
        <v>186</v>
      </c>
      <c r="EC20" s="177" t="s">
        <v>174</v>
      </c>
      <c r="ED20" s="95"/>
      <c r="EE20" s="284"/>
      <c r="EF20" s="176" t="s">
        <v>162</v>
      </c>
      <c r="EG20" s="90" t="s">
        <v>155</v>
      </c>
      <c r="EH20" s="89" t="s">
        <v>186</v>
      </c>
      <c r="EI20" s="177" t="s">
        <v>174</v>
      </c>
      <c r="EJ20" s="95"/>
      <c r="EK20" s="284"/>
      <c r="EL20" s="176" t="s">
        <v>162</v>
      </c>
      <c r="EM20" s="90" t="s">
        <v>155</v>
      </c>
      <c r="EN20" s="89" t="s">
        <v>186</v>
      </c>
      <c r="EO20" s="177" t="s">
        <v>174</v>
      </c>
      <c r="EP20" s="95"/>
      <c r="EQ20" s="284"/>
      <c r="ER20" s="176" t="s">
        <v>162</v>
      </c>
      <c r="ES20" s="90" t="s">
        <v>155</v>
      </c>
      <c r="ET20" s="89" t="s">
        <v>186</v>
      </c>
      <c r="EU20" s="177" t="s">
        <v>174</v>
      </c>
      <c r="EV20" s="95"/>
      <c r="EW20" s="287"/>
      <c r="EX20" s="201"/>
    </row>
    <row r="21" spans="1:154" s="181" customFormat="1" x14ac:dyDescent="0.45">
      <c r="A21" s="294"/>
      <c r="B21" s="180">
        <v>1</v>
      </c>
      <c r="C21" s="181">
        <v>0</v>
      </c>
      <c r="D21" s="37">
        <f t="shared" ref="D21:D28" si="3">(C21+$B$19)*$G$3</f>
        <v>8</v>
      </c>
      <c r="E21" s="182">
        <f t="shared" ref="E21:E28" si="4">MOD($F6+D21,$G$2)</f>
        <v>15</v>
      </c>
      <c r="F21" s="183">
        <v>1</v>
      </c>
      <c r="G21" s="287"/>
      <c r="H21" s="201"/>
      <c r="I21" s="294"/>
      <c r="J21" s="180">
        <v>1</v>
      </c>
      <c r="K21" s="181">
        <f t="shared" ref="K21:K28" si="5">IF(F21="",C21,IF(F21=MIN(F$21:F$28),C21+1,0))</f>
        <v>1</v>
      </c>
      <c r="L21" s="37">
        <f t="shared" ref="L21:L28" si="6">(K21+$B$19)*$G$3</f>
        <v>16</v>
      </c>
      <c r="M21" s="182">
        <f t="shared" ref="M21:M28" si="7">MOD($F6+L21,$G$2)</f>
        <v>23</v>
      </c>
      <c r="N21" s="183">
        <v>1</v>
      </c>
      <c r="O21" s="284"/>
      <c r="P21" s="180">
        <v>1</v>
      </c>
      <c r="Q21" s="181">
        <f t="shared" ref="Q21:Q28" si="8">IF(N21="",K21,IF(N21=MIN(N$21:N$28),K21+1,0))</f>
        <v>2</v>
      </c>
      <c r="R21" s="37">
        <f t="shared" ref="R21:R28" si="9">(Q21+$B$19)*$G$3</f>
        <v>24</v>
      </c>
      <c r="S21" s="182">
        <f t="shared" ref="S21:S28" si="10">MOD($F6+R21,$G$2)</f>
        <v>31</v>
      </c>
      <c r="T21" s="183"/>
      <c r="U21" s="287"/>
      <c r="V21" s="201"/>
      <c r="W21" s="294"/>
      <c r="X21" s="180">
        <v>1</v>
      </c>
      <c r="Y21" s="181">
        <f t="shared" ref="Y21:Y28" si="11">IF(T21="",Q21,IF(T21=MIN(T$21:T$28),Q21+1,0))</f>
        <v>2</v>
      </c>
      <c r="Z21" s="37">
        <f t="shared" ref="Z21:Z28" si="12">(Y21+$B$19)*$G$3</f>
        <v>24</v>
      </c>
      <c r="AA21" s="182">
        <f t="shared" ref="AA21:AA28" si="13">MOD($F6+Z21,$G$2)</f>
        <v>31</v>
      </c>
      <c r="AB21" s="183">
        <v>1</v>
      </c>
      <c r="AC21" s="284"/>
      <c r="AD21" s="180">
        <v>1</v>
      </c>
      <c r="AE21" s="181">
        <f t="shared" ref="AE21:AE28" si="14">IF(AB21="",Y21,IF(AB21=MIN(AB$21:AB$28),Y21+1,0))</f>
        <v>3</v>
      </c>
      <c r="AF21" s="37">
        <f t="shared" ref="AF21:AF28" si="15">(AE21+$B$19)*$G$3</f>
        <v>32</v>
      </c>
      <c r="AG21" s="182">
        <f t="shared" ref="AG21:AG28" si="16">MOD($F6+AF21,$G$2)</f>
        <v>7</v>
      </c>
      <c r="AH21" s="183">
        <v>7</v>
      </c>
      <c r="AI21" s="284"/>
      <c r="AJ21" s="180">
        <v>1</v>
      </c>
      <c r="AK21" s="181">
        <f t="shared" ref="AK21:AK29" si="17">IF(AH21="",AE21,IF(AH21=MIN(AH$21:AH$28),AE21+1,0))</f>
        <v>4</v>
      </c>
      <c r="AL21" s="37">
        <f t="shared" ref="AL21:AL28" si="18">(AK21+$B$19)*$G$3</f>
        <v>40</v>
      </c>
      <c r="AM21" s="182">
        <f t="shared" ref="AM21:AM28" si="19">MOD($F6+AL21,$G$2)</f>
        <v>15</v>
      </c>
      <c r="AN21" s="183">
        <v>17</v>
      </c>
      <c r="AO21" s="287"/>
      <c r="AP21" s="201"/>
      <c r="AQ21" s="294"/>
      <c r="AR21" s="180">
        <v>1</v>
      </c>
      <c r="AS21" s="181">
        <f t="shared" ref="AS21:AS28" si="20">IF(AN21="",AK21,IF(AN21=MIN(AN$21:AN$28),AK21+1,0))</f>
        <v>5</v>
      </c>
      <c r="AT21" s="37">
        <f t="shared" ref="AT21:AT28" si="21">(AS21+$B$19)*$G$3</f>
        <v>48</v>
      </c>
      <c r="AU21" s="182">
        <f t="shared" ref="AU21:AU28" si="22">MOD($F6+AT21,$G$2)</f>
        <v>23</v>
      </c>
      <c r="AV21" s="183">
        <v>1</v>
      </c>
      <c r="AW21" s="284"/>
      <c r="AX21" s="180">
        <v>1</v>
      </c>
      <c r="AY21" s="181">
        <f t="shared" ref="AY21:AY28" si="23">IF(AV21="",AS21,IF(AV21=MIN(AV$21:AV$28),AS21+1,0))</f>
        <v>6</v>
      </c>
      <c r="AZ21" s="37">
        <f t="shared" ref="AZ21:AZ28" si="24">(AY21+$B$19)*$G$3</f>
        <v>56</v>
      </c>
      <c r="BA21" s="182">
        <f t="shared" ref="BA21:BA28" si="25">MOD($F6+AZ21,$G$2)</f>
        <v>31</v>
      </c>
      <c r="BB21" s="183"/>
      <c r="BC21" s="287"/>
      <c r="BD21" s="201"/>
      <c r="BE21" s="294"/>
      <c r="BF21" s="180">
        <v>1</v>
      </c>
      <c r="BG21" s="181">
        <f t="shared" ref="BG21:BG28" si="26">IF(BB21="",AY21,IF(BB21=MIN(BB$21:BB$28),AY21+1,0))</f>
        <v>6</v>
      </c>
      <c r="BH21" s="37">
        <f t="shared" ref="BH21:BH28" si="27">(BG21+$B$19)*$G$3</f>
        <v>56</v>
      </c>
      <c r="BI21" s="182">
        <f t="shared" ref="BI21:BI28" si="28">MOD($F6+BH21,$G$2)</f>
        <v>31</v>
      </c>
      <c r="BJ21" s="183">
        <v>1</v>
      </c>
      <c r="BK21" s="284"/>
      <c r="BL21" s="180">
        <v>1</v>
      </c>
      <c r="BM21" s="181">
        <f t="shared" ref="BM21:BM28" si="29">IF(BJ21="",BG21,IF(BJ21=MIN(BJ$21:BJ$28),BG21+1,0))</f>
        <v>7</v>
      </c>
      <c r="BN21" s="37">
        <f t="shared" ref="BN21:BN28" si="30">(BM21+$B$19)*$G$3</f>
        <v>64</v>
      </c>
      <c r="BO21" s="182">
        <f t="shared" ref="BO21:BO28" si="31">MOD($F6+BN21,$G$2)</f>
        <v>7</v>
      </c>
      <c r="BP21" s="183">
        <v>15</v>
      </c>
      <c r="BQ21" s="284"/>
      <c r="BR21" s="180">
        <v>1</v>
      </c>
      <c r="BS21" s="181">
        <f t="shared" ref="BS21:BS28" si="32">IF(BP21="",BM21,IF(BP21=MIN(BP$21:BP$28),BM21+1,0))</f>
        <v>8</v>
      </c>
      <c r="BT21" s="37">
        <f t="shared" ref="BT21:BT28" si="33">(BS21+$B$19)*$G$3</f>
        <v>72</v>
      </c>
      <c r="BU21" s="182">
        <f t="shared" ref="BU21:BU28" si="34">MOD($F6+BT21,$G$2)</f>
        <v>15</v>
      </c>
      <c r="BV21" s="183">
        <v>21</v>
      </c>
      <c r="BW21" s="284"/>
      <c r="BX21" s="180">
        <v>1</v>
      </c>
      <c r="BY21" s="181">
        <f t="shared" ref="BY21:BY28" si="35">IF(BV21="",BS21,IF(BV21=MIN(BV$21:BV$28),BS21+1,0))</f>
        <v>9</v>
      </c>
      <c r="BZ21" s="37">
        <f t="shared" ref="BZ21:BZ28" si="36">(BY21+$B$19)*$G$3</f>
        <v>80</v>
      </c>
      <c r="CA21" s="182">
        <f t="shared" ref="CA21:CA28" si="37">MOD($F6+BZ21,$G$2)</f>
        <v>23</v>
      </c>
      <c r="CB21" s="183">
        <v>29</v>
      </c>
      <c r="CC21" s="287"/>
      <c r="CD21" s="201"/>
      <c r="CE21" s="294"/>
      <c r="CF21" s="180">
        <v>1</v>
      </c>
      <c r="CG21" s="181">
        <f t="shared" ref="CG21:CG28" si="38">IF(CB21="",BY21,IF(CB21=MIN(CB$21:CB$28),BY21+1,0))</f>
        <v>10</v>
      </c>
      <c r="CH21" s="37">
        <f t="shared" ref="CH21:CH28" si="39">(CG21+$B$19)*$G$3</f>
        <v>88</v>
      </c>
      <c r="CI21" s="182">
        <f t="shared" ref="CI21:CI28" si="40">MOD($F6+CH21,$G$2)</f>
        <v>31</v>
      </c>
      <c r="CJ21" s="183">
        <v>1</v>
      </c>
      <c r="CK21" s="284"/>
      <c r="CL21" s="180">
        <v>1</v>
      </c>
      <c r="CM21" s="181">
        <f t="shared" ref="CM21:CM28" si="41">IF(CJ21="",CG21,IF(CJ21=MIN(CJ$21:CJ$28),CG21+1,0))</f>
        <v>11</v>
      </c>
      <c r="CN21" s="37">
        <f t="shared" ref="CN21:CN28" si="42">(CM21+$B$19)*$G$3</f>
        <v>96</v>
      </c>
      <c r="CO21" s="182">
        <f t="shared" ref="CO21:CO28" si="43">MOD($F6+CN21,$G$2)</f>
        <v>7</v>
      </c>
      <c r="CP21" s="183">
        <v>7</v>
      </c>
      <c r="CQ21" s="284"/>
      <c r="CR21" s="180">
        <v>1</v>
      </c>
      <c r="CS21" s="181">
        <f t="shared" ref="CS21:CS28" si="44">IF(CP21="",CM21,IF(CP21=MIN(CP$21:CP$28),CM21+1,0))</f>
        <v>12</v>
      </c>
      <c r="CT21" s="37">
        <f t="shared" ref="CT21:CT28" si="45">(CS21+$B$19)*$G$3</f>
        <v>104</v>
      </c>
      <c r="CU21" s="182">
        <f t="shared" ref="CU21:CU28" si="46">MOD($F6+CT21,$G$2)</f>
        <v>15</v>
      </c>
      <c r="CV21" s="183"/>
      <c r="CW21" s="284"/>
      <c r="CX21" s="180">
        <v>1</v>
      </c>
      <c r="CY21" s="181">
        <f t="shared" ref="CY21:CY28" si="47">IF(CV21="",CS21,IF(CV21=MIN(CV$21:CV$28),CS21+1,0))</f>
        <v>12</v>
      </c>
      <c r="CZ21" s="37">
        <f t="shared" ref="CZ21:CZ28" si="48">(CY21+$B$19)*$G$3</f>
        <v>104</v>
      </c>
      <c r="DA21" s="182">
        <f t="shared" ref="DA21:DA28" si="49">MOD($F6+CZ21,$G$2)</f>
        <v>15</v>
      </c>
      <c r="DB21" s="183"/>
      <c r="DC21" s="287"/>
      <c r="DD21" s="201"/>
      <c r="DE21" s="294"/>
      <c r="DF21" s="180">
        <v>1</v>
      </c>
      <c r="DG21" s="181">
        <f t="shared" ref="DG21:DG28" si="50">IF(CV21="",CS21,IF(CV21=MIN(CV$21:CV$28),CS21+1,0))</f>
        <v>12</v>
      </c>
      <c r="DH21" s="37">
        <f t="shared" ref="DH21:DH28" si="51">(DG21+$B$19)*$G$3</f>
        <v>104</v>
      </c>
      <c r="DI21" s="182">
        <f t="shared" ref="DI21:DI28" si="52">MOD($F6+DH21,$G$2)</f>
        <v>15</v>
      </c>
      <c r="DJ21" s="183">
        <v>1</v>
      </c>
      <c r="DK21" s="284"/>
      <c r="DL21" s="180">
        <v>1</v>
      </c>
      <c r="DM21" s="181">
        <f t="shared" ref="DM21:DM28" si="53">IF(DJ21="",DG21,IF(DJ21=MIN(DJ$21:DJ$28),DG21+1,0))</f>
        <v>13</v>
      </c>
      <c r="DN21" s="37">
        <f t="shared" ref="DN21:DN28" si="54">(DM21+$B$19)*$G$3</f>
        <v>112</v>
      </c>
      <c r="DO21" s="182">
        <f t="shared" ref="DO21:DO28" si="55">MOD($F6+DN21,$G$2)</f>
        <v>23</v>
      </c>
      <c r="DP21" s="183">
        <v>9</v>
      </c>
      <c r="DQ21" s="284"/>
      <c r="DR21" s="180">
        <v>1</v>
      </c>
      <c r="DS21" s="181">
        <f t="shared" ref="DS21:DS28" si="56">IF(DP21="",DM21,IF(DP21=MIN(DP$21:DP$28),DM21+1,0))</f>
        <v>14</v>
      </c>
      <c r="DT21" s="37">
        <f t="shared" ref="DT21:DT28" si="57">(DS21+$B$19)*$G$3</f>
        <v>120</v>
      </c>
      <c r="DU21" s="182">
        <f t="shared" ref="DU21:DU28" si="58">MOD($F6+DT21,$G$2)</f>
        <v>31</v>
      </c>
      <c r="DV21" s="183"/>
      <c r="DW21" s="287"/>
      <c r="DX21" s="201"/>
      <c r="DY21" s="294"/>
      <c r="DZ21" s="180">
        <v>1</v>
      </c>
      <c r="EA21" s="181">
        <f t="shared" ref="EA21:EA28" si="59">IF(DV21="",DS21,IF(DV21=MIN(DV$21:DV$28),DS21+1,0))</f>
        <v>14</v>
      </c>
      <c r="EB21" s="37">
        <f t="shared" ref="EB21:EB28" si="60">(EA21+$B$19)*$G$3</f>
        <v>120</v>
      </c>
      <c r="EC21" s="182">
        <f t="shared" ref="EC21:EC28" si="61">MOD($F6+EB21,$G$2)</f>
        <v>31</v>
      </c>
      <c r="ED21" s="183">
        <v>1</v>
      </c>
      <c r="EE21" s="284"/>
      <c r="EF21" s="180">
        <v>1</v>
      </c>
      <c r="EG21" s="181">
        <f t="shared" ref="EG21:EG28" si="62">IF(ED21="",EA21,IF(ED21=MIN(ED$21:ED$28),EA21+1,0))</f>
        <v>15</v>
      </c>
      <c r="EH21" s="37">
        <f t="shared" ref="EH21:EH28" si="63">(EG21+$B$19)*$G$3</f>
        <v>128</v>
      </c>
      <c r="EI21" s="182">
        <f t="shared" ref="EI21:EI28" si="64">MOD($F6+EH21,$G$2)</f>
        <v>7</v>
      </c>
      <c r="EJ21" s="183">
        <v>9</v>
      </c>
      <c r="EK21" s="284"/>
      <c r="EL21" s="180">
        <v>1</v>
      </c>
      <c r="EM21" s="181">
        <f t="shared" ref="EM21:EM28" si="65">IF(EJ21="",EG21,IF(EJ21=MIN(EJ$21:EJ$28),EG21+1,0))</f>
        <v>16</v>
      </c>
      <c r="EN21" s="37">
        <f t="shared" ref="EN21:EN28" si="66">(EM21+$B$19)*$G$3</f>
        <v>136</v>
      </c>
      <c r="EO21" s="182">
        <f t="shared" ref="EO21:EO28" si="67">MOD($F6+EN21,$G$2)</f>
        <v>15</v>
      </c>
      <c r="EP21" s="183">
        <v>17</v>
      </c>
      <c r="EQ21" s="284"/>
      <c r="ER21" s="180">
        <v>1</v>
      </c>
      <c r="ES21" s="181">
        <f t="shared" ref="ES21:ES28" si="68">IF(EP21="",EM21,IF(EP21=MIN(EP$21:EP$28),EM21+1,0))</f>
        <v>17</v>
      </c>
      <c r="ET21" s="37">
        <f t="shared" ref="ET21:ET28" si="69">(ES21+$B$19)*$G$3</f>
        <v>144</v>
      </c>
      <c r="EU21" s="182">
        <f t="shared" ref="EU21:EU28" si="70">MOD($F6+ET21,$G$2)</f>
        <v>23</v>
      </c>
      <c r="EV21" s="183">
        <v>23</v>
      </c>
      <c r="EW21" s="287"/>
      <c r="EX21" s="201"/>
    </row>
    <row r="22" spans="1:154" x14ac:dyDescent="0.45">
      <c r="A22" s="294"/>
      <c r="B22" s="195">
        <v>2</v>
      </c>
      <c r="C22" s="37">
        <f t="shared" ref="C22:C28" si="71">IF(B22=MIN(B$21:B$28),1,0)</f>
        <v>0</v>
      </c>
      <c r="D22" s="37">
        <f t="shared" si="3"/>
        <v>8</v>
      </c>
      <c r="E22" s="196">
        <f t="shared" si="4"/>
        <v>11</v>
      </c>
      <c r="F22" s="150"/>
      <c r="G22" s="287"/>
      <c r="H22" s="201"/>
      <c r="I22" s="294"/>
      <c r="J22" s="1">
        <v>2</v>
      </c>
      <c r="K22">
        <f t="shared" si="5"/>
        <v>0</v>
      </c>
      <c r="L22" s="37">
        <f t="shared" si="6"/>
        <v>8</v>
      </c>
      <c r="M22" s="196">
        <f t="shared" si="7"/>
        <v>11</v>
      </c>
      <c r="N22" s="150"/>
      <c r="O22" s="284"/>
      <c r="P22" s="1">
        <v>2</v>
      </c>
      <c r="Q22">
        <f t="shared" si="8"/>
        <v>0</v>
      </c>
      <c r="R22" s="37">
        <f t="shared" si="9"/>
        <v>8</v>
      </c>
      <c r="S22" s="196">
        <f t="shared" si="10"/>
        <v>11</v>
      </c>
      <c r="T22" s="150"/>
      <c r="U22" s="287"/>
      <c r="V22" s="201"/>
      <c r="W22" s="294"/>
      <c r="X22" s="1">
        <v>2</v>
      </c>
      <c r="Y22">
        <f t="shared" si="11"/>
        <v>0</v>
      </c>
      <c r="Z22" s="37">
        <f t="shared" si="12"/>
        <v>8</v>
      </c>
      <c r="AA22" s="196">
        <f t="shared" si="13"/>
        <v>11</v>
      </c>
      <c r="AB22" s="150"/>
      <c r="AC22" s="284"/>
      <c r="AD22" s="1">
        <v>2</v>
      </c>
      <c r="AE22">
        <f t="shared" si="14"/>
        <v>0</v>
      </c>
      <c r="AF22" s="37">
        <f t="shared" si="15"/>
        <v>8</v>
      </c>
      <c r="AG22" s="196">
        <f t="shared" si="16"/>
        <v>11</v>
      </c>
      <c r="AH22" s="150">
        <v>8</v>
      </c>
      <c r="AI22" s="284"/>
      <c r="AJ22" s="1">
        <v>2</v>
      </c>
      <c r="AK22">
        <f t="shared" si="17"/>
        <v>0</v>
      </c>
      <c r="AL22" s="37">
        <f t="shared" si="18"/>
        <v>8</v>
      </c>
      <c r="AM22" s="196">
        <f t="shared" si="19"/>
        <v>11</v>
      </c>
      <c r="AN22" s="150"/>
      <c r="AO22" s="287"/>
      <c r="AP22" s="201"/>
      <c r="AQ22" s="294"/>
      <c r="AR22" s="1">
        <v>2</v>
      </c>
      <c r="AS22">
        <f t="shared" si="20"/>
        <v>0</v>
      </c>
      <c r="AT22" s="37">
        <f t="shared" si="21"/>
        <v>8</v>
      </c>
      <c r="AU22" s="196">
        <f t="shared" si="22"/>
        <v>11</v>
      </c>
      <c r="AV22" s="150"/>
      <c r="AW22" s="284"/>
      <c r="AX22" s="1">
        <v>2</v>
      </c>
      <c r="AY22">
        <f t="shared" si="23"/>
        <v>0</v>
      </c>
      <c r="AZ22" s="37">
        <f t="shared" si="24"/>
        <v>8</v>
      </c>
      <c r="BA22" s="196">
        <f t="shared" si="25"/>
        <v>11</v>
      </c>
      <c r="BB22" s="150"/>
      <c r="BC22" s="287"/>
      <c r="BD22" s="201"/>
      <c r="BE22" s="294"/>
      <c r="BF22" s="1">
        <v>2</v>
      </c>
      <c r="BG22">
        <f t="shared" si="26"/>
        <v>0</v>
      </c>
      <c r="BH22" s="37">
        <f t="shared" si="27"/>
        <v>8</v>
      </c>
      <c r="BI22" s="196">
        <f t="shared" si="28"/>
        <v>11</v>
      </c>
      <c r="BJ22" s="150"/>
      <c r="BK22" s="284"/>
      <c r="BL22" s="1">
        <v>2</v>
      </c>
      <c r="BM22">
        <f t="shared" si="29"/>
        <v>0</v>
      </c>
      <c r="BN22" s="37">
        <f t="shared" si="30"/>
        <v>8</v>
      </c>
      <c r="BO22" s="196">
        <f t="shared" si="31"/>
        <v>11</v>
      </c>
      <c r="BP22" s="150">
        <v>16</v>
      </c>
      <c r="BQ22" s="284"/>
      <c r="BR22" s="1">
        <v>2</v>
      </c>
      <c r="BS22">
        <f t="shared" si="32"/>
        <v>0</v>
      </c>
      <c r="BT22" s="37">
        <f t="shared" si="33"/>
        <v>8</v>
      </c>
      <c r="BU22" s="196">
        <f t="shared" si="34"/>
        <v>11</v>
      </c>
      <c r="BV22" s="150"/>
      <c r="BW22" s="284"/>
      <c r="BX22" s="1">
        <v>2</v>
      </c>
      <c r="BY22">
        <f t="shared" si="35"/>
        <v>0</v>
      </c>
      <c r="BZ22" s="37">
        <f t="shared" si="36"/>
        <v>8</v>
      </c>
      <c r="CA22" s="196">
        <f t="shared" si="37"/>
        <v>11</v>
      </c>
      <c r="CB22" s="150"/>
      <c r="CC22" s="287"/>
      <c r="CD22" s="201"/>
      <c r="CE22" s="294"/>
      <c r="CF22" s="1">
        <v>2</v>
      </c>
      <c r="CG22">
        <f t="shared" si="38"/>
        <v>0</v>
      </c>
      <c r="CH22" s="37">
        <f t="shared" si="39"/>
        <v>8</v>
      </c>
      <c r="CI22" s="196">
        <f t="shared" si="40"/>
        <v>11</v>
      </c>
      <c r="CJ22" s="150"/>
      <c r="CK22" s="284"/>
      <c r="CL22" s="1">
        <v>2</v>
      </c>
      <c r="CM22">
        <f t="shared" si="41"/>
        <v>0</v>
      </c>
      <c r="CN22" s="37">
        <f t="shared" si="42"/>
        <v>8</v>
      </c>
      <c r="CO22" s="196">
        <f t="shared" si="43"/>
        <v>11</v>
      </c>
      <c r="CP22" s="150">
        <v>8</v>
      </c>
      <c r="CQ22" s="284"/>
      <c r="CR22" s="1">
        <v>2</v>
      </c>
      <c r="CS22">
        <f t="shared" si="44"/>
        <v>0</v>
      </c>
      <c r="CT22" s="37">
        <f t="shared" si="45"/>
        <v>8</v>
      </c>
      <c r="CU22" s="196">
        <f t="shared" si="46"/>
        <v>11</v>
      </c>
      <c r="CV22" s="150"/>
      <c r="CW22" s="284"/>
      <c r="CX22" s="1">
        <v>2</v>
      </c>
      <c r="CY22">
        <f t="shared" si="47"/>
        <v>0</v>
      </c>
      <c r="CZ22" s="37">
        <f t="shared" si="48"/>
        <v>8</v>
      </c>
      <c r="DA22" s="196">
        <f t="shared" si="49"/>
        <v>11</v>
      </c>
      <c r="DB22" s="150"/>
      <c r="DC22" s="287"/>
      <c r="DD22" s="201"/>
      <c r="DE22" s="294"/>
      <c r="DF22" s="1">
        <v>2</v>
      </c>
      <c r="DG22">
        <f t="shared" si="50"/>
        <v>0</v>
      </c>
      <c r="DH22" s="37">
        <f t="shared" si="51"/>
        <v>8</v>
      </c>
      <c r="DI22" s="196">
        <f t="shared" si="52"/>
        <v>11</v>
      </c>
      <c r="DJ22" s="150"/>
      <c r="DK22" s="284"/>
      <c r="DL22" s="1">
        <v>2</v>
      </c>
      <c r="DM22">
        <f t="shared" si="53"/>
        <v>0</v>
      </c>
      <c r="DN22" s="37">
        <f t="shared" si="54"/>
        <v>8</v>
      </c>
      <c r="DO22" s="196">
        <f t="shared" si="55"/>
        <v>11</v>
      </c>
      <c r="DP22" s="150"/>
      <c r="DQ22" s="284"/>
      <c r="DR22" s="1">
        <v>2</v>
      </c>
      <c r="DS22">
        <f t="shared" si="56"/>
        <v>0</v>
      </c>
      <c r="DT22" s="37">
        <f t="shared" si="57"/>
        <v>8</v>
      </c>
      <c r="DU22" s="196">
        <f t="shared" si="58"/>
        <v>11</v>
      </c>
      <c r="DV22" s="150"/>
      <c r="DW22" s="287"/>
      <c r="DX22" s="201"/>
      <c r="DY22" s="294"/>
      <c r="DZ22" s="1">
        <v>2</v>
      </c>
      <c r="EA22">
        <f t="shared" si="59"/>
        <v>0</v>
      </c>
      <c r="EB22" s="37">
        <f t="shared" si="60"/>
        <v>8</v>
      </c>
      <c r="EC22" s="196">
        <f t="shared" si="61"/>
        <v>11</v>
      </c>
      <c r="ED22" s="150"/>
      <c r="EE22" s="284"/>
      <c r="EF22" s="1">
        <v>2</v>
      </c>
      <c r="EG22">
        <f t="shared" si="62"/>
        <v>0</v>
      </c>
      <c r="EH22" s="37">
        <f t="shared" si="63"/>
        <v>8</v>
      </c>
      <c r="EI22" s="196">
        <f t="shared" si="64"/>
        <v>11</v>
      </c>
      <c r="EJ22" s="150">
        <v>10</v>
      </c>
      <c r="EK22" s="284"/>
      <c r="EL22" s="1">
        <v>2</v>
      </c>
      <c r="EM22">
        <f t="shared" si="65"/>
        <v>0</v>
      </c>
      <c r="EN22" s="37">
        <f t="shared" si="66"/>
        <v>8</v>
      </c>
      <c r="EO22" s="196">
        <f t="shared" si="67"/>
        <v>11</v>
      </c>
      <c r="EP22" s="150"/>
      <c r="EQ22" s="284"/>
      <c r="ER22" s="1">
        <v>2</v>
      </c>
      <c r="ES22">
        <f t="shared" si="68"/>
        <v>0</v>
      </c>
      <c r="ET22" s="37">
        <f t="shared" si="69"/>
        <v>8</v>
      </c>
      <c r="EU22" s="196">
        <f t="shared" si="70"/>
        <v>11</v>
      </c>
      <c r="EV22" s="150"/>
      <c r="EW22" s="287"/>
      <c r="EX22" s="201"/>
    </row>
    <row r="23" spans="1:154" s="77" customFormat="1" x14ac:dyDescent="0.45">
      <c r="A23" s="294"/>
      <c r="B23" s="195">
        <v>3</v>
      </c>
      <c r="C23" s="37">
        <f t="shared" si="71"/>
        <v>0</v>
      </c>
      <c r="D23" s="37">
        <f t="shared" si="3"/>
        <v>8</v>
      </c>
      <c r="E23" s="196">
        <f t="shared" si="4"/>
        <v>22</v>
      </c>
      <c r="F23" s="150"/>
      <c r="G23" s="287"/>
      <c r="H23" s="201"/>
      <c r="I23" s="294"/>
      <c r="J23" s="1">
        <v>3</v>
      </c>
      <c r="K23">
        <f t="shared" si="5"/>
        <v>0</v>
      </c>
      <c r="L23" s="37">
        <f t="shared" si="6"/>
        <v>8</v>
      </c>
      <c r="M23" s="196">
        <f t="shared" si="7"/>
        <v>22</v>
      </c>
      <c r="N23" s="150"/>
      <c r="O23" s="284"/>
      <c r="P23" s="1">
        <v>3</v>
      </c>
      <c r="Q23">
        <f t="shared" si="8"/>
        <v>0</v>
      </c>
      <c r="R23" s="37">
        <f t="shared" si="9"/>
        <v>8</v>
      </c>
      <c r="S23" s="196">
        <f t="shared" si="10"/>
        <v>22</v>
      </c>
      <c r="T23" s="150"/>
      <c r="U23" s="287"/>
      <c r="V23" s="201"/>
      <c r="W23" s="294"/>
      <c r="X23" s="1">
        <v>3</v>
      </c>
      <c r="Y23">
        <f t="shared" si="11"/>
        <v>0</v>
      </c>
      <c r="Z23" s="37">
        <f t="shared" si="12"/>
        <v>8</v>
      </c>
      <c r="AA23" s="196">
        <f t="shared" si="13"/>
        <v>22</v>
      </c>
      <c r="AB23" s="150"/>
      <c r="AC23" s="284"/>
      <c r="AD23" s="1">
        <v>3</v>
      </c>
      <c r="AE23">
        <f t="shared" si="14"/>
        <v>0</v>
      </c>
      <c r="AF23" s="37">
        <f t="shared" si="15"/>
        <v>8</v>
      </c>
      <c r="AG23" s="196">
        <f t="shared" si="16"/>
        <v>22</v>
      </c>
      <c r="AH23" s="150"/>
      <c r="AI23" s="284"/>
      <c r="AJ23" s="1">
        <v>3</v>
      </c>
      <c r="AK23">
        <f t="shared" si="17"/>
        <v>0</v>
      </c>
      <c r="AL23" s="37">
        <f t="shared" si="18"/>
        <v>8</v>
      </c>
      <c r="AM23" s="196">
        <f t="shared" si="19"/>
        <v>22</v>
      </c>
      <c r="AN23" s="150"/>
      <c r="AO23" s="287"/>
      <c r="AP23" s="201"/>
      <c r="AQ23" s="294"/>
      <c r="AR23" s="1">
        <v>3</v>
      </c>
      <c r="AS23">
        <f t="shared" si="20"/>
        <v>0</v>
      </c>
      <c r="AT23" s="37">
        <f t="shared" si="21"/>
        <v>8</v>
      </c>
      <c r="AU23" s="196">
        <f t="shared" si="22"/>
        <v>22</v>
      </c>
      <c r="AV23" s="150"/>
      <c r="AW23" s="284"/>
      <c r="AX23" s="1">
        <v>3</v>
      </c>
      <c r="AY23">
        <f t="shared" si="23"/>
        <v>0</v>
      </c>
      <c r="AZ23" s="37">
        <f t="shared" si="24"/>
        <v>8</v>
      </c>
      <c r="BA23" s="196">
        <f t="shared" si="25"/>
        <v>22</v>
      </c>
      <c r="BB23" s="150"/>
      <c r="BC23" s="287"/>
      <c r="BD23" s="201"/>
      <c r="BE23" s="294"/>
      <c r="BF23" s="1">
        <v>3</v>
      </c>
      <c r="BG23">
        <f t="shared" si="26"/>
        <v>0</v>
      </c>
      <c r="BH23" s="37">
        <f t="shared" si="27"/>
        <v>8</v>
      </c>
      <c r="BI23" s="196">
        <f t="shared" si="28"/>
        <v>22</v>
      </c>
      <c r="BJ23" s="150"/>
      <c r="BK23" s="284"/>
      <c r="BL23" s="1">
        <v>3</v>
      </c>
      <c r="BM23">
        <f t="shared" si="29"/>
        <v>0</v>
      </c>
      <c r="BN23" s="37">
        <f t="shared" si="30"/>
        <v>8</v>
      </c>
      <c r="BO23" s="196">
        <f t="shared" si="31"/>
        <v>22</v>
      </c>
      <c r="BP23" s="150"/>
      <c r="BQ23" s="284"/>
      <c r="BR23" s="1">
        <v>3</v>
      </c>
      <c r="BS23">
        <f t="shared" si="32"/>
        <v>0</v>
      </c>
      <c r="BT23" s="37">
        <f t="shared" si="33"/>
        <v>8</v>
      </c>
      <c r="BU23" s="196">
        <f t="shared" si="34"/>
        <v>22</v>
      </c>
      <c r="BV23" s="150"/>
      <c r="BW23" s="284"/>
      <c r="BX23" s="1">
        <v>3</v>
      </c>
      <c r="BY23">
        <f t="shared" si="35"/>
        <v>0</v>
      </c>
      <c r="BZ23" s="37">
        <f t="shared" si="36"/>
        <v>8</v>
      </c>
      <c r="CA23" s="196">
        <f t="shared" si="37"/>
        <v>22</v>
      </c>
      <c r="CB23" s="150"/>
      <c r="CC23" s="287"/>
      <c r="CD23" s="201"/>
      <c r="CE23" s="294"/>
      <c r="CF23" s="1">
        <v>3</v>
      </c>
      <c r="CG23">
        <f t="shared" si="38"/>
        <v>0</v>
      </c>
      <c r="CH23" s="37">
        <f t="shared" si="39"/>
        <v>8</v>
      </c>
      <c r="CI23" s="196">
        <f t="shared" si="40"/>
        <v>22</v>
      </c>
      <c r="CJ23" s="150"/>
      <c r="CK23" s="284"/>
      <c r="CL23" s="1">
        <v>3</v>
      </c>
      <c r="CM23">
        <f t="shared" si="41"/>
        <v>0</v>
      </c>
      <c r="CN23" s="37">
        <f t="shared" si="42"/>
        <v>8</v>
      </c>
      <c r="CO23" s="196">
        <f t="shared" si="43"/>
        <v>22</v>
      </c>
      <c r="CP23" s="150"/>
      <c r="CQ23" s="284"/>
      <c r="CR23" s="1">
        <v>3</v>
      </c>
      <c r="CS23">
        <f t="shared" si="44"/>
        <v>0</v>
      </c>
      <c r="CT23" s="37">
        <f t="shared" si="45"/>
        <v>8</v>
      </c>
      <c r="CU23" s="196">
        <f t="shared" si="46"/>
        <v>22</v>
      </c>
      <c r="CV23" s="150"/>
      <c r="CW23" s="284"/>
      <c r="CX23" s="1">
        <v>3</v>
      </c>
      <c r="CY23">
        <f t="shared" si="47"/>
        <v>0</v>
      </c>
      <c r="CZ23" s="37">
        <f t="shared" si="48"/>
        <v>8</v>
      </c>
      <c r="DA23" s="196">
        <f t="shared" si="49"/>
        <v>22</v>
      </c>
      <c r="DB23" s="150"/>
      <c r="DC23" s="287"/>
      <c r="DD23" s="201"/>
      <c r="DE23" s="294"/>
      <c r="DF23" s="1">
        <v>3</v>
      </c>
      <c r="DG23">
        <f t="shared" si="50"/>
        <v>0</v>
      </c>
      <c r="DH23" s="37">
        <f t="shared" si="51"/>
        <v>8</v>
      </c>
      <c r="DI23" s="196">
        <f t="shared" si="52"/>
        <v>22</v>
      </c>
      <c r="DJ23" s="150"/>
      <c r="DK23" s="284"/>
      <c r="DL23" s="1">
        <v>3</v>
      </c>
      <c r="DM23">
        <f t="shared" si="53"/>
        <v>0</v>
      </c>
      <c r="DN23" s="37">
        <f t="shared" si="54"/>
        <v>8</v>
      </c>
      <c r="DO23" s="196">
        <f t="shared" si="55"/>
        <v>22</v>
      </c>
      <c r="DP23" s="150"/>
      <c r="DQ23" s="284"/>
      <c r="DR23" s="1">
        <v>3</v>
      </c>
      <c r="DS23">
        <f t="shared" si="56"/>
        <v>0</v>
      </c>
      <c r="DT23" s="37">
        <f t="shared" si="57"/>
        <v>8</v>
      </c>
      <c r="DU23" s="196">
        <f t="shared" si="58"/>
        <v>22</v>
      </c>
      <c r="DV23" s="150"/>
      <c r="DW23" s="287"/>
      <c r="DX23" s="201"/>
      <c r="DY23" s="294"/>
      <c r="DZ23" s="1">
        <v>3</v>
      </c>
      <c r="EA23">
        <f t="shared" si="59"/>
        <v>0</v>
      </c>
      <c r="EB23" s="37">
        <f t="shared" si="60"/>
        <v>8</v>
      </c>
      <c r="EC23" s="196">
        <f t="shared" si="61"/>
        <v>22</v>
      </c>
      <c r="ED23" s="150"/>
      <c r="EE23" s="284"/>
      <c r="EF23" s="1">
        <v>3</v>
      </c>
      <c r="EG23">
        <f t="shared" si="62"/>
        <v>0</v>
      </c>
      <c r="EH23" s="37">
        <f t="shared" si="63"/>
        <v>8</v>
      </c>
      <c r="EI23" s="196">
        <f t="shared" si="64"/>
        <v>22</v>
      </c>
      <c r="EJ23" s="150"/>
      <c r="EK23" s="284"/>
      <c r="EL23" s="1">
        <v>3</v>
      </c>
      <c r="EM23">
        <f t="shared" si="65"/>
        <v>0</v>
      </c>
      <c r="EN23" s="37">
        <f t="shared" si="66"/>
        <v>8</v>
      </c>
      <c r="EO23" s="196">
        <f t="shared" si="67"/>
        <v>22</v>
      </c>
      <c r="EP23" s="150"/>
      <c r="EQ23" s="284"/>
      <c r="ER23" s="1">
        <v>3</v>
      </c>
      <c r="ES23">
        <f t="shared" si="68"/>
        <v>0</v>
      </c>
      <c r="ET23" s="37">
        <f t="shared" si="69"/>
        <v>8</v>
      </c>
      <c r="EU23" s="196">
        <f t="shared" si="70"/>
        <v>22</v>
      </c>
      <c r="EV23" s="150"/>
      <c r="EW23" s="287"/>
      <c r="EX23" s="201"/>
    </row>
    <row r="24" spans="1:154" x14ac:dyDescent="0.45">
      <c r="A24" s="294"/>
      <c r="B24" s="195">
        <v>4</v>
      </c>
      <c r="C24" s="37">
        <f t="shared" si="71"/>
        <v>0</v>
      </c>
      <c r="D24" s="37">
        <f t="shared" si="3"/>
        <v>8</v>
      </c>
      <c r="E24" s="196">
        <f t="shared" si="4"/>
        <v>18</v>
      </c>
      <c r="F24" s="150">
        <v>2</v>
      </c>
      <c r="G24" s="287"/>
      <c r="H24" s="201"/>
      <c r="I24" s="294"/>
      <c r="J24" s="1">
        <v>4</v>
      </c>
      <c r="K24">
        <f t="shared" si="5"/>
        <v>0</v>
      </c>
      <c r="L24" s="37">
        <f t="shared" si="6"/>
        <v>8</v>
      </c>
      <c r="M24" s="196">
        <f t="shared" si="7"/>
        <v>18</v>
      </c>
      <c r="N24" s="150"/>
      <c r="O24" s="284"/>
      <c r="P24" s="1">
        <v>4</v>
      </c>
      <c r="Q24">
        <f t="shared" si="8"/>
        <v>0</v>
      </c>
      <c r="R24" s="37">
        <f t="shared" si="9"/>
        <v>8</v>
      </c>
      <c r="S24" s="196">
        <f t="shared" si="10"/>
        <v>18</v>
      </c>
      <c r="T24" s="150"/>
      <c r="U24" s="287"/>
      <c r="V24" s="201"/>
      <c r="W24" s="294"/>
      <c r="X24" s="1">
        <v>4</v>
      </c>
      <c r="Y24">
        <f t="shared" si="11"/>
        <v>0</v>
      </c>
      <c r="Z24" s="37">
        <f t="shared" si="12"/>
        <v>8</v>
      </c>
      <c r="AA24" s="196">
        <f t="shared" si="13"/>
        <v>18</v>
      </c>
      <c r="AB24" s="150"/>
      <c r="AC24" s="284"/>
      <c r="AD24" s="1">
        <v>4</v>
      </c>
      <c r="AE24">
        <f t="shared" si="14"/>
        <v>0</v>
      </c>
      <c r="AF24" s="37">
        <f t="shared" si="15"/>
        <v>8</v>
      </c>
      <c r="AG24" s="196">
        <f t="shared" si="16"/>
        <v>18</v>
      </c>
      <c r="AH24" s="150"/>
      <c r="AI24" s="284"/>
      <c r="AJ24" s="1">
        <v>4</v>
      </c>
      <c r="AK24">
        <f t="shared" si="17"/>
        <v>0</v>
      </c>
      <c r="AL24" s="37">
        <f t="shared" si="18"/>
        <v>8</v>
      </c>
      <c r="AM24" s="196">
        <f t="shared" si="19"/>
        <v>18</v>
      </c>
      <c r="AN24" s="150">
        <v>18</v>
      </c>
      <c r="AO24" s="287"/>
      <c r="AP24" s="201"/>
      <c r="AQ24" s="294"/>
      <c r="AR24" s="1">
        <v>4</v>
      </c>
      <c r="AS24">
        <f t="shared" si="20"/>
        <v>0</v>
      </c>
      <c r="AT24" s="37">
        <f t="shared" si="21"/>
        <v>8</v>
      </c>
      <c r="AU24" s="196">
        <f t="shared" si="22"/>
        <v>18</v>
      </c>
      <c r="AV24" s="150"/>
      <c r="AW24" s="284"/>
      <c r="AX24" s="1">
        <v>4</v>
      </c>
      <c r="AY24">
        <f t="shared" si="23"/>
        <v>0</v>
      </c>
      <c r="AZ24" s="37">
        <f t="shared" si="24"/>
        <v>8</v>
      </c>
      <c r="BA24" s="196">
        <f t="shared" si="25"/>
        <v>18</v>
      </c>
      <c r="BB24" s="150"/>
      <c r="BC24" s="287"/>
      <c r="BD24" s="201"/>
      <c r="BE24" s="294"/>
      <c r="BF24" s="1">
        <v>4</v>
      </c>
      <c r="BG24">
        <f t="shared" si="26"/>
        <v>0</v>
      </c>
      <c r="BH24" s="37">
        <f t="shared" si="27"/>
        <v>8</v>
      </c>
      <c r="BI24" s="196">
        <f t="shared" si="28"/>
        <v>18</v>
      </c>
      <c r="BJ24" s="150"/>
      <c r="BK24" s="284"/>
      <c r="BL24" s="1">
        <v>4</v>
      </c>
      <c r="BM24">
        <f t="shared" si="29"/>
        <v>0</v>
      </c>
      <c r="BN24" s="37">
        <f t="shared" si="30"/>
        <v>8</v>
      </c>
      <c r="BO24" s="196">
        <f t="shared" si="31"/>
        <v>18</v>
      </c>
      <c r="BP24" s="150"/>
      <c r="BQ24" s="284"/>
      <c r="BR24" s="1">
        <v>4</v>
      </c>
      <c r="BS24">
        <f t="shared" si="32"/>
        <v>0</v>
      </c>
      <c r="BT24" s="37">
        <f t="shared" si="33"/>
        <v>8</v>
      </c>
      <c r="BU24" s="196">
        <f t="shared" si="34"/>
        <v>18</v>
      </c>
      <c r="BV24" s="150">
        <v>22</v>
      </c>
      <c r="BW24" s="284"/>
      <c r="BX24" s="1">
        <v>4</v>
      </c>
      <c r="BY24">
        <f t="shared" si="35"/>
        <v>0</v>
      </c>
      <c r="BZ24" s="37">
        <f t="shared" si="36"/>
        <v>8</v>
      </c>
      <c r="CA24" s="196">
        <f t="shared" si="37"/>
        <v>18</v>
      </c>
      <c r="CB24" s="150"/>
      <c r="CC24" s="287"/>
      <c r="CD24" s="201"/>
      <c r="CE24" s="294"/>
      <c r="CF24" s="1">
        <v>4</v>
      </c>
      <c r="CG24">
        <f t="shared" si="38"/>
        <v>0</v>
      </c>
      <c r="CH24" s="37">
        <f t="shared" si="39"/>
        <v>8</v>
      </c>
      <c r="CI24" s="196">
        <f t="shared" si="40"/>
        <v>18</v>
      </c>
      <c r="CJ24" s="150"/>
      <c r="CK24" s="284"/>
      <c r="CL24" s="1">
        <v>4</v>
      </c>
      <c r="CM24">
        <f t="shared" si="41"/>
        <v>0</v>
      </c>
      <c r="CN24" s="37">
        <f t="shared" si="42"/>
        <v>8</v>
      </c>
      <c r="CO24" s="196">
        <f t="shared" si="43"/>
        <v>18</v>
      </c>
      <c r="CP24" s="150"/>
      <c r="CQ24" s="284"/>
      <c r="CR24" s="1">
        <v>4</v>
      </c>
      <c r="CS24">
        <f t="shared" si="44"/>
        <v>0</v>
      </c>
      <c r="CT24" s="37">
        <f t="shared" si="45"/>
        <v>8</v>
      </c>
      <c r="CU24" s="196">
        <f t="shared" si="46"/>
        <v>18</v>
      </c>
      <c r="CV24" s="150"/>
      <c r="CW24" s="284"/>
      <c r="CX24" s="1">
        <v>4</v>
      </c>
      <c r="CY24">
        <f t="shared" si="47"/>
        <v>0</v>
      </c>
      <c r="CZ24" s="37">
        <f t="shared" si="48"/>
        <v>8</v>
      </c>
      <c r="DA24" s="196">
        <f t="shared" si="49"/>
        <v>18</v>
      </c>
      <c r="DB24" s="150"/>
      <c r="DC24" s="287"/>
      <c r="DD24" s="201"/>
      <c r="DE24" s="294"/>
      <c r="DF24" s="1">
        <v>4</v>
      </c>
      <c r="DG24">
        <f t="shared" si="50"/>
        <v>0</v>
      </c>
      <c r="DH24" s="37">
        <f t="shared" si="51"/>
        <v>8</v>
      </c>
      <c r="DI24" s="196">
        <f t="shared" si="52"/>
        <v>18</v>
      </c>
      <c r="DJ24" s="150">
        <v>2</v>
      </c>
      <c r="DK24" s="284"/>
      <c r="DL24" s="1">
        <v>4</v>
      </c>
      <c r="DM24">
        <f t="shared" si="53"/>
        <v>0</v>
      </c>
      <c r="DN24" s="37">
        <f t="shared" si="54"/>
        <v>8</v>
      </c>
      <c r="DO24" s="196">
        <f t="shared" si="55"/>
        <v>18</v>
      </c>
      <c r="DP24" s="150"/>
      <c r="DQ24" s="284"/>
      <c r="DR24" s="1">
        <v>4</v>
      </c>
      <c r="DS24">
        <f t="shared" si="56"/>
        <v>0</v>
      </c>
      <c r="DT24" s="37">
        <f t="shared" si="57"/>
        <v>8</v>
      </c>
      <c r="DU24" s="196">
        <f t="shared" si="58"/>
        <v>18</v>
      </c>
      <c r="DV24" s="150"/>
      <c r="DW24" s="287"/>
      <c r="DX24" s="201"/>
      <c r="DY24" s="294"/>
      <c r="DZ24" s="1">
        <v>4</v>
      </c>
      <c r="EA24">
        <f t="shared" si="59"/>
        <v>0</v>
      </c>
      <c r="EB24" s="37">
        <f t="shared" si="60"/>
        <v>8</v>
      </c>
      <c r="EC24" s="196">
        <f t="shared" si="61"/>
        <v>18</v>
      </c>
      <c r="ED24" s="150"/>
      <c r="EE24" s="284"/>
      <c r="EF24" s="1">
        <v>4</v>
      </c>
      <c r="EG24">
        <f t="shared" si="62"/>
        <v>0</v>
      </c>
      <c r="EH24" s="37">
        <f t="shared" si="63"/>
        <v>8</v>
      </c>
      <c r="EI24" s="196">
        <f t="shared" si="64"/>
        <v>18</v>
      </c>
      <c r="EJ24" s="150"/>
      <c r="EK24" s="284"/>
      <c r="EL24" s="1">
        <v>4</v>
      </c>
      <c r="EM24">
        <f t="shared" si="65"/>
        <v>0</v>
      </c>
      <c r="EN24" s="37">
        <f t="shared" si="66"/>
        <v>8</v>
      </c>
      <c r="EO24" s="196">
        <f t="shared" si="67"/>
        <v>18</v>
      </c>
      <c r="EP24" s="150">
        <v>18</v>
      </c>
      <c r="EQ24" s="284"/>
      <c r="ER24" s="1">
        <v>4</v>
      </c>
      <c r="ES24">
        <f t="shared" si="68"/>
        <v>0</v>
      </c>
      <c r="ET24" s="37">
        <f t="shared" si="69"/>
        <v>8</v>
      </c>
      <c r="EU24" s="196">
        <f t="shared" si="70"/>
        <v>18</v>
      </c>
      <c r="EV24" s="150"/>
      <c r="EW24" s="287"/>
      <c r="EX24" s="201"/>
    </row>
    <row r="25" spans="1:154" x14ac:dyDescent="0.45">
      <c r="A25" s="294"/>
      <c r="B25" s="195">
        <v>5</v>
      </c>
      <c r="C25" s="37">
        <f t="shared" si="71"/>
        <v>0</v>
      </c>
      <c r="D25" s="37">
        <f t="shared" si="3"/>
        <v>8</v>
      </c>
      <c r="E25" s="196">
        <f t="shared" si="4"/>
        <v>28</v>
      </c>
      <c r="F25" s="150"/>
      <c r="G25" s="287"/>
      <c r="H25" s="201"/>
      <c r="I25" s="294"/>
      <c r="J25" s="1">
        <v>5</v>
      </c>
      <c r="K25">
        <f t="shared" si="5"/>
        <v>0</v>
      </c>
      <c r="L25" s="37">
        <f t="shared" si="6"/>
        <v>8</v>
      </c>
      <c r="M25" s="196">
        <f t="shared" si="7"/>
        <v>28</v>
      </c>
      <c r="N25" s="150"/>
      <c r="O25" s="284"/>
      <c r="P25" s="1">
        <v>5</v>
      </c>
      <c r="Q25">
        <f t="shared" si="8"/>
        <v>0</v>
      </c>
      <c r="R25" s="37">
        <f t="shared" si="9"/>
        <v>8</v>
      </c>
      <c r="S25" s="196">
        <f t="shared" si="10"/>
        <v>28</v>
      </c>
      <c r="T25" s="150"/>
      <c r="U25" s="287"/>
      <c r="V25" s="201"/>
      <c r="W25" s="294"/>
      <c r="X25" s="1">
        <v>5</v>
      </c>
      <c r="Y25">
        <f t="shared" si="11"/>
        <v>0</v>
      </c>
      <c r="Z25" s="37">
        <f t="shared" si="12"/>
        <v>8</v>
      </c>
      <c r="AA25" s="196">
        <f t="shared" si="13"/>
        <v>28</v>
      </c>
      <c r="AB25" s="150"/>
      <c r="AC25" s="284"/>
      <c r="AD25" s="1">
        <v>5</v>
      </c>
      <c r="AE25">
        <f t="shared" si="14"/>
        <v>0</v>
      </c>
      <c r="AF25" s="37">
        <f t="shared" si="15"/>
        <v>8</v>
      </c>
      <c r="AG25" s="196">
        <f t="shared" si="16"/>
        <v>28</v>
      </c>
      <c r="AH25" s="150"/>
      <c r="AI25" s="284"/>
      <c r="AJ25" s="1">
        <v>5</v>
      </c>
      <c r="AK25">
        <f t="shared" si="17"/>
        <v>0</v>
      </c>
      <c r="AL25" s="37">
        <f t="shared" si="18"/>
        <v>8</v>
      </c>
      <c r="AM25" s="196">
        <f t="shared" si="19"/>
        <v>28</v>
      </c>
      <c r="AN25" s="150"/>
      <c r="AO25" s="287"/>
      <c r="AP25" s="201"/>
      <c r="AQ25" s="294"/>
      <c r="AR25" s="1">
        <v>5</v>
      </c>
      <c r="AS25">
        <f t="shared" si="20"/>
        <v>0</v>
      </c>
      <c r="AT25" s="37">
        <f t="shared" si="21"/>
        <v>8</v>
      </c>
      <c r="AU25" s="196">
        <f t="shared" si="22"/>
        <v>28</v>
      </c>
      <c r="AV25" s="150"/>
      <c r="AW25" s="284"/>
      <c r="AX25" s="1">
        <v>5</v>
      </c>
      <c r="AY25">
        <f t="shared" si="23"/>
        <v>0</v>
      </c>
      <c r="AZ25" s="37">
        <f t="shared" si="24"/>
        <v>8</v>
      </c>
      <c r="BA25" s="196">
        <f t="shared" si="25"/>
        <v>28</v>
      </c>
      <c r="BB25" s="150"/>
      <c r="BC25" s="287"/>
      <c r="BD25" s="201"/>
      <c r="BE25" s="294"/>
      <c r="BF25" s="1">
        <v>5</v>
      </c>
      <c r="BG25">
        <f t="shared" si="26"/>
        <v>0</v>
      </c>
      <c r="BH25" s="37">
        <f t="shared" si="27"/>
        <v>8</v>
      </c>
      <c r="BI25" s="196">
        <f t="shared" si="28"/>
        <v>28</v>
      </c>
      <c r="BJ25" s="150"/>
      <c r="BK25" s="284"/>
      <c r="BL25" s="1">
        <v>5</v>
      </c>
      <c r="BM25">
        <f t="shared" si="29"/>
        <v>0</v>
      </c>
      <c r="BN25" s="37">
        <f t="shared" si="30"/>
        <v>8</v>
      </c>
      <c r="BO25" s="196">
        <f t="shared" si="31"/>
        <v>28</v>
      </c>
      <c r="BP25" s="150"/>
      <c r="BQ25" s="284"/>
      <c r="BR25" s="1">
        <v>5</v>
      </c>
      <c r="BS25">
        <f t="shared" si="32"/>
        <v>0</v>
      </c>
      <c r="BT25" s="37">
        <f t="shared" si="33"/>
        <v>8</v>
      </c>
      <c r="BU25" s="196">
        <f t="shared" si="34"/>
        <v>28</v>
      </c>
      <c r="BV25" s="150"/>
      <c r="BW25" s="284"/>
      <c r="BX25" s="1">
        <v>5</v>
      </c>
      <c r="BY25">
        <f t="shared" si="35"/>
        <v>0</v>
      </c>
      <c r="BZ25" s="37">
        <f t="shared" si="36"/>
        <v>8</v>
      </c>
      <c r="CA25" s="196">
        <f t="shared" si="37"/>
        <v>28</v>
      </c>
      <c r="CB25" s="150"/>
      <c r="CC25" s="287"/>
      <c r="CD25" s="201"/>
      <c r="CE25" s="294"/>
      <c r="CF25" s="1">
        <v>5</v>
      </c>
      <c r="CG25">
        <f t="shared" si="38"/>
        <v>0</v>
      </c>
      <c r="CH25" s="37">
        <f t="shared" si="39"/>
        <v>8</v>
      </c>
      <c r="CI25" s="196">
        <f t="shared" si="40"/>
        <v>28</v>
      </c>
      <c r="CJ25" s="150"/>
      <c r="CK25" s="284"/>
      <c r="CL25" s="1">
        <v>5</v>
      </c>
      <c r="CM25">
        <f t="shared" si="41"/>
        <v>0</v>
      </c>
      <c r="CN25" s="37">
        <f t="shared" si="42"/>
        <v>8</v>
      </c>
      <c r="CO25" s="196">
        <f t="shared" si="43"/>
        <v>28</v>
      </c>
      <c r="CP25" s="150"/>
      <c r="CQ25" s="284"/>
      <c r="CR25" s="1">
        <v>5</v>
      </c>
      <c r="CS25">
        <f t="shared" si="44"/>
        <v>0</v>
      </c>
      <c r="CT25" s="37">
        <f t="shared" si="45"/>
        <v>8</v>
      </c>
      <c r="CU25" s="196">
        <f t="shared" si="46"/>
        <v>28</v>
      </c>
      <c r="CV25" s="150"/>
      <c r="CW25" s="284"/>
      <c r="CX25" s="1">
        <v>5</v>
      </c>
      <c r="CY25">
        <f t="shared" si="47"/>
        <v>0</v>
      </c>
      <c r="CZ25" s="37">
        <f t="shared" si="48"/>
        <v>8</v>
      </c>
      <c r="DA25" s="196">
        <f t="shared" si="49"/>
        <v>28</v>
      </c>
      <c r="DB25" s="150"/>
      <c r="DC25" s="287"/>
      <c r="DD25" s="201"/>
      <c r="DE25" s="294"/>
      <c r="DF25" s="1">
        <v>5</v>
      </c>
      <c r="DG25">
        <f t="shared" si="50"/>
        <v>0</v>
      </c>
      <c r="DH25" s="37">
        <f t="shared" si="51"/>
        <v>8</v>
      </c>
      <c r="DI25" s="196">
        <f t="shared" si="52"/>
        <v>28</v>
      </c>
      <c r="DJ25" s="150"/>
      <c r="DK25" s="284"/>
      <c r="DL25" s="1">
        <v>5</v>
      </c>
      <c r="DM25">
        <f t="shared" si="53"/>
        <v>0</v>
      </c>
      <c r="DN25" s="37">
        <f t="shared" si="54"/>
        <v>8</v>
      </c>
      <c r="DO25" s="196">
        <f t="shared" si="55"/>
        <v>28</v>
      </c>
      <c r="DP25" s="150"/>
      <c r="DQ25" s="284"/>
      <c r="DR25" s="1">
        <v>5</v>
      </c>
      <c r="DS25">
        <f t="shared" si="56"/>
        <v>0</v>
      </c>
      <c r="DT25" s="37">
        <f t="shared" si="57"/>
        <v>8</v>
      </c>
      <c r="DU25" s="196">
        <f t="shared" si="58"/>
        <v>28</v>
      </c>
      <c r="DV25" s="150"/>
      <c r="DW25" s="287"/>
      <c r="DX25" s="201"/>
      <c r="DY25" s="294"/>
      <c r="DZ25" s="1">
        <v>5</v>
      </c>
      <c r="EA25">
        <f t="shared" si="59"/>
        <v>0</v>
      </c>
      <c r="EB25" s="37">
        <f t="shared" si="60"/>
        <v>8</v>
      </c>
      <c r="EC25" s="196">
        <f t="shared" si="61"/>
        <v>28</v>
      </c>
      <c r="ED25" s="150"/>
      <c r="EE25" s="284"/>
      <c r="EF25" s="1">
        <v>5</v>
      </c>
      <c r="EG25">
        <f t="shared" si="62"/>
        <v>0</v>
      </c>
      <c r="EH25" s="37">
        <f t="shared" si="63"/>
        <v>8</v>
      </c>
      <c r="EI25" s="196">
        <f t="shared" si="64"/>
        <v>28</v>
      </c>
      <c r="EJ25" s="150"/>
      <c r="EK25" s="284"/>
      <c r="EL25" s="1">
        <v>5</v>
      </c>
      <c r="EM25">
        <f t="shared" si="65"/>
        <v>0</v>
      </c>
      <c r="EN25" s="37">
        <f t="shared" si="66"/>
        <v>8</v>
      </c>
      <c r="EO25" s="196">
        <f t="shared" si="67"/>
        <v>28</v>
      </c>
      <c r="EP25" s="150"/>
      <c r="EQ25" s="284"/>
      <c r="ER25" s="1">
        <v>5</v>
      </c>
      <c r="ES25">
        <f t="shared" si="68"/>
        <v>0</v>
      </c>
      <c r="ET25" s="37">
        <f t="shared" si="69"/>
        <v>8</v>
      </c>
      <c r="EU25" s="196">
        <f t="shared" si="70"/>
        <v>28</v>
      </c>
      <c r="EV25" s="150"/>
      <c r="EW25" s="287"/>
      <c r="EX25" s="201"/>
    </row>
    <row r="26" spans="1:154" x14ac:dyDescent="0.45">
      <c r="A26" s="294"/>
      <c r="B26" s="195">
        <v>6</v>
      </c>
      <c r="C26" s="37">
        <f t="shared" si="71"/>
        <v>0</v>
      </c>
      <c r="D26" s="37">
        <f t="shared" si="3"/>
        <v>8</v>
      </c>
      <c r="E26" s="196">
        <f t="shared" si="4"/>
        <v>24</v>
      </c>
      <c r="F26" s="150"/>
      <c r="G26" s="287"/>
      <c r="H26" s="201"/>
      <c r="I26" s="294"/>
      <c r="J26" s="1">
        <v>6</v>
      </c>
      <c r="K26">
        <f t="shared" si="5"/>
        <v>0</v>
      </c>
      <c r="L26" s="37">
        <f t="shared" si="6"/>
        <v>8</v>
      </c>
      <c r="M26" s="196">
        <f t="shared" si="7"/>
        <v>24</v>
      </c>
      <c r="N26" s="150">
        <v>2</v>
      </c>
      <c r="O26" s="284"/>
      <c r="P26" s="1">
        <v>6</v>
      </c>
      <c r="Q26">
        <f t="shared" si="8"/>
        <v>0</v>
      </c>
      <c r="R26" s="37">
        <f t="shared" si="9"/>
        <v>8</v>
      </c>
      <c r="S26" s="196">
        <f t="shared" si="10"/>
        <v>24</v>
      </c>
      <c r="T26" s="150"/>
      <c r="U26" s="287"/>
      <c r="V26" s="201"/>
      <c r="W26" s="294"/>
      <c r="X26" s="1">
        <v>6</v>
      </c>
      <c r="Y26">
        <f t="shared" si="11"/>
        <v>0</v>
      </c>
      <c r="Z26" s="37">
        <f t="shared" si="12"/>
        <v>8</v>
      </c>
      <c r="AA26" s="196">
        <f t="shared" si="13"/>
        <v>24</v>
      </c>
      <c r="AB26" s="150"/>
      <c r="AC26" s="284"/>
      <c r="AD26" s="1">
        <v>6</v>
      </c>
      <c r="AE26">
        <f t="shared" si="14"/>
        <v>0</v>
      </c>
      <c r="AF26" s="37">
        <f t="shared" si="15"/>
        <v>8</v>
      </c>
      <c r="AG26" s="196">
        <f t="shared" si="16"/>
        <v>24</v>
      </c>
      <c r="AH26" s="150"/>
      <c r="AI26" s="284"/>
      <c r="AJ26" s="1">
        <v>6</v>
      </c>
      <c r="AK26">
        <f t="shared" si="17"/>
        <v>0</v>
      </c>
      <c r="AL26" s="37">
        <f t="shared" si="18"/>
        <v>8</v>
      </c>
      <c r="AM26" s="196">
        <f t="shared" si="19"/>
        <v>24</v>
      </c>
      <c r="AN26" s="150"/>
      <c r="AO26" s="287"/>
      <c r="AP26" s="201"/>
      <c r="AQ26" s="294"/>
      <c r="AR26" s="1">
        <v>6</v>
      </c>
      <c r="AS26">
        <f t="shared" si="20"/>
        <v>0</v>
      </c>
      <c r="AT26" s="37">
        <f t="shared" si="21"/>
        <v>8</v>
      </c>
      <c r="AU26" s="196">
        <f t="shared" si="22"/>
        <v>24</v>
      </c>
      <c r="AV26" s="150">
        <v>2</v>
      </c>
      <c r="AW26" s="284"/>
      <c r="AX26" s="1">
        <v>6</v>
      </c>
      <c r="AY26">
        <f t="shared" si="23"/>
        <v>0</v>
      </c>
      <c r="AZ26" s="37">
        <f t="shared" si="24"/>
        <v>8</v>
      </c>
      <c r="BA26" s="196">
        <f t="shared" si="25"/>
        <v>24</v>
      </c>
      <c r="BB26" s="150"/>
      <c r="BC26" s="287"/>
      <c r="BD26" s="201"/>
      <c r="BE26" s="294"/>
      <c r="BF26" s="1">
        <v>6</v>
      </c>
      <c r="BG26">
        <f t="shared" si="26"/>
        <v>0</v>
      </c>
      <c r="BH26" s="37">
        <f t="shared" si="27"/>
        <v>8</v>
      </c>
      <c r="BI26" s="196">
        <f t="shared" si="28"/>
        <v>24</v>
      </c>
      <c r="BJ26" s="150"/>
      <c r="BK26" s="284"/>
      <c r="BL26" s="1">
        <v>6</v>
      </c>
      <c r="BM26">
        <f t="shared" si="29"/>
        <v>0</v>
      </c>
      <c r="BN26" s="37">
        <f t="shared" si="30"/>
        <v>8</v>
      </c>
      <c r="BO26" s="196">
        <f t="shared" si="31"/>
        <v>24</v>
      </c>
      <c r="BP26" s="150"/>
      <c r="BQ26" s="284"/>
      <c r="BR26" s="1">
        <v>6</v>
      </c>
      <c r="BS26">
        <f t="shared" si="32"/>
        <v>0</v>
      </c>
      <c r="BT26" s="37">
        <f t="shared" si="33"/>
        <v>8</v>
      </c>
      <c r="BU26" s="196">
        <f t="shared" si="34"/>
        <v>24</v>
      </c>
      <c r="BV26" s="150"/>
      <c r="BW26" s="284"/>
      <c r="BX26" s="1">
        <v>6</v>
      </c>
      <c r="BY26">
        <f t="shared" si="35"/>
        <v>0</v>
      </c>
      <c r="BZ26" s="37">
        <f t="shared" si="36"/>
        <v>8</v>
      </c>
      <c r="CA26" s="196">
        <f t="shared" si="37"/>
        <v>24</v>
      </c>
      <c r="CB26" s="150">
        <v>30</v>
      </c>
      <c r="CC26" s="287"/>
      <c r="CD26" s="201"/>
      <c r="CE26" s="294"/>
      <c r="CF26" s="1">
        <v>6</v>
      </c>
      <c r="CG26">
        <f t="shared" si="38"/>
        <v>0</v>
      </c>
      <c r="CH26" s="37">
        <f t="shared" si="39"/>
        <v>8</v>
      </c>
      <c r="CI26" s="196">
        <f t="shared" si="40"/>
        <v>24</v>
      </c>
      <c r="CJ26" s="150"/>
      <c r="CK26" s="284"/>
      <c r="CL26" s="1">
        <v>6</v>
      </c>
      <c r="CM26">
        <f t="shared" si="41"/>
        <v>0</v>
      </c>
      <c r="CN26" s="37">
        <f t="shared" si="42"/>
        <v>8</v>
      </c>
      <c r="CO26" s="196">
        <f t="shared" si="43"/>
        <v>24</v>
      </c>
      <c r="CP26" s="150"/>
      <c r="CQ26" s="284"/>
      <c r="CR26" s="1">
        <v>6</v>
      </c>
      <c r="CS26">
        <f t="shared" si="44"/>
        <v>0</v>
      </c>
      <c r="CT26" s="37">
        <f t="shared" si="45"/>
        <v>8</v>
      </c>
      <c r="CU26" s="196">
        <f t="shared" si="46"/>
        <v>24</v>
      </c>
      <c r="CV26" s="150"/>
      <c r="CW26" s="284"/>
      <c r="CX26" s="1">
        <v>6</v>
      </c>
      <c r="CY26">
        <f t="shared" si="47"/>
        <v>0</v>
      </c>
      <c r="CZ26" s="37">
        <f t="shared" si="48"/>
        <v>8</v>
      </c>
      <c r="DA26" s="196">
        <f t="shared" si="49"/>
        <v>24</v>
      </c>
      <c r="DB26" s="150"/>
      <c r="DC26" s="287"/>
      <c r="DD26" s="201"/>
      <c r="DE26" s="294"/>
      <c r="DF26" s="1">
        <v>6</v>
      </c>
      <c r="DG26">
        <f t="shared" si="50"/>
        <v>0</v>
      </c>
      <c r="DH26" s="37">
        <f t="shared" si="51"/>
        <v>8</v>
      </c>
      <c r="DI26" s="196">
        <f t="shared" si="52"/>
        <v>24</v>
      </c>
      <c r="DJ26" s="150"/>
      <c r="DK26" s="284"/>
      <c r="DL26" s="1">
        <v>6</v>
      </c>
      <c r="DM26">
        <f t="shared" si="53"/>
        <v>0</v>
      </c>
      <c r="DN26" s="37">
        <f t="shared" si="54"/>
        <v>8</v>
      </c>
      <c r="DO26" s="196">
        <f t="shared" si="55"/>
        <v>24</v>
      </c>
      <c r="DP26" s="150">
        <v>10</v>
      </c>
      <c r="DQ26" s="284"/>
      <c r="DR26" s="1">
        <v>6</v>
      </c>
      <c r="DS26">
        <f t="shared" si="56"/>
        <v>0</v>
      </c>
      <c r="DT26" s="37">
        <f t="shared" si="57"/>
        <v>8</v>
      </c>
      <c r="DU26" s="196">
        <f t="shared" si="58"/>
        <v>24</v>
      </c>
      <c r="DV26" s="150"/>
      <c r="DW26" s="287"/>
      <c r="DX26" s="201"/>
      <c r="DY26" s="294"/>
      <c r="DZ26" s="1">
        <v>6</v>
      </c>
      <c r="EA26">
        <f t="shared" si="59"/>
        <v>0</v>
      </c>
      <c r="EB26" s="37">
        <f t="shared" si="60"/>
        <v>8</v>
      </c>
      <c r="EC26" s="196">
        <f t="shared" si="61"/>
        <v>24</v>
      </c>
      <c r="ED26" s="150"/>
      <c r="EE26" s="284"/>
      <c r="EF26" s="1">
        <v>6</v>
      </c>
      <c r="EG26">
        <f t="shared" si="62"/>
        <v>0</v>
      </c>
      <c r="EH26" s="37">
        <f t="shared" si="63"/>
        <v>8</v>
      </c>
      <c r="EI26" s="196">
        <f t="shared" si="64"/>
        <v>24</v>
      </c>
      <c r="EJ26" s="150"/>
      <c r="EK26" s="284"/>
      <c r="EL26" s="1">
        <v>6</v>
      </c>
      <c r="EM26">
        <f t="shared" si="65"/>
        <v>0</v>
      </c>
      <c r="EN26" s="37">
        <f t="shared" si="66"/>
        <v>8</v>
      </c>
      <c r="EO26" s="196">
        <f t="shared" si="67"/>
        <v>24</v>
      </c>
      <c r="EP26" s="150"/>
      <c r="EQ26" s="284"/>
      <c r="ER26" s="1">
        <v>6</v>
      </c>
      <c r="ES26">
        <f t="shared" si="68"/>
        <v>0</v>
      </c>
      <c r="ET26" s="37">
        <f t="shared" si="69"/>
        <v>8</v>
      </c>
      <c r="EU26" s="196">
        <f t="shared" si="70"/>
        <v>24</v>
      </c>
      <c r="EV26" s="150">
        <v>24</v>
      </c>
      <c r="EW26" s="287"/>
      <c r="EX26" s="201"/>
    </row>
    <row r="27" spans="1:154" x14ac:dyDescent="0.45">
      <c r="A27" s="294"/>
      <c r="B27" s="195">
        <v>7</v>
      </c>
      <c r="C27" s="37">
        <f t="shared" si="71"/>
        <v>0</v>
      </c>
      <c r="D27" s="37">
        <f t="shared" si="3"/>
        <v>8</v>
      </c>
      <c r="E27" s="196">
        <f t="shared" si="4"/>
        <v>5</v>
      </c>
      <c r="F27" s="150"/>
      <c r="G27" s="287"/>
      <c r="H27" s="201"/>
      <c r="I27" s="294"/>
      <c r="J27" s="1">
        <v>7</v>
      </c>
      <c r="K27">
        <f t="shared" si="5"/>
        <v>0</v>
      </c>
      <c r="L27" s="37">
        <f t="shared" si="6"/>
        <v>8</v>
      </c>
      <c r="M27" s="196">
        <f t="shared" si="7"/>
        <v>5</v>
      </c>
      <c r="N27" s="150"/>
      <c r="O27" s="284"/>
      <c r="P27" s="1">
        <v>7</v>
      </c>
      <c r="Q27">
        <f t="shared" si="8"/>
        <v>0</v>
      </c>
      <c r="R27" s="37">
        <f t="shared" si="9"/>
        <v>8</v>
      </c>
      <c r="S27" s="196">
        <f t="shared" si="10"/>
        <v>5</v>
      </c>
      <c r="T27" s="150"/>
      <c r="U27" s="287"/>
      <c r="V27" s="201"/>
      <c r="W27" s="294"/>
      <c r="X27" s="1">
        <v>7</v>
      </c>
      <c r="Y27">
        <f t="shared" si="11"/>
        <v>0</v>
      </c>
      <c r="Z27" s="37">
        <f t="shared" si="12"/>
        <v>8</v>
      </c>
      <c r="AA27" s="196">
        <f t="shared" si="13"/>
        <v>5</v>
      </c>
      <c r="AB27" s="150"/>
      <c r="AC27" s="284"/>
      <c r="AD27" s="1">
        <v>7</v>
      </c>
      <c r="AE27">
        <f t="shared" si="14"/>
        <v>0</v>
      </c>
      <c r="AF27" s="37">
        <f t="shared" si="15"/>
        <v>8</v>
      </c>
      <c r="AG27" s="196">
        <f t="shared" si="16"/>
        <v>5</v>
      </c>
      <c r="AH27" s="150"/>
      <c r="AI27" s="284"/>
      <c r="AJ27" s="1">
        <v>7</v>
      </c>
      <c r="AK27">
        <f t="shared" si="17"/>
        <v>0</v>
      </c>
      <c r="AL27" s="37">
        <f t="shared" si="18"/>
        <v>8</v>
      </c>
      <c r="AM27" s="196">
        <f t="shared" si="19"/>
        <v>5</v>
      </c>
      <c r="AN27" s="150"/>
      <c r="AO27" s="287"/>
      <c r="AP27" s="201"/>
      <c r="AQ27" s="294"/>
      <c r="AR27" s="1">
        <v>7</v>
      </c>
      <c r="AS27">
        <f t="shared" si="20"/>
        <v>0</v>
      </c>
      <c r="AT27" s="37">
        <f t="shared" si="21"/>
        <v>8</v>
      </c>
      <c r="AU27" s="196">
        <f t="shared" si="22"/>
        <v>5</v>
      </c>
      <c r="AV27" s="150"/>
      <c r="AW27" s="284"/>
      <c r="AX27" s="1">
        <v>7</v>
      </c>
      <c r="AY27">
        <f t="shared" si="23"/>
        <v>0</v>
      </c>
      <c r="AZ27" s="37">
        <f t="shared" si="24"/>
        <v>8</v>
      </c>
      <c r="BA27" s="196">
        <f t="shared" si="25"/>
        <v>5</v>
      </c>
      <c r="BB27" s="150"/>
      <c r="BC27" s="287"/>
      <c r="BD27" s="201"/>
      <c r="BE27" s="294"/>
      <c r="BF27" s="1">
        <v>7</v>
      </c>
      <c r="BG27">
        <f t="shared" si="26"/>
        <v>0</v>
      </c>
      <c r="BH27" s="37">
        <f t="shared" si="27"/>
        <v>8</v>
      </c>
      <c r="BI27" s="196">
        <f t="shared" si="28"/>
        <v>5</v>
      </c>
      <c r="BJ27" s="150"/>
      <c r="BK27" s="284"/>
      <c r="BL27" s="1">
        <v>7</v>
      </c>
      <c r="BM27">
        <f t="shared" si="29"/>
        <v>0</v>
      </c>
      <c r="BN27" s="37">
        <f t="shared" si="30"/>
        <v>8</v>
      </c>
      <c r="BO27" s="196">
        <f t="shared" si="31"/>
        <v>5</v>
      </c>
      <c r="BP27" s="150"/>
      <c r="BQ27" s="284"/>
      <c r="BR27" s="1">
        <v>7</v>
      </c>
      <c r="BS27">
        <f t="shared" si="32"/>
        <v>0</v>
      </c>
      <c r="BT27" s="37">
        <f t="shared" si="33"/>
        <v>8</v>
      </c>
      <c r="BU27" s="196">
        <f t="shared" si="34"/>
        <v>5</v>
      </c>
      <c r="BV27" s="150"/>
      <c r="BW27" s="284"/>
      <c r="BX27" s="1">
        <v>7</v>
      </c>
      <c r="BY27">
        <f t="shared" si="35"/>
        <v>0</v>
      </c>
      <c r="BZ27" s="37">
        <f t="shared" si="36"/>
        <v>8</v>
      </c>
      <c r="CA27" s="196">
        <f t="shared" si="37"/>
        <v>5</v>
      </c>
      <c r="CB27" s="150"/>
      <c r="CC27" s="287"/>
      <c r="CD27" s="201"/>
      <c r="CE27" s="294"/>
      <c r="CF27" s="1">
        <v>7</v>
      </c>
      <c r="CG27">
        <f t="shared" si="38"/>
        <v>0</v>
      </c>
      <c r="CH27" s="37">
        <f t="shared" si="39"/>
        <v>8</v>
      </c>
      <c r="CI27" s="196">
        <f t="shared" si="40"/>
        <v>5</v>
      </c>
      <c r="CJ27" s="150"/>
      <c r="CK27" s="284"/>
      <c r="CL27" s="1">
        <v>7</v>
      </c>
      <c r="CM27">
        <f t="shared" si="41"/>
        <v>0</v>
      </c>
      <c r="CN27" s="37">
        <f t="shared" si="42"/>
        <v>8</v>
      </c>
      <c r="CO27" s="196">
        <f t="shared" si="43"/>
        <v>5</v>
      </c>
      <c r="CP27" s="150"/>
      <c r="CQ27" s="284"/>
      <c r="CR27" s="1">
        <v>7</v>
      </c>
      <c r="CS27">
        <f t="shared" si="44"/>
        <v>0</v>
      </c>
      <c r="CT27" s="37">
        <f t="shared" si="45"/>
        <v>8</v>
      </c>
      <c r="CU27" s="196">
        <f t="shared" si="46"/>
        <v>5</v>
      </c>
      <c r="CV27" s="150"/>
      <c r="CW27" s="284"/>
      <c r="CX27" s="1">
        <v>7</v>
      </c>
      <c r="CY27">
        <f t="shared" si="47"/>
        <v>0</v>
      </c>
      <c r="CZ27" s="37">
        <f t="shared" si="48"/>
        <v>8</v>
      </c>
      <c r="DA27" s="196">
        <f t="shared" si="49"/>
        <v>5</v>
      </c>
      <c r="DB27" s="150"/>
      <c r="DC27" s="287"/>
      <c r="DD27" s="201"/>
      <c r="DE27" s="294"/>
      <c r="DF27" s="1">
        <v>7</v>
      </c>
      <c r="DG27">
        <f t="shared" si="50"/>
        <v>0</v>
      </c>
      <c r="DH27" s="37">
        <f t="shared" si="51"/>
        <v>8</v>
      </c>
      <c r="DI27" s="196">
        <f t="shared" si="52"/>
        <v>5</v>
      </c>
      <c r="DJ27" s="150"/>
      <c r="DK27" s="284"/>
      <c r="DL27" s="1">
        <v>7</v>
      </c>
      <c r="DM27">
        <f t="shared" si="53"/>
        <v>0</v>
      </c>
      <c r="DN27" s="37">
        <f t="shared" si="54"/>
        <v>8</v>
      </c>
      <c r="DO27" s="196">
        <f t="shared" si="55"/>
        <v>5</v>
      </c>
      <c r="DP27" s="150"/>
      <c r="DQ27" s="284"/>
      <c r="DR27" s="1">
        <v>7</v>
      </c>
      <c r="DS27">
        <f t="shared" si="56"/>
        <v>0</v>
      </c>
      <c r="DT27" s="37">
        <f t="shared" si="57"/>
        <v>8</v>
      </c>
      <c r="DU27" s="196">
        <f t="shared" si="58"/>
        <v>5</v>
      </c>
      <c r="DV27" s="150"/>
      <c r="DW27" s="287"/>
      <c r="DX27" s="201"/>
      <c r="DY27" s="294"/>
      <c r="DZ27" s="1">
        <v>7</v>
      </c>
      <c r="EA27">
        <f t="shared" si="59"/>
        <v>0</v>
      </c>
      <c r="EB27" s="37">
        <f t="shared" si="60"/>
        <v>8</v>
      </c>
      <c r="EC27" s="196">
        <f t="shared" si="61"/>
        <v>5</v>
      </c>
      <c r="ED27" s="150"/>
      <c r="EE27" s="284"/>
      <c r="EF27" s="1">
        <v>7</v>
      </c>
      <c r="EG27">
        <f t="shared" si="62"/>
        <v>0</v>
      </c>
      <c r="EH27" s="37">
        <f t="shared" si="63"/>
        <v>8</v>
      </c>
      <c r="EI27" s="196">
        <f t="shared" si="64"/>
        <v>5</v>
      </c>
      <c r="EJ27" s="150"/>
      <c r="EK27" s="284"/>
      <c r="EL27" s="1">
        <v>7</v>
      </c>
      <c r="EM27">
        <f t="shared" si="65"/>
        <v>0</v>
      </c>
      <c r="EN27" s="37">
        <f t="shared" si="66"/>
        <v>8</v>
      </c>
      <c r="EO27" s="196">
        <f t="shared" si="67"/>
        <v>5</v>
      </c>
      <c r="EP27" s="150"/>
      <c r="EQ27" s="284"/>
      <c r="ER27" s="1">
        <v>7</v>
      </c>
      <c r="ES27">
        <f t="shared" si="68"/>
        <v>0</v>
      </c>
      <c r="ET27" s="37">
        <f t="shared" si="69"/>
        <v>8</v>
      </c>
      <c r="EU27" s="196">
        <f t="shared" si="70"/>
        <v>5</v>
      </c>
      <c r="EV27" s="150"/>
      <c r="EW27" s="287"/>
      <c r="EX27" s="201"/>
    </row>
    <row r="28" spans="1:154" ht="21.5" thickBot="1" x14ac:dyDescent="0.5">
      <c r="A28" s="296"/>
      <c r="B28" s="197">
        <v>8</v>
      </c>
      <c r="C28" s="198">
        <f t="shared" si="71"/>
        <v>0</v>
      </c>
      <c r="D28" s="37">
        <f t="shared" si="3"/>
        <v>8</v>
      </c>
      <c r="E28" s="196">
        <f t="shared" si="4"/>
        <v>1</v>
      </c>
      <c r="F28" s="151"/>
      <c r="G28" s="287"/>
      <c r="H28" s="201"/>
      <c r="I28" s="296"/>
      <c r="J28" s="51">
        <v>8</v>
      </c>
      <c r="K28">
        <f t="shared" si="5"/>
        <v>0</v>
      </c>
      <c r="L28" s="37">
        <f t="shared" si="6"/>
        <v>8</v>
      </c>
      <c r="M28" s="196">
        <f t="shared" si="7"/>
        <v>1</v>
      </c>
      <c r="N28" s="151"/>
      <c r="O28" s="285"/>
      <c r="P28" s="51">
        <v>8</v>
      </c>
      <c r="Q28">
        <f t="shared" si="8"/>
        <v>0</v>
      </c>
      <c r="R28" s="37">
        <f t="shared" si="9"/>
        <v>8</v>
      </c>
      <c r="S28" s="196">
        <f t="shared" si="10"/>
        <v>1</v>
      </c>
      <c r="T28" s="151"/>
      <c r="U28" s="287"/>
      <c r="V28" s="201"/>
      <c r="W28" s="296"/>
      <c r="X28" s="51">
        <v>8</v>
      </c>
      <c r="Y28">
        <f t="shared" si="11"/>
        <v>0</v>
      </c>
      <c r="Z28" s="37">
        <f t="shared" si="12"/>
        <v>8</v>
      </c>
      <c r="AA28" s="196">
        <f t="shared" si="13"/>
        <v>1</v>
      </c>
      <c r="AB28" s="151">
        <v>2</v>
      </c>
      <c r="AC28" s="285"/>
      <c r="AD28" s="51">
        <v>8</v>
      </c>
      <c r="AE28">
        <f t="shared" si="14"/>
        <v>0</v>
      </c>
      <c r="AF28" s="37">
        <f t="shared" si="15"/>
        <v>8</v>
      </c>
      <c r="AG28" s="196">
        <f t="shared" si="16"/>
        <v>1</v>
      </c>
      <c r="AH28" s="151"/>
      <c r="AI28" s="285"/>
      <c r="AJ28" s="51">
        <v>8</v>
      </c>
      <c r="AK28">
        <f t="shared" si="17"/>
        <v>0</v>
      </c>
      <c r="AL28" s="37">
        <f t="shared" si="18"/>
        <v>8</v>
      </c>
      <c r="AM28" s="196">
        <f t="shared" si="19"/>
        <v>1</v>
      </c>
      <c r="AN28" s="151"/>
      <c r="AO28" s="287"/>
      <c r="AP28" s="201"/>
      <c r="AQ28" s="296"/>
      <c r="AR28" s="51">
        <v>8</v>
      </c>
      <c r="AS28">
        <f t="shared" si="20"/>
        <v>0</v>
      </c>
      <c r="AT28" s="37">
        <f t="shared" si="21"/>
        <v>8</v>
      </c>
      <c r="AU28" s="196">
        <f t="shared" si="22"/>
        <v>1</v>
      </c>
      <c r="AV28" s="151"/>
      <c r="AW28" s="285"/>
      <c r="AX28" s="51">
        <v>8</v>
      </c>
      <c r="AY28">
        <f t="shared" si="23"/>
        <v>0</v>
      </c>
      <c r="AZ28" s="37">
        <f t="shared" si="24"/>
        <v>8</v>
      </c>
      <c r="BA28" s="196">
        <f t="shared" si="25"/>
        <v>1</v>
      </c>
      <c r="BB28" s="151"/>
      <c r="BC28" s="287"/>
      <c r="BD28" s="201"/>
      <c r="BE28" s="296"/>
      <c r="BF28" s="51">
        <v>8</v>
      </c>
      <c r="BG28">
        <f t="shared" si="26"/>
        <v>0</v>
      </c>
      <c r="BH28" s="37">
        <f t="shared" si="27"/>
        <v>8</v>
      </c>
      <c r="BI28" s="196">
        <f t="shared" si="28"/>
        <v>1</v>
      </c>
      <c r="BJ28" s="151">
        <v>2</v>
      </c>
      <c r="BK28" s="285"/>
      <c r="BL28" s="51">
        <v>8</v>
      </c>
      <c r="BM28">
        <f t="shared" si="29"/>
        <v>0</v>
      </c>
      <c r="BN28" s="37">
        <f t="shared" si="30"/>
        <v>8</v>
      </c>
      <c r="BO28" s="196">
        <f t="shared" si="31"/>
        <v>1</v>
      </c>
      <c r="BP28" s="151"/>
      <c r="BQ28" s="285"/>
      <c r="BR28" s="51">
        <v>8</v>
      </c>
      <c r="BS28">
        <f t="shared" si="32"/>
        <v>0</v>
      </c>
      <c r="BT28" s="37">
        <f t="shared" si="33"/>
        <v>8</v>
      </c>
      <c r="BU28" s="196">
        <f t="shared" si="34"/>
        <v>1</v>
      </c>
      <c r="BV28" s="151"/>
      <c r="BW28" s="285"/>
      <c r="BX28" s="51">
        <v>8</v>
      </c>
      <c r="BY28">
        <f t="shared" si="35"/>
        <v>0</v>
      </c>
      <c r="BZ28" s="37">
        <f t="shared" si="36"/>
        <v>8</v>
      </c>
      <c r="CA28" s="196">
        <f t="shared" si="37"/>
        <v>1</v>
      </c>
      <c r="CB28" s="151"/>
      <c r="CC28" s="287"/>
      <c r="CD28" s="201"/>
      <c r="CE28" s="296"/>
      <c r="CF28" s="51">
        <v>8</v>
      </c>
      <c r="CG28">
        <f t="shared" si="38"/>
        <v>0</v>
      </c>
      <c r="CH28" s="37">
        <f t="shared" si="39"/>
        <v>8</v>
      </c>
      <c r="CI28" s="196">
        <f t="shared" si="40"/>
        <v>1</v>
      </c>
      <c r="CJ28" s="151">
        <v>2</v>
      </c>
      <c r="CK28" s="285"/>
      <c r="CL28" s="51">
        <v>8</v>
      </c>
      <c r="CM28">
        <f t="shared" si="41"/>
        <v>0</v>
      </c>
      <c r="CN28" s="37">
        <f t="shared" si="42"/>
        <v>8</v>
      </c>
      <c r="CO28" s="196">
        <f t="shared" si="43"/>
        <v>1</v>
      </c>
      <c r="CP28" s="151"/>
      <c r="CQ28" s="285"/>
      <c r="CR28" s="51">
        <v>8</v>
      </c>
      <c r="CS28">
        <f t="shared" si="44"/>
        <v>0</v>
      </c>
      <c r="CT28" s="37">
        <f t="shared" si="45"/>
        <v>8</v>
      </c>
      <c r="CU28" s="196">
        <f t="shared" si="46"/>
        <v>1</v>
      </c>
      <c r="CV28" s="151"/>
      <c r="CW28" s="285"/>
      <c r="CX28" s="51">
        <v>8</v>
      </c>
      <c r="CY28">
        <f t="shared" si="47"/>
        <v>0</v>
      </c>
      <c r="CZ28" s="37">
        <f t="shared" si="48"/>
        <v>8</v>
      </c>
      <c r="DA28" s="196">
        <f t="shared" si="49"/>
        <v>1</v>
      </c>
      <c r="DB28" s="151"/>
      <c r="DC28" s="287"/>
      <c r="DD28" s="201"/>
      <c r="DE28" s="296"/>
      <c r="DF28" s="51">
        <v>8</v>
      </c>
      <c r="DG28">
        <f t="shared" si="50"/>
        <v>0</v>
      </c>
      <c r="DH28" s="37">
        <f t="shared" si="51"/>
        <v>8</v>
      </c>
      <c r="DI28" s="196">
        <f t="shared" si="52"/>
        <v>1</v>
      </c>
      <c r="DJ28" s="151"/>
      <c r="DK28" s="285"/>
      <c r="DL28" s="51">
        <v>8</v>
      </c>
      <c r="DM28">
        <f t="shared" si="53"/>
        <v>0</v>
      </c>
      <c r="DN28" s="37">
        <f t="shared" si="54"/>
        <v>8</v>
      </c>
      <c r="DO28" s="196">
        <f t="shared" si="55"/>
        <v>1</v>
      </c>
      <c r="DP28" s="151"/>
      <c r="DQ28" s="285"/>
      <c r="DR28" s="51">
        <v>8</v>
      </c>
      <c r="DS28">
        <f t="shared" si="56"/>
        <v>0</v>
      </c>
      <c r="DT28" s="37">
        <f t="shared" si="57"/>
        <v>8</v>
      </c>
      <c r="DU28" s="196">
        <f t="shared" si="58"/>
        <v>1</v>
      </c>
      <c r="DV28" s="151"/>
      <c r="DW28" s="287"/>
      <c r="DX28" s="201"/>
      <c r="DY28" s="296"/>
      <c r="DZ28" s="51">
        <v>8</v>
      </c>
      <c r="EA28">
        <f t="shared" si="59"/>
        <v>0</v>
      </c>
      <c r="EB28" s="37">
        <f t="shared" si="60"/>
        <v>8</v>
      </c>
      <c r="EC28" s="196">
        <f t="shared" si="61"/>
        <v>1</v>
      </c>
      <c r="ED28" s="151">
        <v>2</v>
      </c>
      <c r="EE28" s="285"/>
      <c r="EF28" s="51">
        <v>8</v>
      </c>
      <c r="EG28">
        <f t="shared" si="62"/>
        <v>0</v>
      </c>
      <c r="EH28" s="37">
        <f t="shared" si="63"/>
        <v>8</v>
      </c>
      <c r="EI28" s="196">
        <f t="shared" si="64"/>
        <v>1</v>
      </c>
      <c r="EJ28" s="151"/>
      <c r="EK28" s="285"/>
      <c r="EL28" s="51">
        <v>8</v>
      </c>
      <c r="EM28">
        <f t="shared" si="65"/>
        <v>0</v>
      </c>
      <c r="EN28" s="37">
        <f t="shared" si="66"/>
        <v>8</v>
      </c>
      <c r="EO28" s="196">
        <f t="shared" si="67"/>
        <v>1</v>
      </c>
      <c r="EP28" s="151"/>
      <c r="EQ28" s="285"/>
      <c r="ER28" s="51">
        <v>8</v>
      </c>
      <c r="ES28">
        <f t="shared" si="68"/>
        <v>0</v>
      </c>
      <c r="ET28" s="37">
        <f t="shared" si="69"/>
        <v>8</v>
      </c>
      <c r="EU28" s="196">
        <f t="shared" si="70"/>
        <v>1</v>
      </c>
      <c r="EV28" s="151"/>
      <c r="EW28" s="287"/>
      <c r="EX28" s="201"/>
    </row>
    <row r="29" spans="1:154" s="79" customFormat="1" x14ac:dyDescent="0.45">
      <c r="A29" s="293">
        <v>2</v>
      </c>
      <c r="B29" s="48">
        <f>O7</f>
        <v>29</v>
      </c>
      <c r="C29" s="87" t="s">
        <v>154</v>
      </c>
      <c r="D29" s="10" t="s">
        <v>158</v>
      </c>
      <c r="E29" s="88" t="s">
        <v>152</v>
      </c>
      <c r="F29" s="152"/>
      <c r="G29" s="287">
        <f>IF(COUNT(F30:F38) &gt;0, COUNT(F30:F38)/2,"")</f>
        <v>1</v>
      </c>
      <c r="H29" s="201"/>
      <c r="I29" s="293">
        <v>2</v>
      </c>
      <c r="J29" s="104"/>
      <c r="K29" s="87" t="s">
        <v>154</v>
      </c>
      <c r="L29" s="10" t="s">
        <v>158</v>
      </c>
      <c r="M29" s="88" t="s">
        <v>152</v>
      </c>
      <c r="N29" s="152"/>
      <c r="O29" s="286">
        <v>2</v>
      </c>
      <c r="P29" s="104"/>
      <c r="Q29" s="87" t="s">
        <v>154</v>
      </c>
      <c r="R29" s="10" t="s">
        <v>158</v>
      </c>
      <c r="S29" s="88" t="s">
        <v>152</v>
      </c>
      <c r="T29" s="152"/>
      <c r="U29" s="287">
        <f>IF(COUNT(H30:H38,N30:N38,T30:T38) &gt;0, COUNT(H30:H38,N30:N38,T30:T38) /2,"")</f>
        <v>1</v>
      </c>
      <c r="V29" s="201"/>
      <c r="W29" s="293">
        <v>2</v>
      </c>
      <c r="X29" s="104"/>
      <c r="Y29" s="87" t="s">
        <v>154</v>
      </c>
      <c r="Z29" s="10" t="s">
        <v>158</v>
      </c>
      <c r="AA29" s="88" t="s">
        <v>152</v>
      </c>
      <c r="AB29" s="152"/>
      <c r="AC29" s="286">
        <v>2</v>
      </c>
      <c r="AD29" s="104"/>
      <c r="AE29" s="87" t="s">
        <v>154</v>
      </c>
      <c r="AF29" s="10" t="s">
        <v>158</v>
      </c>
      <c r="AG29" s="88" t="s">
        <v>152</v>
      </c>
      <c r="AH29" s="152"/>
      <c r="AI29" s="286">
        <v>2</v>
      </c>
      <c r="AJ29" s="104"/>
      <c r="AK29" t="str">
        <f t="shared" si="17"/>
        <v xml:space="preserve">CTR </v>
      </c>
      <c r="AL29" s="10" t="s">
        <v>158</v>
      </c>
      <c r="AM29" s="88" t="s">
        <v>152</v>
      </c>
      <c r="AN29" s="152"/>
      <c r="AO29" s="287">
        <f>IF(COUNT(AB30:AB38,AH30:AH38,AN30:AN38) &gt;0, COUNT(AB30:AB38,AH30:AH38,AN30:AN38) /2,"")</f>
        <v>2</v>
      </c>
      <c r="AP29" s="201"/>
      <c r="AQ29" s="293">
        <v>2</v>
      </c>
      <c r="AR29" s="104"/>
      <c r="AS29" s="87" t="s">
        <v>154</v>
      </c>
      <c r="AT29" s="10" t="s">
        <v>158</v>
      </c>
      <c r="AU29" s="88" t="s">
        <v>152</v>
      </c>
      <c r="AV29" s="152"/>
      <c r="AW29" s="286">
        <v>2</v>
      </c>
      <c r="AX29" s="104"/>
      <c r="AY29" s="87" t="s">
        <v>154</v>
      </c>
      <c r="AZ29" s="10" t="s">
        <v>158</v>
      </c>
      <c r="BA29" s="88" t="s">
        <v>152</v>
      </c>
      <c r="BB29" s="152"/>
      <c r="BC29" s="287">
        <f>IF(COUNT(AV30:AV38,BB30:BB38,#REF!) &gt;0, COUNT(AV30:AV38,BB30:BB38,#REF!) /2,"")</f>
        <v>2</v>
      </c>
      <c r="BD29" s="201"/>
      <c r="BE29" s="293">
        <v>2</v>
      </c>
      <c r="BF29" s="104"/>
      <c r="BG29" s="87" t="s">
        <v>154</v>
      </c>
      <c r="BH29" s="10" t="s">
        <v>158</v>
      </c>
      <c r="BI29" s="88" t="s">
        <v>152</v>
      </c>
      <c r="BJ29" s="152"/>
      <c r="BK29" s="286">
        <v>2</v>
      </c>
      <c r="BL29" s="104"/>
      <c r="BM29" s="87" t="s">
        <v>154</v>
      </c>
      <c r="BN29" s="10" t="s">
        <v>158</v>
      </c>
      <c r="BO29" s="88" t="s">
        <v>152</v>
      </c>
      <c r="BP29" s="152"/>
      <c r="BQ29" s="286">
        <v>2</v>
      </c>
      <c r="BR29" s="104"/>
      <c r="BS29" s="87" t="s">
        <v>154</v>
      </c>
      <c r="BT29" s="10" t="s">
        <v>158</v>
      </c>
      <c r="BU29" s="88" t="s">
        <v>152</v>
      </c>
      <c r="BV29" s="152"/>
      <c r="BW29" s="286">
        <v>2</v>
      </c>
      <c r="BX29" s="104"/>
      <c r="BY29" s="87" t="s">
        <v>154</v>
      </c>
      <c r="BZ29" s="10" t="s">
        <v>158</v>
      </c>
      <c r="CA29" s="88" t="s">
        <v>152</v>
      </c>
      <c r="CB29" s="152"/>
      <c r="CC29" s="287">
        <f>IF(COUNT(BJ30:BJ38,BP30:BP38,BV30:BV38,CB30:CB38) &gt;0, COUNT(BJ30:BJ38,BP30:BP38,BV30:BV38,CB30:CB38) /2,"")</f>
        <v>3</v>
      </c>
      <c r="CD29" s="201"/>
      <c r="CE29" s="293">
        <v>2</v>
      </c>
      <c r="CF29" s="104"/>
      <c r="CG29" s="87" t="s">
        <v>154</v>
      </c>
      <c r="CH29" s="10" t="s">
        <v>158</v>
      </c>
      <c r="CI29" s="88" t="s">
        <v>152</v>
      </c>
      <c r="CJ29" s="152"/>
      <c r="CK29" s="286">
        <v>2</v>
      </c>
      <c r="CL29" s="104"/>
      <c r="CM29" s="87" t="s">
        <v>154</v>
      </c>
      <c r="CN29" s="10" t="s">
        <v>158</v>
      </c>
      <c r="CO29" s="88" t="s">
        <v>152</v>
      </c>
      <c r="CP29" s="152"/>
      <c r="CQ29" s="286">
        <v>2</v>
      </c>
      <c r="CR29" s="104"/>
      <c r="CS29" s="87" t="s">
        <v>154</v>
      </c>
      <c r="CT29" s="10" t="s">
        <v>158</v>
      </c>
      <c r="CU29" s="88" t="s">
        <v>152</v>
      </c>
      <c r="CV29" s="152"/>
      <c r="CW29" s="286">
        <v>2</v>
      </c>
      <c r="CX29" s="104"/>
      <c r="CY29" s="87" t="s">
        <v>154</v>
      </c>
      <c r="CZ29" s="10" t="s">
        <v>158</v>
      </c>
      <c r="DA29" s="88" t="s">
        <v>152</v>
      </c>
      <c r="DB29" s="152"/>
      <c r="DC29" s="287">
        <f>IF(COUNT(CJ30:CJ38,CP30:CP38,CV30:CV38,DB30:DB38) &gt;0, COUNT(CJ30:CJ38,CP30:CP38,CV30:CV38,DB30:DB38) /2,"")</f>
        <v>2</v>
      </c>
      <c r="DD29" s="201"/>
      <c r="DE29" s="293">
        <v>2</v>
      </c>
      <c r="DF29" s="104"/>
      <c r="DG29" s="87" t="s">
        <v>154</v>
      </c>
      <c r="DH29" s="10" t="s">
        <v>158</v>
      </c>
      <c r="DI29" s="88" t="s">
        <v>152</v>
      </c>
      <c r="DJ29" s="152"/>
      <c r="DK29" s="286">
        <v>2</v>
      </c>
      <c r="DL29" s="104"/>
      <c r="DM29" s="87" t="s">
        <v>154</v>
      </c>
      <c r="DN29" s="10" t="s">
        <v>158</v>
      </c>
      <c r="DO29" s="88" t="s">
        <v>152</v>
      </c>
      <c r="DP29" s="152"/>
      <c r="DQ29" s="286">
        <v>2</v>
      </c>
      <c r="DR29" s="104"/>
      <c r="DS29" s="87" t="s">
        <v>154</v>
      </c>
      <c r="DT29" s="10" t="s">
        <v>158</v>
      </c>
      <c r="DU29" s="88" t="s">
        <v>152</v>
      </c>
      <c r="DV29" s="152"/>
      <c r="DW29" s="287">
        <f>IF(COUNT(DJ30:DJ38,DP30:DP38,DV30:DV38) &gt;0, COUNT(DJ30:DJ38,DP30:DP38,DV30:DV38) /2,"")</f>
        <v>3</v>
      </c>
      <c r="DX29" s="201"/>
      <c r="DY29" s="293">
        <v>2</v>
      </c>
      <c r="DZ29" s="104"/>
      <c r="EA29" s="87" t="s">
        <v>154</v>
      </c>
      <c r="EB29" s="10" t="s">
        <v>158</v>
      </c>
      <c r="EC29" s="88" t="s">
        <v>152</v>
      </c>
      <c r="ED29" s="152"/>
      <c r="EE29" s="286">
        <v>2</v>
      </c>
      <c r="EF29" s="104"/>
      <c r="EG29" s="87" t="s">
        <v>154</v>
      </c>
      <c r="EH29" s="10" t="s">
        <v>158</v>
      </c>
      <c r="EI29" s="88" t="s">
        <v>152</v>
      </c>
      <c r="EJ29" s="152"/>
      <c r="EK29" s="286">
        <v>2</v>
      </c>
      <c r="EL29" s="104"/>
      <c r="EM29" s="87" t="s">
        <v>154</v>
      </c>
      <c r="EN29" s="10" t="s">
        <v>158</v>
      </c>
      <c r="EO29" s="88" t="s">
        <v>152</v>
      </c>
      <c r="EP29" s="152"/>
      <c r="EQ29" s="286">
        <v>2</v>
      </c>
      <c r="ER29" s="104"/>
      <c r="ES29" s="87" t="s">
        <v>154</v>
      </c>
      <c r="ET29" s="10" t="s">
        <v>158</v>
      </c>
      <c r="EU29" s="88" t="s">
        <v>152</v>
      </c>
      <c r="EV29" s="152"/>
      <c r="EW29" s="287">
        <f>IF(COUNT(ED30:ED38,EJ30:EJ38,EP30:EP38,EV30:EV38) &gt;0, COUNT(ED30:ED38,EJ30:EJ38,EP30:EP38,EV30:EV38) /2,"")</f>
        <v>2</v>
      </c>
      <c r="EX29" s="201"/>
    </row>
    <row r="30" spans="1:154" ht="27.75" customHeight="1" x14ac:dyDescent="0.45">
      <c r="A30" s="294"/>
      <c r="B30" s="176" t="s">
        <v>162</v>
      </c>
      <c r="C30" s="102" t="s">
        <v>156</v>
      </c>
      <c r="D30" s="89" t="s">
        <v>175</v>
      </c>
      <c r="E30" s="177" t="s">
        <v>174</v>
      </c>
      <c r="F30" s="148"/>
      <c r="G30" s="287"/>
      <c r="H30" s="201"/>
      <c r="I30" s="294"/>
      <c r="J30" s="176" t="s">
        <v>162</v>
      </c>
      <c r="K30" s="90" t="s">
        <v>155</v>
      </c>
      <c r="L30" s="89" t="s">
        <v>175</v>
      </c>
      <c r="M30" s="177" t="s">
        <v>174</v>
      </c>
      <c r="N30" s="148"/>
      <c r="O30" s="284"/>
      <c r="P30" s="176" t="s">
        <v>162</v>
      </c>
      <c r="Q30" s="90" t="s">
        <v>155</v>
      </c>
      <c r="R30" s="89" t="s">
        <v>175</v>
      </c>
      <c r="S30" s="177" t="s">
        <v>174</v>
      </c>
      <c r="T30" s="148"/>
      <c r="U30" s="287"/>
      <c r="V30" s="201"/>
      <c r="W30" s="294"/>
      <c r="X30" s="176" t="s">
        <v>162</v>
      </c>
      <c r="Y30" s="90" t="s">
        <v>155</v>
      </c>
      <c r="Z30" s="89" t="s">
        <v>175</v>
      </c>
      <c r="AA30" s="177" t="s">
        <v>174</v>
      </c>
      <c r="AB30" s="148"/>
      <c r="AC30" s="284"/>
      <c r="AD30" s="176" t="s">
        <v>162</v>
      </c>
      <c r="AE30" s="90" t="s">
        <v>155</v>
      </c>
      <c r="AF30" s="89" t="s">
        <v>175</v>
      </c>
      <c r="AG30" s="177" t="s">
        <v>174</v>
      </c>
      <c r="AH30" s="148"/>
      <c r="AI30" s="284"/>
      <c r="AJ30" s="176" t="s">
        <v>162</v>
      </c>
      <c r="AK30" s="90" t="s">
        <v>155</v>
      </c>
      <c r="AL30" s="89" t="s">
        <v>175</v>
      </c>
      <c r="AM30" s="177" t="s">
        <v>174</v>
      </c>
      <c r="AN30" s="148"/>
      <c r="AO30" s="287"/>
      <c r="AP30" s="201"/>
      <c r="AQ30" s="294"/>
      <c r="AR30" s="176" t="s">
        <v>162</v>
      </c>
      <c r="AS30" s="90" t="s">
        <v>155</v>
      </c>
      <c r="AT30" s="89" t="s">
        <v>175</v>
      </c>
      <c r="AU30" s="177" t="s">
        <v>174</v>
      </c>
      <c r="AV30" s="148"/>
      <c r="AW30" s="284"/>
      <c r="AX30" s="176" t="s">
        <v>162</v>
      </c>
      <c r="AY30" s="90" t="s">
        <v>155</v>
      </c>
      <c r="AZ30" s="89" t="s">
        <v>175</v>
      </c>
      <c r="BA30" s="177" t="s">
        <v>174</v>
      </c>
      <c r="BB30" s="148"/>
      <c r="BC30" s="287"/>
      <c r="BD30" s="201"/>
      <c r="BE30" s="294"/>
      <c r="BF30" s="176" t="s">
        <v>162</v>
      </c>
      <c r="BG30" s="90" t="s">
        <v>155</v>
      </c>
      <c r="BH30" s="89" t="s">
        <v>175</v>
      </c>
      <c r="BI30" s="177" t="s">
        <v>174</v>
      </c>
      <c r="BJ30" s="148"/>
      <c r="BK30" s="284"/>
      <c r="BL30" s="176" t="s">
        <v>162</v>
      </c>
      <c r="BM30" s="90" t="s">
        <v>155</v>
      </c>
      <c r="BN30" s="89" t="s">
        <v>175</v>
      </c>
      <c r="BO30" s="177" t="s">
        <v>174</v>
      </c>
      <c r="BP30" s="148"/>
      <c r="BQ30" s="284"/>
      <c r="BR30" s="176" t="s">
        <v>162</v>
      </c>
      <c r="BS30" s="90" t="s">
        <v>155</v>
      </c>
      <c r="BT30" s="89" t="s">
        <v>175</v>
      </c>
      <c r="BU30" s="177" t="s">
        <v>174</v>
      </c>
      <c r="BV30" s="148"/>
      <c r="BW30" s="284"/>
      <c r="BX30" s="176" t="s">
        <v>162</v>
      </c>
      <c r="BY30" s="90" t="s">
        <v>155</v>
      </c>
      <c r="BZ30" s="89" t="s">
        <v>175</v>
      </c>
      <c r="CA30" s="177" t="s">
        <v>174</v>
      </c>
      <c r="CB30" s="148"/>
      <c r="CC30" s="287"/>
      <c r="CD30" s="201"/>
      <c r="CE30" s="294"/>
      <c r="CF30" s="176" t="s">
        <v>162</v>
      </c>
      <c r="CG30" s="90" t="s">
        <v>155</v>
      </c>
      <c r="CH30" s="89" t="s">
        <v>175</v>
      </c>
      <c r="CI30" s="177" t="s">
        <v>174</v>
      </c>
      <c r="CJ30" s="148"/>
      <c r="CK30" s="284"/>
      <c r="CL30" s="176" t="s">
        <v>162</v>
      </c>
      <c r="CM30" s="90" t="s">
        <v>155</v>
      </c>
      <c r="CN30" s="89" t="s">
        <v>175</v>
      </c>
      <c r="CO30" s="177" t="s">
        <v>174</v>
      </c>
      <c r="CP30" s="148"/>
      <c r="CQ30" s="284"/>
      <c r="CR30" s="176" t="s">
        <v>162</v>
      </c>
      <c r="CS30" s="90" t="s">
        <v>155</v>
      </c>
      <c r="CT30" s="89" t="s">
        <v>175</v>
      </c>
      <c r="CU30" s="177" t="s">
        <v>174</v>
      </c>
      <c r="CV30" s="148"/>
      <c r="CW30" s="284"/>
      <c r="CX30" s="176" t="s">
        <v>162</v>
      </c>
      <c r="CY30" s="90" t="s">
        <v>155</v>
      </c>
      <c r="CZ30" s="89" t="s">
        <v>175</v>
      </c>
      <c r="DA30" s="177" t="s">
        <v>174</v>
      </c>
      <c r="DB30" s="148"/>
      <c r="DC30" s="287"/>
      <c r="DD30" s="201"/>
      <c r="DE30" s="294"/>
      <c r="DF30" s="176" t="s">
        <v>162</v>
      </c>
      <c r="DG30" s="90" t="s">
        <v>155</v>
      </c>
      <c r="DH30" s="89" t="s">
        <v>175</v>
      </c>
      <c r="DI30" s="177" t="s">
        <v>174</v>
      </c>
      <c r="DJ30" s="148"/>
      <c r="DK30" s="284"/>
      <c r="DL30" s="176" t="s">
        <v>162</v>
      </c>
      <c r="DM30" s="90" t="s">
        <v>155</v>
      </c>
      <c r="DN30" s="89" t="s">
        <v>175</v>
      </c>
      <c r="DO30" s="177" t="s">
        <v>174</v>
      </c>
      <c r="DP30" s="148"/>
      <c r="DQ30" s="284"/>
      <c r="DR30" s="176" t="s">
        <v>162</v>
      </c>
      <c r="DS30" s="90" t="s">
        <v>155</v>
      </c>
      <c r="DT30" s="89" t="s">
        <v>175</v>
      </c>
      <c r="DU30" s="177" t="s">
        <v>174</v>
      </c>
      <c r="DV30" s="148"/>
      <c r="DW30" s="287"/>
      <c r="DX30" s="201"/>
      <c r="DY30" s="294"/>
      <c r="DZ30" s="176" t="s">
        <v>162</v>
      </c>
      <c r="EA30" s="90" t="s">
        <v>155</v>
      </c>
      <c r="EB30" s="89" t="s">
        <v>175</v>
      </c>
      <c r="EC30" s="177" t="s">
        <v>174</v>
      </c>
      <c r="ED30" s="148"/>
      <c r="EE30" s="284"/>
      <c r="EF30" s="176" t="s">
        <v>162</v>
      </c>
      <c r="EG30" s="90" t="s">
        <v>155</v>
      </c>
      <c r="EH30" s="89" t="s">
        <v>175</v>
      </c>
      <c r="EI30" s="177" t="s">
        <v>174</v>
      </c>
      <c r="EJ30" s="148"/>
      <c r="EK30" s="284"/>
      <c r="EL30" s="176" t="s">
        <v>162</v>
      </c>
      <c r="EM30" s="90" t="s">
        <v>155</v>
      </c>
      <c r="EN30" s="89" t="s">
        <v>175</v>
      </c>
      <c r="EO30" s="177" t="s">
        <v>174</v>
      </c>
      <c r="EP30" s="148"/>
      <c r="EQ30" s="284"/>
      <c r="ER30" s="176" t="s">
        <v>162</v>
      </c>
      <c r="ES30" s="90" t="s">
        <v>155</v>
      </c>
      <c r="ET30" s="89" t="s">
        <v>175</v>
      </c>
      <c r="EU30" s="177" t="s">
        <v>174</v>
      </c>
      <c r="EV30" s="148"/>
      <c r="EW30" s="287"/>
      <c r="EX30" s="201"/>
    </row>
    <row r="31" spans="1:154" x14ac:dyDescent="0.45">
      <c r="A31" s="294"/>
      <c r="B31" s="1">
        <v>1</v>
      </c>
      <c r="C31">
        <v>0</v>
      </c>
      <c r="D31" s="37">
        <f>(C31+$B$29)*$G$3</f>
        <v>232</v>
      </c>
      <c r="E31" s="30">
        <f t="shared" ref="E31:E38" si="72">MOD($F6+D31,$G$2)</f>
        <v>15</v>
      </c>
      <c r="F31" s="149">
        <v>16</v>
      </c>
      <c r="G31" s="287"/>
      <c r="H31" s="201"/>
      <c r="I31" s="294"/>
      <c r="J31" s="1">
        <v>1</v>
      </c>
      <c r="K31">
        <f t="shared" ref="K31:K38" si="73">IF(F31="", C31,IF(F31=MIN(F$31:F$38),C31+1,0))</f>
        <v>0</v>
      </c>
      <c r="L31" s="37">
        <f>(K31+$B$29)*$G$3</f>
        <v>232</v>
      </c>
      <c r="M31" s="30">
        <f t="shared" ref="M31:M38" si="74">MOD($F6+L31,$G$2)</f>
        <v>15</v>
      </c>
      <c r="N31" s="149"/>
      <c r="O31" s="284"/>
      <c r="P31" s="1">
        <v>1</v>
      </c>
      <c r="Q31">
        <f t="shared" ref="Q31:Q38" si="75">IF(N31="", K31,IF(N31=MIN(N$31:N$38),K31+1,0))</f>
        <v>0</v>
      </c>
      <c r="R31" s="37">
        <f>(Q31+$B$29)*$G$3</f>
        <v>232</v>
      </c>
      <c r="S31" s="30">
        <f t="shared" ref="S31:S38" si="76">MOD($F6+R31,$G$2)</f>
        <v>15</v>
      </c>
      <c r="T31" s="149"/>
      <c r="U31" s="287"/>
      <c r="V31" s="201"/>
      <c r="W31" s="294"/>
      <c r="X31" s="1">
        <v>1</v>
      </c>
      <c r="Y31">
        <f t="shared" ref="Y31:Y38" si="77">IF(T31="", Q31,IF(T31=MIN(T$31:T$38),Q31+1,0))</f>
        <v>0</v>
      </c>
      <c r="Z31" s="37">
        <f>(Y31+$B$29)*$G$3</f>
        <v>232</v>
      </c>
      <c r="AA31" s="30">
        <f t="shared" ref="AA31:AA38" si="78">MOD($F6+Z31,$G$2)</f>
        <v>15</v>
      </c>
      <c r="AB31" s="149"/>
      <c r="AC31" s="284"/>
      <c r="AD31" s="1">
        <v>1</v>
      </c>
      <c r="AE31">
        <f t="shared" ref="AE31:AE38" si="79">IF(AB31="", Y31,IF(AB31=MIN(AB$31:AB$38),Y31+1,0))</f>
        <v>0</v>
      </c>
      <c r="AF31" s="37">
        <f>(AE31+$B$29)*$G$3</f>
        <v>232</v>
      </c>
      <c r="AG31" s="30">
        <f t="shared" ref="AG31:AG38" si="80">MOD($F6+AF31,$G$2)</f>
        <v>15</v>
      </c>
      <c r="AH31" s="149"/>
      <c r="AI31" s="284"/>
      <c r="AJ31" s="1">
        <v>1</v>
      </c>
      <c r="AK31">
        <f t="shared" ref="AK31:AK39" si="81">IF(AH31="",AE31,IF(AH31=MIN(AH$21:AH$28),AE31+1,0))</f>
        <v>0</v>
      </c>
      <c r="AL31" s="37">
        <f>(AK31+$B$29)*$G$3</f>
        <v>232</v>
      </c>
      <c r="AM31" s="30">
        <f t="shared" ref="AM31:AM38" si="82">MOD($F6+AL31,$G$2)</f>
        <v>15</v>
      </c>
      <c r="AN31" s="149">
        <v>16</v>
      </c>
      <c r="AO31" s="287"/>
      <c r="AP31" s="201"/>
      <c r="AQ31" s="294"/>
      <c r="AR31" s="1">
        <v>1</v>
      </c>
      <c r="AS31">
        <f t="shared" ref="AS31:AS38" si="83">IF(AN31="", AK31,IF(AN31=MIN(AN$31:AN$38),AK31+1,0))</f>
        <v>0</v>
      </c>
      <c r="AT31" s="37">
        <f>(AS31+$B$29)*$G$3</f>
        <v>232</v>
      </c>
      <c r="AU31" s="30">
        <f t="shared" ref="AU31:AU38" si="84">MOD($F6+AT31,$G$2)</f>
        <v>15</v>
      </c>
      <c r="AV31" s="149"/>
      <c r="AW31" s="284"/>
      <c r="AX31" s="1">
        <v>1</v>
      </c>
      <c r="AY31">
        <f t="shared" ref="AY31:AY38" si="85">IF(AV31="", AS31,IF(AV31=MIN(AV$31:AV$38),AS31+1,0))</f>
        <v>0</v>
      </c>
      <c r="AZ31" s="37">
        <f>(AY31+$B$29)*$G$3</f>
        <v>232</v>
      </c>
      <c r="BA31" s="30">
        <f t="shared" ref="BA31:BA38" si="86">MOD($F6+AZ31,$G$2)</f>
        <v>15</v>
      </c>
      <c r="BB31" s="149"/>
      <c r="BC31" s="287"/>
      <c r="BD31" s="201"/>
      <c r="BE31" s="294"/>
      <c r="BF31" s="1">
        <v>1</v>
      </c>
      <c r="BG31">
        <f t="shared" ref="BG31:BG38" si="87">IF(BB31="", AY31,IF(BB31=MIN(BB$31:BB$38),AY31+1,0))</f>
        <v>0</v>
      </c>
      <c r="BH31" s="37">
        <f>(BG31+$B$29)*$G$3</f>
        <v>232</v>
      </c>
      <c r="BI31" s="30">
        <f t="shared" ref="BI31:BI38" si="88">MOD($F6+BH31,$G$2)</f>
        <v>15</v>
      </c>
      <c r="BJ31" s="149"/>
      <c r="BK31" s="284"/>
      <c r="BL31" s="1">
        <v>1</v>
      </c>
      <c r="BM31">
        <f t="shared" ref="BM31:BM38" si="89">IF(BJ31="", BG31,IF(BJ31=MIN(BJ$31:BJ$38),BG31+1,0))</f>
        <v>0</v>
      </c>
      <c r="BN31" s="37">
        <f>(BM31+$B$29)*$G$3</f>
        <v>232</v>
      </c>
      <c r="BO31" s="30">
        <f t="shared" ref="BO31:BO38" si="90">MOD($F6+BN31,$G$2)</f>
        <v>15</v>
      </c>
      <c r="BP31" s="149">
        <v>14</v>
      </c>
      <c r="BQ31" s="284"/>
      <c r="BR31" s="1">
        <v>1</v>
      </c>
      <c r="BS31">
        <f t="shared" ref="BS31:BS38" si="91">IF(BP31="", BM31,IF(BP31=MIN(BP$31:BP$38),BM31+1,0))</f>
        <v>0</v>
      </c>
      <c r="BT31" s="37">
        <f>(BS31+$B$29)*$G$3</f>
        <v>232</v>
      </c>
      <c r="BU31" s="30">
        <f t="shared" ref="BU31:BU38" si="92">MOD($F6+BT31,$G$2)</f>
        <v>15</v>
      </c>
      <c r="BV31" s="149"/>
      <c r="BW31" s="284"/>
      <c r="BX31" s="1">
        <v>1</v>
      </c>
      <c r="BY31">
        <f t="shared" ref="BY31:BY38" si="93">IF(BV31="", BS31,IF(BV31=MIN(BV$31:BV$38),BS31+1,0))</f>
        <v>0</v>
      </c>
      <c r="BZ31" s="37">
        <f>(BY31+$B$29)*$G$3</f>
        <v>232</v>
      </c>
      <c r="CA31" s="30">
        <f t="shared" ref="CA31:CA38" si="94">MOD($F6+BZ31,$G$2)</f>
        <v>15</v>
      </c>
      <c r="CB31" s="149"/>
      <c r="CC31" s="287"/>
      <c r="CD31" s="201"/>
      <c r="CE31" s="294"/>
      <c r="CF31" s="1">
        <v>1</v>
      </c>
      <c r="CG31">
        <f t="shared" ref="CG31:CG38" si="95">IF(CB31="", BY31,IF(CB31=MIN(CB$31:CB$38),BY31+1,0))</f>
        <v>0</v>
      </c>
      <c r="CH31" s="37">
        <f>(CG31+$B$29)*$G$3</f>
        <v>232</v>
      </c>
      <c r="CI31" s="30">
        <f t="shared" ref="CI31:CI38" si="96">MOD($F6+CH31,$G$2)</f>
        <v>15</v>
      </c>
      <c r="CJ31" s="149"/>
      <c r="CK31" s="284"/>
      <c r="CL31" s="1">
        <v>1</v>
      </c>
      <c r="CM31">
        <f t="shared" ref="CM31:CM38" si="97">IF(CJ31="", CG31,IF(CJ31=MIN(CJ$31:CJ$38),CG31+1,0))</f>
        <v>0</v>
      </c>
      <c r="CN31" s="37">
        <f>(CM31+$B$29)*$G$3</f>
        <v>232</v>
      </c>
      <c r="CO31" s="30">
        <f t="shared" ref="CO31:CO38" si="98">MOD($F6+CN31,$G$2)</f>
        <v>15</v>
      </c>
      <c r="CP31" s="149"/>
      <c r="CQ31" s="284"/>
      <c r="CR31" s="1">
        <v>1</v>
      </c>
      <c r="CS31">
        <f t="shared" ref="CS31:CS38" si="99">IF(CP31="", CM31,IF(CP31=MIN(CP$31:CP$38),CM31+1,0))</f>
        <v>0</v>
      </c>
      <c r="CT31" s="37">
        <f>(CS31+$B$29)*$G$3</f>
        <v>232</v>
      </c>
      <c r="CU31" s="30">
        <f t="shared" ref="CU31:CU38" si="100">MOD($F6+CT31,$G$2)</f>
        <v>15</v>
      </c>
      <c r="CV31" s="149"/>
      <c r="CW31" s="284"/>
      <c r="CX31" s="1">
        <v>1</v>
      </c>
      <c r="CY31">
        <f t="shared" ref="CY31:CY38" si="101">IF(CV31="", CS31,IF(CV31=MIN(CV$31:CV$38),CS31+1,0))</f>
        <v>0</v>
      </c>
      <c r="CZ31" s="37">
        <f>(CY31+$B$29)*$G$3</f>
        <v>232</v>
      </c>
      <c r="DA31" s="30">
        <f t="shared" ref="DA31:DA38" si="102">MOD($F6+CZ31,$G$2)</f>
        <v>15</v>
      </c>
      <c r="DB31" s="149"/>
      <c r="DC31" s="287"/>
      <c r="DD31" s="201"/>
      <c r="DE31" s="294"/>
      <c r="DF31" s="1">
        <v>1</v>
      </c>
      <c r="DG31">
        <f t="shared" ref="DG31:DG38" si="103">IF(CV31="", CS31,IF(CV31=MIN(CV$31:CV$38),CS31+1,0))</f>
        <v>0</v>
      </c>
      <c r="DH31" s="37">
        <f>(DG31+$B$29)*$G$3</f>
        <v>232</v>
      </c>
      <c r="DI31" s="30">
        <f t="shared" ref="DI31:DI38" si="104">MOD($F6+DH31,$G$2)</f>
        <v>15</v>
      </c>
      <c r="DJ31" s="149">
        <v>8</v>
      </c>
      <c r="DK31" s="284"/>
      <c r="DL31" s="1">
        <v>1</v>
      </c>
      <c r="DM31">
        <f t="shared" ref="DM31:DM38" si="105">IF(DJ31="", DG31,IF(DJ31=MIN(DJ$31:DJ$38),DG31+1,0))</f>
        <v>0</v>
      </c>
      <c r="DN31" s="37">
        <f>(DM31+$B$29)*$G$3</f>
        <v>232</v>
      </c>
      <c r="DO31" s="30">
        <f t="shared" ref="DO31:DO38" si="106">MOD($F6+DN31,$G$2)</f>
        <v>15</v>
      </c>
      <c r="DP31" s="149"/>
      <c r="DQ31" s="284"/>
      <c r="DR31" s="1">
        <v>1</v>
      </c>
      <c r="DS31">
        <f t="shared" ref="DS31:DS38" si="107">IF(DP31="", DM31,IF(DP31=MIN(DP$31:DP$38),DM31+1,0))</f>
        <v>0</v>
      </c>
      <c r="DT31" s="37">
        <f>(DS31+$B$29)*$G$3</f>
        <v>232</v>
      </c>
      <c r="DU31" s="30">
        <f t="shared" ref="DU31:DU38" si="108">MOD($F6+DT31,$G$2)</f>
        <v>15</v>
      </c>
      <c r="DV31" s="149"/>
      <c r="DW31" s="287"/>
      <c r="DX31" s="201"/>
      <c r="DY31" s="294"/>
      <c r="DZ31" s="1">
        <v>1</v>
      </c>
      <c r="EA31">
        <f t="shared" ref="EA31:EA38" si="109">IF(DV31="", DS31,IF(DV31=MIN(DV$31:DV$38),DS31+1,0))</f>
        <v>0</v>
      </c>
      <c r="EB31" s="37">
        <f>(EA31+$B$29)*$G$3</f>
        <v>232</v>
      </c>
      <c r="EC31" s="30">
        <f t="shared" ref="EC31:EC38" si="110">MOD($F6+EB31,$G$2)</f>
        <v>15</v>
      </c>
      <c r="ED31" s="149"/>
      <c r="EE31" s="284"/>
      <c r="EF31" s="1">
        <v>1</v>
      </c>
      <c r="EG31">
        <f t="shared" ref="EG31:EG38" si="111">IF(ED31="", EA31,IF(ED31=MIN(ED$31:ED$38),EA31+1,0))</f>
        <v>0</v>
      </c>
      <c r="EH31" s="37">
        <f>(EG31+$B$29)*$G$3</f>
        <v>232</v>
      </c>
      <c r="EI31" s="30">
        <f t="shared" ref="EI31:EI38" si="112">MOD($F6+EH31,$G$2)</f>
        <v>15</v>
      </c>
      <c r="EJ31" s="149"/>
      <c r="EK31" s="284"/>
      <c r="EL31" s="1">
        <v>1</v>
      </c>
      <c r="EM31">
        <f t="shared" ref="EM31:EM38" si="113">IF(EJ31="", EG31,IF(EJ31=MIN(EJ$31:EJ$38),EG31+1,0))</f>
        <v>0</v>
      </c>
      <c r="EN31" s="37">
        <f>(EM31+$B$29)*$G$3</f>
        <v>232</v>
      </c>
      <c r="EO31" s="30">
        <f t="shared" ref="EO31:EO38" si="114">MOD($F6+EN31,$G$2)</f>
        <v>15</v>
      </c>
      <c r="EP31" s="149">
        <v>22</v>
      </c>
      <c r="EQ31" s="284"/>
      <c r="ER31" s="1">
        <v>1</v>
      </c>
      <c r="ES31">
        <f t="shared" ref="ES31:ES38" si="115">IF(EP31="", EM31,IF(EP31=MIN(EP$31:EP$38),EM31+1,0))</f>
        <v>0</v>
      </c>
      <c r="ET31" s="37">
        <f>(ES31+$B$29)*$G$3</f>
        <v>232</v>
      </c>
      <c r="EU31" s="30">
        <f t="shared" ref="EU31:EU38" si="116">MOD($F6+ET31,$G$2)</f>
        <v>15</v>
      </c>
      <c r="EV31" s="149"/>
      <c r="EW31" s="287"/>
      <c r="EX31" s="201"/>
    </row>
    <row r="32" spans="1:154" s="181" customFormat="1" x14ac:dyDescent="0.45">
      <c r="A32" s="294"/>
      <c r="B32" s="180">
        <v>2</v>
      </c>
      <c r="C32" s="181">
        <f t="shared" ref="C32:C38" si="117">IF(B32=MIN(B$21:B$28),1,0)</f>
        <v>0</v>
      </c>
      <c r="D32" s="37">
        <f t="shared" ref="D32:D38" si="118">(C32+$B$29)*$G$3</f>
        <v>232</v>
      </c>
      <c r="E32" s="30">
        <f t="shared" si="72"/>
        <v>11</v>
      </c>
      <c r="F32" s="188">
        <v>15</v>
      </c>
      <c r="G32" s="287"/>
      <c r="H32" s="201"/>
      <c r="I32" s="294"/>
      <c r="J32" s="180">
        <v>2</v>
      </c>
      <c r="K32" s="181">
        <f t="shared" si="73"/>
        <v>1</v>
      </c>
      <c r="L32" s="37">
        <f t="shared" ref="L32:L38" si="119">(K32+$B$29)*$G$3</f>
        <v>240</v>
      </c>
      <c r="M32" s="30">
        <f t="shared" si="74"/>
        <v>19</v>
      </c>
      <c r="N32" s="188">
        <v>7</v>
      </c>
      <c r="O32" s="284"/>
      <c r="P32" s="180">
        <v>2</v>
      </c>
      <c r="Q32" s="181">
        <f t="shared" si="75"/>
        <v>2</v>
      </c>
      <c r="R32" s="37">
        <f t="shared" ref="R32:R38" si="120">(Q32+$B$29)*$G$3</f>
        <v>248</v>
      </c>
      <c r="S32" s="30">
        <f t="shared" si="76"/>
        <v>27</v>
      </c>
      <c r="T32" s="188"/>
      <c r="U32" s="287"/>
      <c r="V32" s="201"/>
      <c r="W32" s="294"/>
      <c r="X32" s="180">
        <v>2</v>
      </c>
      <c r="Y32" s="181">
        <f t="shared" si="77"/>
        <v>2</v>
      </c>
      <c r="Z32" s="37">
        <f t="shared" ref="Z32:Z38" si="121">(Y32+$B$29)*$G$3</f>
        <v>248</v>
      </c>
      <c r="AA32" s="30">
        <f t="shared" si="78"/>
        <v>27</v>
      </c>
      <c r="AB32" s="188"/>
      <c r="AC32" s="284"/>
      <c r="AD32" s="180">
        <v>2</v>
      </c>
      <c r="AE32" s="181">
        <f t="shared" si="79"/>
        <v>2</v>
      </c>
      <c r="AF32" s="37">
        <f t="shared" ref="AF32:AF38" si="122">(AE32+$B$29)*$G$3</f>
        <v>248</v>
      </c>
      <c r="AG32" s="30">
        <f t="shared" si="80"/>
        <v>27</v>
      </c>
      <c r="AH32" s="188">
        <v>9</v>
      </c>
      <c r="AI32" s="284"/>
      <c r="AJ32" s="180">
        <v>2</v>
      </c>
      <c r="AK32" s="181">
        <f t="shared" si="81"/>
        <v>0</v>
      </c>
      <c r="AL32" s="37">
        <f t="shared" ref="AL32:AL38" si="123">(AK32+$B$29)*$G$3</f>
        <v>232</v>
      </c>
      <c r="AM32" s="30">
        <f t="shared" si="82"/>
        <v>11</v>
      </c>
      <c r="AN32" s="188">
        <v>15</v>
      </c>
      <c r="AO32" s="287"/>
      <c r="AP32" s="201"/>
      <c r="AQ32" s="294"/>
      <c r="AR32" s="180">
        <v>2</v>
      </c>
      <c r="AS32" s="181">
        <f t="shared" si="83"/>
        <v>1</v>
      </c>
      <c r="AT32" s="37">
        <f t="shared" ref="AT32:AT38" si="124">(AS32+$B$29)*$G$3</f>
        <v>240</v>
      </c>
      <c r="AU32" s="30">
        <f t="shared" si="84"/>
        <v>19</v>
      </c>
      <c r="AV32" s="188">
        <v>7</v>
      </c>
      <c r="AW32" s="284"/>
      <c r="AX32" s="180">
        <v>2</v>
      </c>
      <c r="AY32" s="181">
        <f t="shared" si="85"/>
        <v>2</v>
      </c>
      <c r="AZ32" s="37">
        <f t="shared" ref="AZ32:AZ38" si="125">(AY32+$B$29)*$G$3</f>
        <v>248</v>
      </c>
      <c r="BA32" s="30">
        <f t="shared" si="86"/>
        <v>27</v>
      </c>
      <c r="BB32" s="188">
        <v>17</v>
      </c>
      <c r="BC32" s="287"/>
      <c r="BD32" s="201"/>
      <c r="BE32" s="294"/>
      <c r="BF32" s="180">
        <v>2</v>
      </c>
      <c r="BG32" s="181">
        <f t="shared" si="87"/>
        <v>3</v>
      </c>
      <c r="BH32" s="37">
        <f t="shared" ref="BH32:BH38" si="126">(BG32+$B$29)*$G$3</f>
        <v>256</v>
      </c>
      <c r="BI32" s="30">
        <f t="shared" si="88"/>
        <v>3</v>
      </c>
      <c r="BJ32" s="188">
        <v>9</v>
      </c>
      <c r="BK32" s="284"/>
      <c r="BL32" s="180">
        <v>2</v>
      </c>
      <c r="BM32" s="181">
        <f t="shared" si="89"/>
        <v>4</v>
      </c>
      <c r="BN32" s="37">
        <f t="shared" ref="BN32:BN38" si="127">(BM32+$B$29)*$G$3</f>
        <v>264</v>
      </c>
      <c r="BO32" s="30">
        <f t="shared" si="90"/>
        <v>11</v>
      </c>
      <c r="BP32" s="188">
        <v>13</v>
      </c>
      <c r="BQ32" s="284"/>
      <c r="BR32" s="180">
        <v>2</v>
      </c>
      <c r="BS32" s="181">
        <f t="shared" si="91"/>
        <v>5</v>
      </c>
      <c r="BT32" s="37">
        <f t="shared" ref="BT32:BT38" si="128">(BS32+$B$29)*$G$3</f>
        <v>272</v>
      </c>
      <c r="BU32" s="30">
        <f t="shared" si="92"/>
        <v>19</v>
      </c>
      <c r="BV32" s="188">
        <v>17</v>
      </c>
      <c r="BW32" s="284"/>
      <c r="BX32" s="180">
        <v>2</v>
      </c>
      <c r="BY32" s="181">
        <f t="shared" si="93"/>
        <v>6</v>
      </c>
      <c r="BZ32" s="37">
        <f t="shared" ref="BZ32:BZ38" si="129">(BY32+$B$29)*$G$3</f>
        <v>280</v>
      </c>
      <c r="CA32" s="30">
        <f t="shared" si="94"/>
        <v>27</v>
      </c>
      <c r="CB32" s="188"/>
      <c r="CC32" s="287"/>
      <c r="CD32" s="201"/>
      <c r="CE32" s="294"/>
      <c r="CF32" s="180">
        <v>2</v>
      </c>
      <c r="CG32" s="181">
        <f t="shared" si="95"/>
        <v>6</v>
      </c>
      <c r="CH32" s="37">
        <f t="shared" ref="CH32:CH38" si="130">(CG32+$B$29)*$G$3</f>
        <v>280</v>
      </c>
      <c r="CI32" s="30">
        <f t="shared" si="96"/>
        <v>27</v>
      </c>
      <c r="CJ32" s="188"/>
      <c r="CK32" s="284"/>
      <c r="CL32" s="180">
        <v>2</v>
      </c>
      <c r="CM32" s="181">
        <f t="shared" si="97"/>
        <v>6</v>
      </c>
      <c r="CN32" s="37">
        <f t="shared" ref="CN32:CN38" si="131">(CM32+$B$29)*$G$3</f>
        <v>280</v>
      </c>
      <c r="CO32" s="30">
        <f t="shared" si="98"/>
        <v>27</v>
      </c>
      <c r="CP32" s="188">
        <v>9</v>
      </c>
      <c r="CQ32" s="284"/>
      <c r="CR32" s="180">
        <v>2</v>
      </c>
      <c r="CS32" s="181">
        <f t="shared" si="99"/>
        <v>7</v>
      </c>
      <c r="CT32" s="37">
        <f t="shared" ref="CT32:CT38" si="132">(CS32+$B$29)*$G$3</f>
        <v>288</v>
      </c>
      <c r="CU32" s="30">
        <f t="shared" si="100"/>
        <v>3</v>
      </c>
      <c r="CV32" s="188">
        <v>25</v>
      </c>
      <c r="CW32" s="284"/>
      <c r="CX32" s="180">
        <v>2</v>
      </c>
      <c r="CY32" s="181">
        <f t="shared" si="101"/>
        <v>8</v>
      </c>
      <c r="CZ32" s="37">
        <f t="shared" ref="CZ32:CZ38" si="133">(CY32+$B$29)*$G$3</f>
        <v>296</v>
      </c>
      <c r="DA32" s="30">
        <f t="shared" si="102"/>
        <v>11</v>
      </c>
      <c r="DB32" s="188"/>
      <c r="DC32" s="287"/>
      <c r="DD32" s="201"/>
      <c r="DE32" s="294"/>
      <c r="DF32" s="180">
        <v>2</v>
      </c>
      <c r="DG32" s="181">
        <f t="shared" si="103"/>
        <v>8</v>
      </c>
      <c r="DH32" s="37">
        <f t="shared" ref="DH32:DH38" si="134">(DG32+$B$29)*$G$3</f>
        <v>296</v>
      </c>
      <c r="DI32" s="30">
        <f t="shared" si="104"/>
        <v>11</v>
      </c>
      <c r="DJ32" s="188">
        <v>7</v>
      </c>
      <c r="DK32" s="284"/>
      <c r="DL32" s="180">
        <v>2</v>
      </c>
      <c r="DM32" s="181">
        <f t="shared" si="105"/>
        <v>9</v>
      </c>
      <c r="DN32" s="37">
        <f t="shared" ref="DN32:DN38" si="135">(DM32+$B$29)*$G$3</f>
        <v>304</v>
      </c>
      <c r="DO32" s="30">
        <f t="shared" si="106"/>
        <v>19</v>
      </c>
      <c r="DP32" s="188">
        <v>13</v>
      </c>
      <c r="DQ32" s="284"/>
      <c r="DR32" s="180">
        <v>2</v>
      </c>
      <c r="DS32" s="181">
        <f t="shared" si="107"/>
        <v>10</v>
      </c>
      <c r="DT32" s="37">
        <f t="shared" ref="DT32:DT38" si="136">(DS32+$B$29)*$G$3</f>
        <v>312</v>
      </c>
      <c r="DU32" s="30">
        <f t="shared" si="108"/>
        <v>27</v>
      </c>
      <c r="DV32" s="188">
        <v>17</v>
      </c>
      <c r="DW32" s="287"/>
      <c r="DX32" s="201"/>
      <c r="DY32" s="294"/>
      <c r="DZ32" s="180">
        <v>2</v>
      </c>
      <c r="EA32" s="181">
        <f t="shared" si="109"/>
        <v>11</v>
      </c>
      <c r="EB32" s="37">
        <f t="shared" ref="EB32:EB38" si="137">(EA32+$B$29)*$G$3</f>
        <v>320</v>
      </c>
      <c r="EC32" s="30">
        <f t="shared" si="110"/>
        <v>3</v>
      </c>
      <c r="ED32" s="188"/>
      <c r="EE32" s="284"/>
      <c r="EF32" s="180">
        <v>2</v>
      </c>
      <c r="EG32" s="181">
        <f t="shared" si="111"/>
        <v>11</v>
      </c>
      <c r="EH32" s="37">
        <f t="shared" ref="EH32:EH38" si="138">(EG32+$B$29)*$G$3</f>
        <v>320</v>
      </c>
      <c r="EI32" s="30">
        <f t="shared" si="112"/>
        <v>3</v>
      </c>
      <c r="EJ32" s="188">
        <v>11</v>
      </c>
      <c r="EK32" s="284"/>
      <c r="EL32" s="180">
        <v>2</v>
      </c>
      <c r="EM32" s="181">
        <f t="shared" si="113"/>
        <v>12</v>
      </c>
      <c r="EN32" s="37">
        <f t="shared" ref="EN32:EN38" si="139">(EM32+$B$29)*$G$3</f>
        <v>328</v>
      </c>
      <c r="EO32" s="30">
        <f t="shared" si="114"/>
        <v>11</v>
      </c>
      <c r="EP32" s="188">
        <v>21</v>
      </c>
      <c r="EQ32" s="284"/>
      <c r="ER32" s="180">
        <v>2</v>
      </c>
      <c r="ES32" s="181">
        <f t="shared" si="115"/>
        <v>13</v>
      </c>
      <c r="ET32" s="37">
        <f t="shared" ref="ET32:ET38" si="140">(ES32+$B$29)*$G$3</f>
        <v>336</v>
      </c>
      <c r="EU32" s="30">
        <f t="shared" si="116"/>
        <v>19</v>
      </c>
      <c r="EV32" s="188"/>
      <c r="EW32" s="287"/>
      <c r="EX32" s="201"/>
    </row>
    <row r="33" spans="1:154" s="71" customFormat="1" x14ac:dyDescent="0.45">
      <c r="A33" s="294"/>
      <c r="B33" s="1">
        <v>3</v>
      </c>
      <c r="C33">
        <f t="shared" si="117"/>
        <v>0</v>
      </c>
      <c r="D33" s="37">
        <f t="shared" si="118"/>
        <v>232</v>
      </c>
      <c r="E33" s="30">
        <f t="shared" si="72"/>
        <v>22</v>
      </c>
      <c r="F33" s="150"/>
      <c r="G33" s="287"/>
      <c r="H33" s="201"/>
      <c r="I33" s="294"/>
      <c r="J33" s="1">
        <v>3</v>
      </c>
      <c r="K33">
        <f t="shared" si="73"/>
        <v>0</v>
      </c>
      <c r="L33" s="37">
        <f t="shared" si="119"/>
        <v>232</v>
      </c>
      <c r="M33" s="30">
        <f t="shared" si="74"/>
        <v>22</v>
      </c>
      <c r="N33" s="150">
        <v>8</v>
      </c>
      <c r="O33" s="284"/>
      <c r="P33" s="1">
        <v>3</v>
      </c>
      <c r="Q33">
        <f t="shared" si="75"/>
        <v>0</v>
      </c>
      <c r="R33" s="37">
        <f t="shared" si="120"/>
        <v>232</v>
      </c>
      <c r="S33" s="30">
        <f t="shared" si="76"/>
        <v>22</v>
      </c>
      <c r="T33" s="150"/>
      <c r="U33" s="287"/>
      <c r="V33" s="201"/>
      <c r="W33" s="294"/>
      <c r="X33" s="1">
        <v>3</v>
      </c>
      <c r="Y33">
        <f t="shared" si="77"/>
        <v>0</v>
      </c>
      <c r="Z33" s="37">
        <f t="shared" si="121"/>
        <v>232</v>
      </c>
      <c r="AA33" s="30">
        <f t="shared" si="78"/>
        <v>22</v>
      </c>
      <c r="AB33" s="150"/>
      <c r="AC33" s="284"/>
      <c r="AD33" s="1">
        <v>3</v>
      </c>
      <c r="AE33">
        <f t="shared" si="79"/>
        <v>0</v>
      </c>
      <c r="AF33" s="37">
        <f t="shared" si="122"/>
        <v>232</v>
      </c>
      <c r="AG33" s="30">
        <f t="shared" si="80"/>
        <v>22</v>
      </c>
      <c r="AH33" s="150"/>
      <c r="AI33" s="284"/>
      <c r="AJ33" s="1">
        <v>3</v>
      </c>
      <c r="AK33">
        <f t="shared" si="81"/>
        <v>0</v>
      </c>
      <c r="AL33" s="37">
        <f t="shared" si="123"/>
        <v>232</v>
      </c>
      <c r="AM33" s="30">
        <f t="shared" si="82"/>
        <v>22</v>
      </c>
      <c r="AN33" s="150"/>
      <c r="AO33" s="287"/>
      <c r="AP33" s="201"/>
      <c r="AQ33" s="294"/>
      <c r="AR33" s="1">
        <v>3</v>
      </c>
      <c r="AS33">
        <f t="shared" si="83"/>
        <v>0</v>
      </c>
      <c r="AT33" s="37">
        <f t="shared" si="124"/>
        <v>232</v>
      </c>
      <c r="AU33" s="30">
        <f t="shared" si="84"/>
        <v>22</v>
      </c>
      <c r="AV33" s="150">
        <v>8</v>
      </c>
      <c r="AW33" s="284"/>
      <c r="AX33" s="1">
        <v>3</v>
      </c>
      <c r="AY33">
        <f t="shared" si="85"/>
        <v>0</v>
      </c>
      <c r="AZ33" s="37">
        <f t="shared" si="125"/>
        <v>232</v>
      </c>
      <c r="BA33" s="30">
        <f t="shared" si="86"/>
        <v>22</v>
      </c>
      <c r="BB33" s="150"/>
      <c r="BC33" s="287"/>
      <c r="BD33" s="201"/>
      <c r="BE33" s="294"/>
      <c r="BF33" s="1">
        <v>3</v>
      </c>
      <c r="BG33">
        <f t="shared" si="87"/>
        <v>0</v>
      </c>
      <c r="BH33" s="37">
        <f t="shared" si="126"/>
        <v>232</v>
      </c>
      <c r="BI33" s="30">
        <f t="shared" si="88"/>
        <v>22</v>
      </c>
      <c r="BJ33" s="150"/>
      <c r="BK33" s="284"/>
      <c r="BL33" s="1">
        <v>3</v>
      </c>
      <c r="BM33">
        <f t="shared" si="89"/>
        <v>0</v>
      </c>
      <c r="BN33" s="37">
        <f t="shared" si="127"/>
        <v>232</v>
      </c>
      <c r="BO33" s="30">
        <f t="shared" si="90"/>
        <v>22</v>
      </c>
      <c r="BP33" s="150"/>
      <c r="BQ33" s="284"/>
      <c r="BR33" s="1">
        <v>3</v>
      </c>
      <c r="BS33">
        <f t="shared" si="91"/>
        <v>0</v>
      </c>
      <c r="BT33" s="37">
        <f t="shared" si="128"/>
        <v>232</v>
      </c>
      <c r="BU33" s="30">
        <f t="shared" si="92"/>
        <v>22</v>
      </c>
      <c r="BV33" s="150">
        <v>18</v>
      </c>
      <c r="BW33" s="284"/>
      <c r="BX33" s="1">
        <v>3</v>
      </c>
      <c r="BY33">
        <f t="shared" si="93"/>
        <v>0</v>
      </c>
      <c r="BZ33" s="37">
        <f t="shared" si="129"/>
        <v>232</v>
      </c>
      <c r="CA33" s="30">
        <f t="shared" si="94"/>
        <v>22</v>
      </c>
      <c r="CB33" s="150"/>
      <c r="CC33" s="287"/>
      <c r="CD33" s="201"/>
      <c r="CE33" s="294"/>
      <c r="CF33" s="1">
        <v>3</v>
      </c>
      <c r="CG33">
        <f t="shared" si="95"/>
        <v>0</v>
      </c>
      <c r="CH33" s="37">
        <f t="shared" si="130"/>
        <v>232</v>
      </c>
      <c r="CI33" s="30">
        <f t="shared" si="96"/>
        <v>22</v>
      </c>
      <c r="CJ33" s="150"/>
      <c r="CK33" s="284"/>
      <c r="CL33" s="1">
        <v>3</v>
      </c>
      <c r="CM33">
        <f t="shared" si="97"/>
        <v>0</v>
      </c>
      <c r="CN33" s="37">
        <f t="shared" si="131"/>
        <v>232</v>
      </c>
      <c r="CO33" s="30">
        <f t="shared" si="98"/>
        <v>22</v>
      </c>
      <c r="CP33" s="150"/>
      <c r="CQ33" s="284"/>
      <c r="CR33" s="1">
        <v>3</v>
      </c>
      <c r="CS33">
        <f t="shared" si="99"/>
        <v>0</v>
      </c>
      <c r="CT33" s="37">
        <f t="shared" si="132"/>
        <v>232</v>
      </c>
      <c r="CU33" s="30">
        <f t="shared" si="100"/>
        <v>22</v>
      </c>
      <c r="CV33" s="150"/>
      <c r="CW33" s="284"/>
      <c r="CX33" s="1">
        <v>3</v>
      </c>
      <c r="CY33">
        <f t="shared" si="101"/>
        <v>0</v>
      </c>
      <c r="CZ33" s="37">
        <f t="shared" si="133"/>
        <v>232</v>
      </c>
      <c r="DA33" s="30">
        <f t="shared" si="102"/>
        <v>22</v>
      </c>
      <c r="DB33" s="150"/>
      <c r="DC33" s="287"/>
      <c r="DD33" s="201"/>
      <c r="DE33" s="294"/>
      <c r="DF33" s="1">
        <v>3</v>
      </c>
      <c r="DG33">
        <f t="shared" si="103"/>
        <v>0</v>
      </c>
      <c r="DH33" s="37">
        <f t="shared" si="134"/>
        <v>232</v>
      </c>
      <c r="DI33" s="30">
        <f t="shared" si="104"/>
        <v>22</v>
      </c>
      <c r="DJ33" s="150"/>
      <c r="DK33" s="284"/>
      <c r="DL33" s="1">
        <v>3</v>
      </c>
      <c r="DM33">
        <f t="shared" si="105"/>
        <v>0</v>
      </c>
      <c r="DN33" s="37">
        <f t="shared" si="135"/>
        <v>232</v>
      </c>
      <c r="DO33" s="30">
        <f t="shared" si="106"/>
        <v>22</v>
      </c>
      <c r="DP33" s="150">
        <v>14</v>
      </c>
      <c r="DQ33" s="284"/>
      <c r="DR33" s="1">
        <v>3</v>
      </c>
      <c r="DS33">
        <f t="shared" si="107"/>
        <v>0</v>
      </c>
      <c r="DT33" s="37">
        <f t="shared" si="136"/>
        <v>232</v>
      </c>
      <c r="DU33" s="30">
        <f t="shared" si="108"/>
        <v>22</v>
      </c>
      <c r="DV33" s="150"/>
      <c r="DW33" s="287"/>
      <c r="DX33" s="201"/>
      <c r="DY33" s="294"/>
      <c r="DZ33" s="1">
        <v>3</v>
      </c>
      <c r="EA33">
        <f t="shared" si="109"/>
        <v>0</v>
      </c>
      <c r="EB33" s="37">
        <f t="shared" si="137"/>
        <v>232</v>
      </c>
      <c r="EC33" s="30">
        <f t="shared" si="110"/>
        <v>22</v>
      </c>
      <c r="ED33" s="150"/>
      <c r="EE33" s="284"/>
      <c r="EF33" s="1">
        <v>3</v>
      </c>
      <c r="EG33">
        <f t="shared" si="111"/>
        <v>0</v>
      </c>
      <c r="EH33" s="37">
        <f t="shared" si="138"/>
        <v>232</v>
      </c>
      <c r="EI33" s="30">
        <f t="shared" si="112"/>
        <v>22</v>
      </c>
      <c r="EJ33" s="150"/>
      <c r="EK33" s="284"/>
      <c r="EL33" s="1">
        <v>3</v>
      </c>
      <c r="EM33">
        <f t="shared" si="113"/>
        <v>0</v>
      </c>
      <c r="EN33" s="37">
        <f t="shared" si="139"/>
        <v>232</v>
      </c>
      <c r="EO33" s="30">
        <f t="shared" si="114"/>
        <v>22</v>
      </c>
      <c r="EP33" s="150"/>
      <c r="EQ33" s="284"/>
      <c r="ER33" s="1">
        <v>3</v>
      </c>
      <c r="ES33">
        <f t="shared" si="115"/>
        <v>0</v>
      </c>
      <c r="ET33" s="37">
        <f t="shared" si="140"/>
        <v>232</v>
      </c>
      <c r="EU33" s="30">
        <f t="shared" si="116"/>
        <v>22</v>
      </c>
      <c r="EV33" s="150"/>
      <c r="EW33" s="287"/>
      <c r="EX33" s="201"/>
    </row>
    <row r="34" spans="1:154" x14ac:dyDescent="0.45">
      <c r="A34" s="294"/>
      <c r="B34" s="1">
        <v>4</v>
      </c>
      <c r="C34">
        <f t="shared" si="117"/>
        <v>0</v>
      </c>
      <c r="D34" s="37">
        <f t="shared" si="118"/>
        <v>232</v>
      </c>
      <c r="E34" s="30">
        <f t="shared" si="72"/>
        <v>18</v>
      </c>
      <c r="F34" s="150"/>
      <c r="G34" s="287"/>
      <c r="H34" s="201"/>
      <c r="I34" s="294"/>
      <c r="J34" s="1">
        <v>4</v>
      </c>
      <c r="K34">
        <f t="shared" si="73"/>
        <v>0</v>
      </c>
      <c r="L34" s="37">
        <f t="shared" si="119"/>
        <v>232</v>
      </c>
      <c r="M34" s="30">
        <f t="shared" si="74"/>
        <v>18</v>
      </c>
      <c r="N34" s="150"/>
      <c r="O34" s="284"/>
      <c r="P34" s="1">
        <v>4</v>
      </c>
      <c r="Q34">
        <f t="shared" si="75"/>
        <v>0</v>
      </c>
      <c r="R34" s="37">
        <f t="shared" si="120"/>
        <v>232</v>
      </c>
      <c r="S34" s="30">
        <f t="shared" si="76"/>
        <v>18</v>
      </c>
      <c r="T34" s="150"/>
      <c r="U34" s="287"/>
      <c r="V34" s="201"/>
      <c r="W34" s="294"/>
      <c r="X34" s="1">
        <v>4</v>
      </c>
      <c r="Y34">
        <f t="shared" si="77"/>
        <v>0</v>
      </c>
      <c r="Z34" s="37">
        <f t="shared" si="121"/>
        <v>232</v>
      </c>
      <c r="AA34" s="30">
        <f t="shared" si="78"/>
        <v>18</v>
      </c>
      <c r="AB34" s="150"/>
      <c r="AC34" s="284"/>
      <c r="AD34" s="1">
        <v>4</v>
      </c>
      <c r="AE34">
        <f t="shared" si="79"/>
        <v>0</v>
      </c>
      <c r="AF34" s="37">
        <f t="shared" si="122"/>
        <v>232</v>
      </c>
      <c r="AG34" s="30">
        <f t="shared" si="80"/>
        <v>18</v>
      </c>
      <c r="AH34" s="150"/>
      <c r="AI34" s="284"/>
      <c r="AJ34" s="1">
        <v>4</v>
      </c>
      <c r="AK34">
        <f t="shared" si="81"/>
        <v>0</v>
      </c>
      <c r="AL34" s="37">
        <f t="shared" si="123"/>
        <v>232</v>
      </c>
      <c r="AM34" s="30">
        <f t="shared" si="82"/>
        <v>18</v>
      </c>
      <c r="AN34" s="150"/>
      <c r="AO34" s="287"/>
      <c r="AP34" s="201"/>
      <c r="AQ34" s="294"/>
      <c r="AR34" s="1">
        <v>4</v>
      </c>
      <c r="AS34">
        <f t="shared" si="83"/>
        <v>0</v>
      </c>
      <c r="AT34" s="37">
        <f t="shared" si="124"/>
        <v>232</v>
      </c>
      <c r="AU34" s="30">
        <f t="shared" si="84"/>
        <v>18</v>
      </c>
      <c r="AV34" s="150"/>
      <c r="AW34" s="284"/>
      <c r="AX34" s="1">
        <v>4</v>
      </c>
      <c r="AY34">
        <f t="shared" si="85"/>
        <v>0</v>
      </c>
      <c r="AZ34" s="37">
        <f t="shared" si="125"/>
        <v>232</v>
      </c>
      <c r="BA34" s="30">
        <f t="shared" si="86"/>
        <v>18</v>
      </c>
      <c r="BB34" s="150"/>
      <c r="BC34" s="287"/>
      <c r="BD34" s="201"/>
      <c r="BE34" s="294"/>
      <c r="BF34" s="1">
        <v>4</v>
      </c>
      <c r="BG34">
        <f t="shared" si="87"/>
        <v>0</v>
      </c>
      <c r="BH34" s="37">
        <f t="shared" si="126"/>
        <v>232</v>
      </c>
      <c r="BI34" s="30">
        <f t="shared" si="88"/>
        <v>18</v>
      </c>
      <c r="BJ34" s="150"/>
      <c r="BK34" s="284"/>
      <c r="BL34" s="1">
        <v>4</v>
      </c>
      <c r="BM34">
        <f t="shared" si="89"/>
        <v>0</v>
      </c>
      <c r="BN34" s="37">
        <f t="shared" si="127"/>
        <v>232</v>
      </c>
      <c r="BO34" s="30">
        <f t="shared" si="90"/>
        <v>18</v>
      </c>
      <c r="BP34" s="150"/>
      <c r="BQ34" s="284"/>
      <c r="BR34" s="1">
        <v>4</v>
      </c>
      <c r="BS34">
        <f t="shared" si="91"/>
        <v>0</v>
      </c>
      <c r="BT34" s="37">
        <f t="shared" si="128"/>
        <v>232</v>
      </c>
      <c r="BU34" s="30">
        <f t="shared" si="92"/>
        <v>18</v>
      </c>
      <c r="BV34" s="150"/>
      <c r="BW34" s="284"/>
      <c r="BX34" s="1">
        <v>4</v>
      </c>
      <c r="BY34">
        <f t="shared" si="93"/>
        <v>0</v>
      </c>
      <c r="BZ34" s="37">
        <f t="shared" si="129"/>
        <v>232</v>
      </c>
      <c r="CA34" s="30">
        <f t="shared" si="94"/>
        <v>18</v>
      </c>
      <c r="CB34" s="150"/>
      <c r="CC34" s="287"/>
      <c r="CD34" s="201"/>
      <c r="CE34" s="294"/>
      <c r="CF34" s="1">
        <v>4</v>
      </c>
      <c r="CG34">
        <f t="shared" si="95"/>
        <v>0</v>
      </c>
      <c r="CH34" s="37">
        <f t="shared" si="130"/>
        <v>232</v>
      </c>
      <c r="CI34" s="30">
        <f t="shared" si="96"/>
        <v>18</v>
      </c>
      <c r="CJ34" s="150"/>
      <c r="CK34" s="284"/>
      <c r="CL34" s="1">
        <v>4</v>
      </c>
      <c r="CM34">
        <f t="shared" si="97"/>
        <v>0</v>
      </c>
      <c r="CN34" s="37">
        <f t="shared" si="131"/>
        <v>232</v>
      </c>
      <c r="CO34" s="30">
        <f t="shared" si="98"/>
        <v>18</v>
      </c>
      <c r="CP34" s="150"/>
      <c r="CQ34" s="284"/>
      <c r="CR34" s="1">
        <v>4</v>
      </c>
      <c r="CS34">
        <f t="shared" si="99"/>
        <v>0</v>
      </c>
      <c r="CT34" s="37">
        <f t="shared" si="132"/>
        <v>232</v>
      </c>
      <c r="CU34" s="30">
        <f t="shared" si="100"/>
        <v>18</v>
      </c>
      <c r="CV34" s="150"/>
      <c r="CW34" s="284"/>
      <c r="CX34" s="1">
        <v>4</v>
      </c>
      <c r="CY34">
        <f t="shared" si="101"/>
        <v>0</v>
      </c>
      <c r="CZ34" s="37">
        <f t="shared" si="133"/>
        <v>232</v>
      </c>
      <c r="DA34" s="30">
        <f t="shared" si="102"/>
        <v>18</v>
      </c>
      <c r="DB34" s="150"/>
      <c r="DC34" s="287"/>
      <c r="DD34" s="201"/>
      <c r="DE34" s="294"/>
      <c r="DF34" s="1">
        <v>4</v>
      </c>
      <c r="DG34">
        <f t="shared" si="103"/>
        <v>0</v>
      </c>
      <c r="DH34" s="37">
        <f t="shared" si="134"/>
        <v>232</v>
      </c>
      <c r="DI34" s="30">
        <f t="shared" si="104"/>
        <v>18</v>
      </c>
      <c r="DJ34" s="150"/>
      <c r="DK34" s="284"/>
      <c r="DL34" s="1">
        <v>4</v>
      </c>
      <c r="DM34">
        <f t="shared" si="105"/>
        <v>0</v>
      </c>
      <c r="DN34" s="37">
        <f t="shared" si="135"/>
        <v>232</v>
      </c>
      <c r="DO34" s="30">
        <f t="shared" si="106"/>
        <v>18</v>
      </c>
      <c r="DP34" s="150"/>
      <c r="DQ34" s="284"/>
      <c r="DR34" s="1">
        <v>4</v>
      </c>
      <c r="DS34">
        <f t="shared" si="107"/>
        <v>0</v>
      </c>
      <c r="DT34" s="37">
        <f t="shared" si="136"/>
        <v>232</v>
      </c>
      <c r="DU34" s="30">
        <f t="shared" si="108"/>
        <v>18</v>
      </c>
      <c r="DV34" s="150"/>
      <c r="DW34" s="287"/>
      <c r="DX34" s="201"/>
      <c r="DY34" s="294"/>
      <c r="DZ34" s="1">
        <v>4</v>
      </c>
      <c r="EA34">
        <f t="shared" si="109"/>
        <v>0</v>
      </c>
      <c r="EB34" s="37">
        <f t="shared" si="137"/>
        <v>232</v>
      </c>
      <c r="EC34" s="30">
        <f t="shared" si="110"/>
        <v>18</v>
      </c>
      <c r="ED34" s="150"/>
      <c r="EE34" s="284"/>
      <c r="EF34" s="1">
        <v>4</v>
      </c>
      <c r="EG34">
        <f t="shared" si="111"/>
        <v>0</v>
      </c>
      <c r="EH34" s="37">
        <f t="shared" si="138"/>
        <v>232</v>
      </c>
      <c r="EI34" s="30">
        <f t="shared" si="112"/>
        <v>18</v>
      </c>
      <c r="EJ34" s="150"/>
      <c r="EK34" s="284"/>
      <c r="EL34" s="1">
        <v>4</v>
      </c>
      <c r="EM34">
        <f t="shared" si="113"/>
        <v>0</v>
      </c>
      <c r="EN34" s="37">
        <f t="shared" si="139"/>
        <v>232</v>
      </c>
      <c r="EO34" s="30">
        <f t="shared" si="114"/>
        <v>18</v>
      </c>
      <c r="EP34" s="150"/>
      <c r="EQ34" s="284"/>
      <c r="ER34" s="1">
        <v>4</v>
      </c>
      <c r="ES34">
        <f t="shared" si="115"/>
        <v>0</v>
      </c>
      <c r="ET34" s="37">
        <f t="shared" si="140"/>
        <v>232</v>
      </c>
      <c r="EU34" s="30">
        <f t="shared" si="116"/>
        <v>18</v>
      </c>
      <c r="EV34" s="150"/>
      <c r="EW34" s="287"/>
      <c r="EX34" s="201"/>
    </row>
    <row r="35" spans="1:154" x14ac:dyDescent="0.45">
      <c r="A35" s="294"/>
      <c r="B35" s="1">
        <v>5</v>
      </c>
      <c r="C35">
        <f t="shared" si="117"/>
        <v>0</v>
      </c>
      <c r="D35" s="37">
        <f t="shared" si="118"/>
        <v>232</v>
      </c>
      <c r="E35" s="30">
        <f t="shared" si="72"/>
        <v>28</v>
      </c>
      <c r="F35" s="150"/>
      <c r="G35" s="287"/>
      <c r="H35" s="201"/>
      <c r="I35" s="294"/>
      <c r="J35" s="1">
        <v>5</v>
      </c>
      <c r="K35">
        <f t="shared" si="73"/>
        <v>0</v>
      </c>
      <c r="L35" s="37">
        <f t="shared" si="119"/>
        <v>232</v>
      </c>
      <c r="M35" s="30">
        <f t="shared" si="74"/>
        <v>28</v>
      </c>
      <c r="N35" s="150"/>
      <c r="O35" s="284"/>
      <c r="P35" s="1">
        <v>5</v>
      </c>
      <c r="Q35">
        <f t="shared" si="75"/>
        <v>0</v>
      </c>
      <c r="R35" s="37">
        <f t="shared" si="120"/>
        <v>232</v>
      </c>
      <c r="S35" s="30">
        <f t="shared" si="76"/>
        <v>28</v>
      </c>
      <c r="T35" s="150"/>
      <c r="U35" s="287"/>
      <c r="V35" s="201"/>
      <c r="W35" s="294"/>
      <c r="X35" s="1">
        <v>5</v>
      </c>
      <c r="Y35">
        <f t="shared" si="77"/>
        <v>0</v>
      </c>
      <c r="Z35" s="37">
        <f t="shared" si="121"/>
        <v>232</v>
      </c>
      <c r="AA35" s="30">
        <f t="shared" si="78"/>
        <v>28</v>
      </c>
      <c r="AB35" s="150"/>
      <c r="AC35" s="284"/>
      <c r="AD35" s="1">
        <v>5</v>
      </c>
      <c r="AE35">
        <f t="shared" si="79"/>
        <v>0</v>
      </c>
      <c r="AF35" s="37">
        <f t="shared" si="122"/>
        <v>232</v>
      </c>
      <c r="AG35" s="30">
        <f t="shared" si="80"/>
        <v>28</v>
      </c>
      <c r="AH35" s="150">
        <v>10</v>
      </c>
      <c r="AI35" s="284"/>
      <c r="AJ35" s="1">
        <v>5</v>
      </c>
      <c r="AK35">
        <f t="shared" si="81"/>
        <v>0</v>
      </c>
      <c r="AL35" s="37">
        <f t="shared" si="123"/>
        <v>232</v>
      </c>
      <c r="AM35" s="30">
        <f t="shared" si="82"/>
        <v>28</v>
      </c>
      <c r="AN35" s="150"/>
      <c r="AO35" s="287"/>
      <c r="AP35" s="201"/>
      <c r="AQ35" s="294"/>
      <c r="AR35" s="1">
        <v>5</v>
      </c>
      <c r="AS35">
        <f t="shared" si="83"/>
        <v>0</v>
      </c>
      <c r="AT35" s="37">
        <f t="shared" si="124"/>
        <v>232</v>
      </c>
      <c r="AU35" s="30">
        <f t="shared" si="84"/>
        <v>28</v>
      </c>
      <c r="AV35" s="150"/>
      <c r="AW35" s="284"/>
      <c r="AX35" s="1">
        <v>5</v>
      </c>
      <c r="AY35">
        <f t="shared" si="85"/>
        <v>0</v>
      </c>
      <c r="AZ35" s="37">
        <f t="shared" si="125"/>
        <v>232</v>
      </c>
      <c r="BA35" s="30">
        <f t="shared" si="86"/>
        <v>28</v>
      </c>
      <c r="BB35" s="150">
        <v>18</v>
      </c>
      <c r="BC35" s="287"/>
      <c r="BD35" s="201"/>
      <c r="BE35" s="294"/>
      <c r="BF35" s="1">
        <v>5</v>
      </c>
      <c r="BG35">
        <f t="shared" si="87"/>
        <v>0</v>
      </c>
      <c r="BH35" s="37">
        <f t="shared" si="126"/>
        <v>232</v>
      </c>
      <c r="BI35" s="30">
        <f t="shared" si="88"/>
        <v>28</v>
      </c>
      <c r="BJ35" s="150"/>
      <c r="BK35" s="284"/>
      <c r="BL35" s="1">
        <v>5</v>
      </c>
      <c r="BM35">
        <f t="shared" si="89"/>
        <v>0</v>
      </c>
      <c r="BN35" s="37">
        <f t="shared" si="127"/>
        <v>232</v>
      </c>
      <c r="BO35" s="30">
        <f t="shared" si="90"/>
        <v>28</v>
      </c>
      <c r="BP35" s="150"/>
      <c r="BQ35" s="284"/>
      <c r="BR35" s="1">
        <v>5</v>
      </c>
      <c r="BS35">
        <f t="shared" si="91"/>
        <v>0</v>
      </c>
      <c r="BT35" s="37">
        <f t="shared" si="128"/>
        <v>232</v>
      </c>
      <c r="BU35" s="30">
        <f t="shared" si="92"/>
        <v>28</v>
      </c>
      <c r="BV35" s="150"/>
      <c r="BW35" s="284"/>
      <c r="BX35" s="1">
        <v>5</v>
      </c>
      <c r="BY35">
        <f t="shared" si="93"/>
        <v>0</v>
      </c>
      <c r="BZ35" s="37">
        <f t="shared" si="129"/>
        <v>232</v>
      </c>
      <c r="CA35" s="30">
        <f t="shared" si="94"/>
        <v>28</v>
      </c>
      <c r="CB35" s="150"/>
      <c r="CC35" s="287"/>
      <c r="CD35" s="201"/>
      <c r="CE35" s="294"/>
      <c r="CF35" s="1">
        <v>5</v>
      </c>
      <c r="CG35">
        <f t="shared" si="95"/>
        <v>0</v>
      </c>
      <c r="CH35" s="37">
        <f t="shared" si="130"/>
        <v>232</v>
      </c>
      <c r="CI35" s="30">
        <f t="shared" si="96"/>
        <v>28</v>
      </c>
      <c r="CJ35" s="150"/>
      <c r="CK35" s="284"/>
      <c r="CL35" s="1">
        <v>5</v>
      </c>
      <c r="CM35">
        <f t="shared" si="97"/>
        <v>0</v>
      </c>
      <c r="CN35" s="37">
        <f t="shared" si="131"/>
        <v>232</v>
      </c>
      <c r="CO35" s="30">
        <f t="shared" si="98"/>
        <v>28</v>
      </c>
      <c r="CP35" s="150">
        <v>10</v>
      </c>
      <c r="CQ35" s="284"/>
      <c r="CR35" s="1">
        <v>5</v>
      </c>
      <c r="CS35">
        <f t="shared" si="99"/>
        <v>0</v>
      </c>
      <c r="CT35" s="37">
        <f t="shared" si="132"/>
        <v>232</v>
      </c>
      <c r="CU35" s="30">
        <f t="shared" si="100"/>
        <v>28</v>
      </c>
      <c r="CV35" s="150"/>
      <c r="CW35" s="284"/>
      <c r="CX35" s="1">
        <v>5</v>
      </c>
      <c r="CY35">
        <f t="shared" si="101"/>
        <v>0</v>
      </c>
      <c r="CZ35" s="37">
        <f t="shared" si="133"/>
        <v>232</v>
      </c>
      <c r="DA35" s="30">
        <f t="shared" si="102"/>
        <v>28</v>
      </c>
      <c r="DB35" s="150"/>
      <c r="DC35" s="287"/>
      <c r="DD35" s="201"/>
      <c r="DE35" s="294"/>
      <c r="DF35" s="1">
        <v>5</v>
      </c>
      <c r="DG35">
        <f t="shared" si="103"/>
        <v>0</v>
      </c>
      <c r="DH35" s="37">
        <f t="shared" si="134"/>
        <v>232</v>
      </c>
      <c r="DI35" s="30">
        <f t="shared" si="104"/>
        <v>28</v>
      </c>
      <c r="DJ35" s="150"/>
      <c r="DK35" s="284"/>
      <c r="DL35" s="1">
        <v>5</v>
      </c>
      <c r="DM35">
        <f t="shared" si="105"/>
        <v>0</v>
      </c>
      <c r="DN35" s="37">
        <f t="shared" si="135"/>
        <v>232</v>
      </c>
      <c r="DO35" s="30">
        <f t="shared" si="106"/>
        <v>28</v>
      </c>
      <c r="DP35" s="150"/>
      <c r="DQ35" s="284"/>
      <c r="DR35" s="1">
        <v>5</v>
      </c>
      <c r="DS35">
        <f t="shared" si="107"/>
        <v>0</v>
      </c>
      <c r="DT35" s="37">
        <f t="shared" si="136"/>
        <v>232</v>
      </c>
      <c r="DU35" s="30">
        <f t="shared" si="108"/>
        <v>28</v>
      </c>
      <c r="DV35" s="150">
        <v>18</v>
      </c>
      <c r="DW35" s="287"/>
      <c r="DX35" s="201"/>
      <c r="DY35" s="294"/>
      <c r="DZ35" s="1">
        <v>5</v>
      </c>
      <c r="EA35">
        <f t="shared" si="109"/>
        <v>0</v>
      </c>
      <c r="EB35" s="37">
        <f t="shared" si="137"/>
        <v>232</v>
      </c>
      <c r="EC35" s="30">
        <f t="shared" si="110"/>
        <v>28</v>
      </c>
      <c r="ED35" s="150"/>
      <c r="EE35" s="284"/>
      <c r="EF35" s="1">
        <v>5</v>
      </c>
      <c r="EG35">
        <f t="shared" si="111"/>
        <v>0</v>
      </c>
      <c r="EH35" s="37">
        <f t="shared" si="138"/>
        <v>232</v>
      </c>
      <c r="EI35" s="30">
        <f t="shared" si="112"/>
        <v>28</v>
      </c>
      <c r="EJ35" s="150"/>
      <c r="EK35" s="284"/>
      <c r="EL35" s="1">
        <v>5</v>
      </c>
      <c r="EM35">
        <f t="shared" si="113"/>
        <v>0</v>
      </c>
      <c r="EN35" s="37">
        <f t="shared" si="139"/>
        <v>232</v>
      </c>
      <c r="EO35" s="30">
        <f t="shared" si="114"/>
        <v>28</v>
      </c>
      <c r="EP35" s="150"/>
      <c r="EQ35" s="284"/>
      <c r="ER35" s="1">
        <v>5</v>
      </c>
      <c r="ES35">
        <f t="shared" si="115"/>
        <v>0</v>
      </c>
      <c r="ET35" s="37">
        <f t="shared" si="140"/>
        <v>232</v>
      </c>
      <c r="EU35" s="30">
        <f t="shared" si="116"/>
        <v>28</v>
      </c>
      <c r="EV35" s="150"/>
      <c r="EW35" s="287"/>
      <c r="EX35" s="201"/>
    </row>
    <row r="36" spans="1:154" x14ac:dyDescent="0.45">
      <c r="A36" s="294"/>
      <c r="B36" s="1">
        <v>6</v>
      </c>
      <c r="C36">
        <f t="shared" si="117"/>
        <v>0</v>
      </c>
      <c r="D36" s="37">
        <f t="shared" si="118"/>
        <v>232</v>
      </c>
      <c r="E36" s="30">
        <f t="shared" si="72"/>
        <v>24</v>
      </c>
      <c r="F36" s="150"/>
      <c r="G36" s="287"/>
      <c r="H36" s="201"/>
      <c r="I36" s="294"/>
      <c r="J36" s="1">
        <v>6</v>
      </c>
      <c r="K36">
        <f t="shared" si="73"/>
        <v>0</v>
      </c>
      <c r="L36" s="37">
        <f t="shared" si="119"/>
        <v>232</v>
      </c>
      <c r="M36" s="30">
        <f t="shared" si="74"/>
        <v>24</v>
      </c>
      <c r="N36" s="150"/>
      <c r="O36" s="284"/>
      <c r="P36" s="1">
        <v>6</v>
      </c>
      <c r="Q36">
        <f t="shared" si="75"/>
        <v>0</v>
      </c>
      <c r="R36" s="37">
        <f t="shared" si="120"/>
        <v>232</v>
      </c>
      <c r="S36" s="30">
        <f t="shared" si="76"/>
        <v>24</v>
      </c>
      <c r="T36" s="150"/>
      <c r="U36" s="287"/>
      <c r="V36" s="201"/>
      <c r="W36" s="294"/>
      <c r="X36" s="1">
        <v>6</v>
      </c>
      <c r="Y36">
        <f t="shared" si="77"/>
        <v>0</v>
      </c>
      <c r="Z36" s="37">
        <f t="shared" si="121"/>
        <v>232</v>
      </c>
      <c r="AA36" s="30">
        <f t="shared" si="78"/>
        <v>24</v>
      </c>
      <c r="AB36" s="150"/>
      <c r="AC36" s="284"/>
      <c r="AD36" s="1">
        <v>6</v>
      </c>
      <c r="AE36">
        <f t="shared" si="79"/>
        <v>0</v>
      </c>
      <c r="AF36" s="37">
        <f t="shared" si="122"/>
        <v>232</v>
      </c>
      <c r="AG36" s="30">
        <f t="shared" si="80"/>
        <v>24</v>
      </c>
      <c r="AH36" s="150"/>
      <c r="AI36" s="284"/>
      <c r="AJ36" s="1">
        <v>6</v>
      </c>
      <c r="AK36">
        <f t="shared" si="81"/>
        <v>0</v>
      </c>
      <c r="AL36" s="37">
        <f t="shared" si="123"/>
        <v>232</v>
      </c>
      <c r="AM36" s="30">
        <f t="shared" si="82"/>
        <v>24</v>
      </c>
      <c r="AN36" s="150"/>
      <c r="AO36" s="287"/>
      <c r="AP36" s="201"/>
      <c r="AQ36" s="294"/>
      <c r="AR36" s="1">
        <v>6</v>
      </c>
      <c r="AS36">
        <f t="shared" si="83"/>
        <v>0</v>
      </c>
      <c r="AT36" s="37">
        <f t="shared" si="124"/>
        <v>232</v>
      </c>
      <c r="AU36" s="30">
        <f t="shared" si="84"/>
        <v>24</v>
      </c>
      <c r="AV36" s="150"/>
      <c r="AW36" s="284"/>
      <c r="AX36" s="1">
        <v>6</v>
      </c>
      <c r="AY36">
        <f t="shared" si="85"/>
        <v>0</v>
      </c>
      <c r="AZ36" s="37">
        <f t="shared" si="125"/>
        <v>232</v>
      </c>
      <c r="BA36" s="30">
        <f t="shared" si="86"/>
        <v>24</v>
      </c>
      <c r="BB36" s="150"/>
      <c r="BC36" s="287"/>
      <c r="BD36" s="201"/>
      <c r="BE36" s="294"/>
      <c r="BF36" s="1">
        <v>6</v>
      </c>
      <c r="BG36">
        <f t="shared" si="87"/>
        <v>0</v>
      </c>
      <c r="BH36" s="37">
        <f t="shared" si="126"/>
        <v>232</v>
      </c>
      <c r="BI36" s="30">
        <f t="shared" si="88"/>
        <v>24</v>
      </c>
      <c r="BJ36" s="150"/>
      <c r="BK36" s="284"/>
      <c r="BL36" s="1">
        <v>6</v>
      </c>
      <c r="BM36">
        <f t="shared" si="89"/>
        <v>0</v>
      </c>
      <c r="BN36" s="37">
        <f t="shared" si="127"/>
        <v>232</v>
      </c>
      <c r="BO36" s="30">
        <f t="shared" si="90"/>
        <v>24</v>
      </c>
      <c r="BP36" s="150"/>
      <c r="BQ36" s="284"/>
      <c r="BR36" s="1">
        <v>6</v>
      </c>
      <c r="BS36">
        <f t="shared" si="91"/>
        <v>0</v>
      </c>
      <c r="BT36" s="37">
        <f t="shared" si="128"/>
        <v>232</v>
      </c>
      <c r="BU36" s="30">
        <f t="shared" si="92"/>
        <v>24</v>
      </c>
      <c r="BV36" s="150"/>
      <c r="BW36" s="284"/>
      <c r="BX36" s="1">
        <v>6</v>
      </c>
      <c r="BY36">
        <f t="shared" si="93"/>
        <v>0</v>
      </c>
      <c r="BZ36" s="37">
        <f t="shared" si="129"/>
        <v>232</v>
      </c>
      <c r="CA36" s="30">
        <f t="shared" si="94"/>
        <v>24</v>
      </c>
      <c r="CB36" s="150"/>
      <c r="CC36" s="287"/>
      <c r="CD36" s="201"/>
      <c r="CE36" s="294"/>
      <c r="CF36" s="1">
        <v>6</v>
      </c>
      <c r="CG36">
        <f t="shared" si="95"/>
        <v>0</v>
      </c>
      <c r="CH36" s="37">
        <f t="shared" si="130"/>
        <v>232</v>
      </c>
      <c r="CI36" s="30">
        <f t="shared" si="96"/>
        <v>24</v>
      </c>
      <c r="CJ36" s="150"/>
      <c r="CK36" s="284"/>
      <c r="CL36" s="1">
        <v>6</v>
      </c>
      <c r="CM36">
        <f t="shared" si="97"/>
        <v>0</v>
      </c>
      <c r="CN36" s="37">
        <f t="shared" si="131"/>
        <v>232</v>
      </c>
      <c r="CO36" s="30">
        <f t="shared" si="98"/>
        <v>24</v>
      </c>
      <c r="CP36" s="150"/>
      <c r="CQ36" s="284"/>
      <c r="CR36" s="1">
        <v>6</v>
      </c>
      <c r="CS36">
        <f t="shared" si="99"/>
        <v>0</v>
      </c>
      <c r="CT36" s="37">
        <f t="shared" si="132"/>
        <v>232</v>
      </c>
      <c r="CU36" s="30">
        <f t="shared" si="100"/>
        <v>24</v>
      </c>
      <c r="CV36" s="150"/>
      <c r="CW36" s="284"/>
      <c r="CX36" s="1">
        <v>6</v>
      </c>
      <c r="CY36">
        <f t="shared" si="101"/>
        <v>0</v>
      </c>
      <c r="CZ36" s="37">
        <f t="shared" si="133"/>
        <v>232</v>
      </c>
      <c r="DA36" s="30">
        <f t="shared" si="102"/>
        <v>24</v>
      </c>
      <c r="DB36" s="150"/>
      <c r="DC36" s="287"/>
      <c r="DD36" s="201"/>
      <c r="DE36" s="294"/>
      <c r="DF36" s="1">
        <v>6</v>
      </c>
      <c r="DG36">
        <f t="shared" si="103"/>
        <v>0</v>
      </c>
      <c r="DH36" s="37">
        <f t="shared" si="134"/>
        <v>232</v>
      </c>
      <c r="DI36" s="30">
        <f t="shared" si="104"/>
        <v>24</v>
      </c>
      <c r="DJ36" s="150"/>
      <c r="DK36" s="284"/>
      <c r="DL36" s="1">
        <v>6</v>
      </c>
      <c r="DM36">
        <f t="shared" si="105"/>
        <v>0</v>
      </c>
      <c r="DN36" s="37">
        <f t="shared" si="135"/>
        <v>232</v>
      </c>
      <c r="DO36" s="30">
        <f t="shared" si="106"/>
        <v>24</v>
      </c>
      <c r="DP36" s="150"/>
      <c r="DQ36" s="284"/>
      <c r="DR36" s="1">
        <v>6</v>
      </c>
      <c r="DS36">
        <f t="shared" si="107"/>
        <v>0</v>
      </c>
      <c r="DT36" s="37">
        <f t="shared" si="136"/>
        <v>232</v>
      </c>
      <c r="DU36" s="30">
        <f t="shared" si="108"/>
        <v>24</v>
      </c>
      <c r="DV36" s="150"/>
      <c r="DW36" s="287"/>
      <c r="DX36" s="201"/>
      <c r="DY36" s="294"/>
      <c r="DZ36" s="1">
        <v>6</v>
      </c>
      <c r="EA36">
        <f t="shared" si="109"/>
        <v>0</v>
      </c>
      <c r="EB36" s="37">
        <f t="shared" si="137"/>
        <v>232</v>
      </c>
      <c r="EC36" s="30">
        <f t="shared" si="110"/>
        <v>24</v>
      </c>
      <c r="ED36" s="150"/>
      <c r="EE36" s="284"/>
      <c r="EF36" s="1">
        <v>6</v>
      </c>
      <c r="EG36">
        <f t="shared" si="111"/>
        <v>0</v>
      </c>
      <c r="EH36" s="37">
        <f t="shared" si="138"/>
        <v>232</v>
      </c>
      <c r="EI36" s="30">
        <f t="shared" si="112"/>
        <v>24</v>
      </c>
      <c r="EJ36" s="150"/>
      <c r="EK36" s="284"/>
      <c r="EL36" s="1">
        <v>6</v>
      </c>
      <c r="EM36">
        <f t="shared" si="113"/>
        <v>0</v>
      </c>
      <c r="EN36" s="37">
        <f t="shared" si="139"/>
        <v>232</v>
      </c>
      <c r="EO36" s="30">
        <f t="shared" si="114"/>
        <v>24</v>
      </c>
      <c r="EP36" s="150"/>
      <c r="EQ36" s="284"/>
      <c r="ER36" s="1">
        <v>6</v>
      </c>
      <c r="ES36">
        <f t="shared" si="115"/>
        <v>0</v>
      </c>
      <c r="ET36" s="37">
        <f t="shared" si="140"/>
        <v>232</v>
      </c>
      <c r="EU36" s="30">
        <f t="shared" si="116"/>
        <v>24</v>
      </c>
      <c r="EV36" s="150"/>
      <c r="EW36" s="287"/>
      <c r="EX36" s="201"/>
    </row>
    <row r="37" spans="1:154" x14ac:dyDescent="0.45">
      <c r="A37" s="294"/>
      <c r="B37" s="1">
        <v>7</v>
      </c>
      <c r="C37">
        <f t="shared" si="117"/>
        <v>0</v>
      </c>
      <c r="D37" s="37">
        <f t="shared" si="118"/>
        <v>232</v>
      </c>
      <c r="E37" s="30">
        <f t="shared" si="72"/>
        <v>5</v>
      </c>
      <c r="F37" s="150"/>
      <c r="G37" s="287"/>
      <c r="H37" s="201"/>
      <c r="I37" s="294"/>
      <c r="J37" s="1">
        <v>7</v>
      </c>
      <c r="K37">
        <f t="shared" si="73"/>
        <v>0</v>
      </c>
      <c r="L37" s="37">
        <f t="shared" si="119"/>
        <v>232</v>
      </c>
      <c r="M37" s="30">
        <f t="shared" si="74"/>
        <v>5</v>
      </c>
      <c r="N37" s="150"/>
      <c r="O37" s="284"/>
      <c r="P37" s="1">
        <v>7</v>
      </c>
      <c r="Q37">
        <f t="shared" si="75"/>
        <v>0</v>
      </c>
      <c r="R37" s="37">
        <f t="shared" si="120"/>
        <v>232</v>
      </c>
      <c r="S37" s="30">
        <f t="shared" si="76"/>
        <v>5</v>
      </c>
      <c r="T37" s="150"/>
      <c r="U37" s="287"/>
      <c r="V37" s="201"/>
      <c r="W37" s="294"/>
      <c r="X37" s="1">
        <v>7</v>
      </c>
      <c r="Y37">
        <f t="shared" si="77"/>
        <v>0</v>
      </c>
      <c r="Z37" s="37">
        <f t="shared" si="121"/>
        <v>232</v>
      </c>
      <c r="AA37" s="30">
        <f t="shared" si="78"/>
        <v>5</v>
      </c>
      <c r="AB37" s="150"/>
      <c r="AC37" s="284"/>
      <c r="AD37" s="1">
        <v>7</v>
      </c>
      <c r="AE37">
        <f t="shared" si="79"/>
        <v>0</v>
      </c>
      <c r="AF37" s="37">
        <f t="shared" si="122"/>
        <v>232</v>
      </c>
      <c r="AG37" s="30">
        <f t="shared" si="80"/>
        <v>5</v>
      </c>
      <c r="AH37" s="150"/>
      <c r="AI37" s="284"/>
      <c r="AJ37" s="1">
        <v>7</v>
      </c>
      <c r="AK37">
        <f t="shared" si="81"/>
        <v>0</v>
      </c>
      <c r="AL37" s="37">
        <f t="shared" si="123"/>
        <v>232</v>
      </c>
      <c r="AM37" s="30">
        <f t="shared" si="82"/>
        <v>5</v>
      </c>
      <c r="AN37" s="150"/>
      <c r="AO37" s="287"/>
      <c r="AP37" s="201"/>
      <c r="AQ37" s="294"/>
      <c r="AR37" s="1">
        <v>7</v>
      </c>
      <c r="AS37">
        <f t="shared" si="83"/>
        <v>0</v>
      </c>
      <c r="AT37" s="37">
        <f t="shared" si="124"/>
        <v>232</v>
      </c>
      <c r="AU37" s="30">
        <f t="shared" si="84"/>
        <v>5</v>
      </c>
      <c r="AV37" s="150"/>
      <c r="AW37" s="284"/>
      <c r="AX37" s="1">
        <v>7</v>
      </c>
      <c r="AY37">
        <f t="shared" si="85"/>
        <v>0</v>
      </c>
      <c r="AZ37" s="37">
        <f t="shared" si="125"/>
        <v>232</v>
      </c>
      <c r="BA37" s="30">
        <f t="shared" si="86"/>
        <v>5</v>
      </c>
      <c r="BB37" s="150"/>
      <c r="BC37" s="287"/>
      <c r="BD37" s="201"/>
      <c r="BE37" s="294"/>
      <c r="BF37" s="1">
        <v>7</v>
      </c>
      <c r="BG37">
        <f t="shared" si="87"/>
        <v>0</v>
      </c>
      <c r="BH37" s="37">
        <f t="shared" si="126"/>
        <v>232</v>
      </c>
      <c r="BI37" s="30">
        <f t="shared" si="88"/>
        <v>5</v>
      </c>
      <c r="BJ37" s="150">
        <v>10</v>
      </c>
      <c r="BK37" s="284"/>
      <c r="BL37" s="1">
        <v>7</v>
      </c>
      <c r="BM37">
        <f t="shared" si="89"/>
        <v>0</v>
      </c>
      <c r="BN37" s="37">
        <f t="shared" si="127"/>
        <v>232</v>
      </c>
      <c r="BO37" s="30">
        <f t="shared" si="90"/>
        <v>5</v>
      </c>
      <c r="BP37" s="150"/>
      <c r="BQ37" s="284"/>
      <c r="BR37" s="1">
        <v>7</v>
      </c>
      <c r="BS37">
        <f t="shared" si="91"/>
        <v>0</v>
      </c>
      <c r="BT37" s="37">
        <f t="shared" si="128"/>
        <v>232</v>
      </c>
      <c r="BU37" s="30">
        <f t="shared" si="92"/>
        <v>5</v>
      </c>
      <c r="BV37" s="150"/>
      <c r="BW37" s="284"/>
      <c r="BX37" s="1">
        <v>7</v>
      </c>
      <c r="BY37">
        <f t="shared" si="93"/>
        <v>0</v>
      </c>
      <c r="BZ37" s="37">
        <f t="shared" si="129"/>
        <v>232</v>
      </c>
      <c r="CA37" s="30">
        <f t="shared" si="94"/>
        <v>5</v>
      </c>
      <c r="CB37" s="150"/>
      <c r="CC37" s="287"/>
      <c r="CD37" s="201"/>
      <c r="CE37" s="294"/>
      <c r="CF37" s="1">
        <v>7</v>
      </c>
      <c r="CG37">
        <f t="shared" si="95"/>
        <v>0</v>
      </c>
      <c r="CH37" s="37">
        <f t="shared" si="130"/>
        <v>232</v>
      </c>
      <c r="CI37" s="30">
        <f t="shared" si="96"/>
        <v>5</v>
      </c>
      <c r="CJ37" s="150"/>
      <c r="CK37" s="284"/>
      <c r="CL37" s="1">
        <v>7</v>
      </c>
      <c r="CM37">
        <f t="shared" si="97"/>
        <v>0</v>
      </c>
      <c r="CN37" s="37">
        <f t="shared" si="131"/>
        <v>232</v>
      </c>
      <c r="CO37" s="30">
        <f t="shared" si="98"/>
        <v>5</v>
      </c>
      <c r="CP37" s="150"/>
      <c r="CQ37" s="284"/>
      <c r="CR37" s="1">
        <v>7</v>
      </c>
      <c r="CS37">
        <f t="shared" si="99"/>
        <v>0</v>
      </c>
      <c r="CT37" s="37">
        <f t="shared" si="132"/>
        <v>232</v>
      </c>
      <c r="CU37" s="30">
        <f t="shared" si="100"/>
        <v>5</v>
      </c>
      <c r="CV37" s="150">
        <v>26</v>
      </c>
      <c r="CW37" s="284"/>
      <c r="CX37" s="1">
        <v>7</v>
      </c>
      <c r="CY37">
        <f t="shared" si="101"/>
        <v>0</v>
      </c>
      <c r="CZ37" s="37">
        <f t="shared" si="133"/>
        <v>232</v>
      </c>
      <c r="DA37" s="30">
        <f t="shared" si="102"/>
        <v>5</v>
      </c>
      <c r="DB37" s="150"/>
      <c r="DC37" s="287"/>
      <c r="DD37" s="201"/>
      <c r="DE37" s="294"/>
      <c r="DF37" s="1">
        <v>7</v>
      </c>
      <c r="DG37">
        <f t="shared" si="103"/>
        <v>0</v>
      </c>
      <c r="DH37" s="37">
        <f t="shared" si="134"/>
        <v>232</v>
      </c>
      <c r="DI37" s="30">
        <f t="shared" si="104"/>
        <v>5</v>
      </c>
      <c r="DJ37" s="150"/>
      <c r="DK37" s="284"/>
      <c r="DL37" s="1">
        <v>7</v>
      </c>
      <c r="DM37">
        <f t="shared" si="105"/>
        <v>0</v>
      </c>
      <c r="DN37" s="37">
        <f t="shared" si="135"/>
        <v>232</v>
      </c>
      <c r="DO37" s="30">
        <f t="shared" si="106"/>
        <v>5</v>
      </c>
      <c r="DP37" s="150"/>
      <c r="DQ37" s="284"/>
      <c r="DR37" s="1">
        <v>7</v>
      </c>
      <c r="DS37">
        <f t="shared" si="107"/>
        <v>0</v>
      </c>
      <c r="DT37" s="37">
        <f t="shared" si="136"/>
        <v>232</v>
      </c>
      <c r="DU37" s="30">
        <f t="shared" si="108"/>
        <v>5</v>
      </c>
      <c r="DV37" s="150"/>
      <c r="DW37" s="287"/>
      <c r="DX37" s="201"/>
      <c r="DY37" s="294"/>
      <c r="DZ37" s="1">
        <v>7</v>
      </c>
      <c r="EA37">
        <f t="shared" si="109"/>
        <v>0</v>
      </c>
      <c r="EB37" s="37">
        <f t="shared" si="137"/>
        <v>232</v>
      </c>
      <c r="EC37" s="30">
        <f t="shared" si="110"/>
        <v>5</v>
      </c>
      <c r="ED37" s="150"/>
      <c r="EE37" s="284"/>
      <c r="EF37" s="1">
        <v>7</v>
      </c>
      <c r="EG37">
        <f t="shared" si="111"/>
        <v>0</v>
      </c>
      <c r="EH37" s="37">
        <f t="shared" si="138"/>
        <v>232</v>
      </c>
      <c r="EI37" s="30">
        <f t="shared" si="112"/>
        <v>5</v>
      </c>
      <c r="EJ37" s="150">
        <v>12</v>
      </c>
      <c r="EK37" s="284"/>
      <c r="EL37" s="1">
        <v>7</v>
      </c>
      <c r="EM37">
        <f t="shared" si="113"/>
        <v>0</v>
      </c>
      <c r="EN37" s="37">
        <f t="shared" si="139"/>
        <v>232</v>
      </c>
      <c r="EO37" s="30">
        <f t="shared" si="114"/>
        <v>5</v>
      </c>
      <c r="EP37" s="150"/>
      <c r="EQ37" s="284"/>
      <c r="ER37" s="1">
        <v>7</v>
      </c>
      <c r="ES37">
        <f t="shared" si="115"/>
        <v>0</v>
      </c>
      <c r="ET37" s="37">
        <f t="shared" si="140"/>
        <v>232</v>
      </c>
      <c r="EU37" s="30">
        <f t="shared" si="116"/>
        <v>5</v>
      </c>
      <c r="EV37" s="150"/>
      <c r="EW37" s="287"/>
      <c r="EX37" s="201"/>
    </row>
    <row r="38" spans="1:154" s="79" customFormat="1" ht="21.5" thickBot="1" x14ac:dyDescent="0.5">
      <c r="A38" s="296"/>
      <c r="B38" s="51">
        <v>8</v>
      </c>
      <c r="C38" s="53">
        <f t="shared" si="117"/>
        <v>0</v>
      </c>
      <c r="D38" s="37">
        <f t="shared" si="118"/>
        <v>232</v>
      </c>
      <c r="E38" s="30">
        <f t="shared" si="72"/>
        <v>1</v>
      </c>
      <c r="F38" s="151"/>
      <c r="G38" s="287"/>
      <c r="H38" s="201"/>
      <c r="I38" s="296"/>
      <c r="J38" s="51">
        <v>8</v>
      </c>
      <c r="K38">
        <f t="shared" si="73"/>
        <v>0</v>
      </c>
      <c r="L38" s="37">
        <f t="shared" si="119"/>
        <v>232</v>
      </c>
      <c r="M38" s="30">
        <f t="shared" si="74"/>
        <v>1</v>
      </c>
      <c r="N38" s="151"/>
      <c r="O38" s="285"/>
      <c r="P38" s="51">
        <v>8</v>
      </c>
      <c r="Q38">
        <f t="shared" si="75"/>
        <v>0</v>
      </c>
      <c r="R38" s="37">
        <f t="shared" si="120"/>
        <v>232</v>
      </c>
      <c r="S38" s="30">
        <f t="shared" si="76"/>
        <v>1</v>
      </c>
      <c r="T38" s="151"/>
      <c r="U38" s="287"/>
      <c r="V38" s="201"/>
      <c r="W38" s="296"/>
      <c r="X38" s="51">
        <v>8</v>
      </c>
      <c r="Y38">
        <f t="shared" si="77"/>
        <v>0</v>
      </c>
      <c r="Z38" s="37">
        <f t="shared" si="121"/>
        <v>232</v>
      </c>
      <c r="AA38" s="30">
        <f t="shared" si="78"/>
        <v>1</v>
      </c>
      <c r="AB38" s="151"/>
      <c r="AC38" s="285"/>
      <c r="AD38" s="51">
        <v>8</v>
      </c>
      <c r="AE38">
        <f t="shared" si="79"/>
        <v>0</v>
      </c>
      <c r="AF38" s="37">
        <f t="shared" si="122"/>
        <v>232</v>
      </c>
      <c r="AG38" s="30">
        <f t="shared" si="80"/>
        <v>1</v>
      </c>
      <c r="AH38" s="151"/>
      <c r="AI38" s="285"/>
      <c r="AJ38" s="51">
        <v>8</v>
      </c>
      <c r="AK38">
        <f t="shared" si="81"/>
        <v>0</v>
      </c>
      <c r="AL38" s="37">
        <f t="shared" si="123"/>
        <v>232</v>
      </c>
      <c r="AM38" s="30">
        <f t="shared" si="82"/>
        <v>1</v>
      </c>
      <c r="AN38" s="151"/>
      <c r="AO38" s="287"/>
      <c r="AP38" s="201"/>
      <c r="AQ38" s="296"/>
      <c r="AR38" s="51">
        <v>8</v>
      </c>
      <c r="AS38">
        <f t="shared" si="83"/>
        <v>0</v>
      </c>
      <c r="AT38" s="37">
        <f t="shared" si="124"/>
        <v>232</v>
      </c>
      <c r="AU38" s="30">
        <f t="shared" si="84"/>
        <v>1</v>
      </c>
      <c r="AV38" s="151"/>
      <c r="AW38" s="285"/>
      <c r="AX38" s="51">
        <v>8</v>
      </c>
      <c r="AY38">
        <f t="shared" si="85"/>
        <v>0</v>
      </c>
      <c r="AZ38" s="37">
        <f t="shared" si="125"/>
        <v>232</v>
      </c>
      <c r="BA38" s="30">
        <f t="shared" si="86"/>
        <v>1</v>
      </c>
      <c r="BB38" s="151"/>
      <c r="BC38" s="287"/>
      <c r="BD38" s="201"/>
      <c r="BE38" s="296"/>
      <c r="BF38" s="51">
        <v>8</v>
      </c>
      <c r="BG38">
        <f t="shared" si="87"/>
        <v>0</v>
      </c>
      <c r="BH38" s="37">
        <f t="shared" si="126"/>
        <v>232</v>
      </c>
      <c r="BI38" s="30">
        <f t="shared" si="88"/>
        <v>1</v>
      </c>
      <c r="BJ38" s="151"/>
      <c r="BK38" s="285"/>
      <c r="BL38" s="51">
        <v>8</v>
      </c>
      <c r="BM38">
        <f t="shared" si="89"/>
        <v>0</v>
      </c>
      <c r="BN38" s="37">
        <f t="shared" si="127"/>
        <v>232</v>
      </c>
      <c r="BO38" s="30">
        <f t="shared" si="90"/>
        <v>1</v>
      </c>
      <c r="BP38" s="151"/>
      <c r="BQ38" s="285"/>
      <c r="BR38" s="51">
        <v>8</v>
      </c>
      <c r="BS38">
        <f t="shared" si="91"/>
        <v>0</v>
      </c>
      <c r="BT38" s="37">
        <f t="shared" si="128"/>
        <v>232</v>
      </c>
      <c r="BU38" s="30">
        <f t="shared" si="92"/>
        <v>1</v>
      </c>
      <c r="BV38" s="151"/>
      <c r="BW38" s="285"/>
      <c r="BX38" s="51">
        <v>8</v>
      </c>
      <c r="BY38">
        <f t="shared" si="93"/>
        <v>0</v>
      </c>
      <c r="BZ38" s="37">
        <f t="shared" si="129"/>
        <v>232</v>
      </c>
      <c r="CA38" s="30">
        <f t="shared" si="94"/>
        <v>1</v>
      </c>
      <c r="CB38" s="151"/>
      <c r="CC38" s="287"/>
      <c r="CD38" s="201"/>
      <c r="CE38" s="296"/>
      <c r="CF38" s="51">
        <v>8</v>
      </c>
      <c r="CG38">
        <f t="shared" si="95"/>
        <v>0</v>
      </c>
      <c r="CH38" s="37">
        <f t="shared" si="130"/>
        <v>232</v>
      </c>
      <c r="CI38" s="30">
        <f t="shared" si="96"/>
        <v>1</v>
      </c>
      <c r="CJ38" s="151"/>
      <c r="CK38" s="285"/>
      <c r="CL38" s="51">
        <v>8</v>
      </c>
      <c r="CM38">
        <f t="shared" si="97"/>
        <v>0</v>
      </c>
      <c r="CN38" s="37">
        <f t="shared" si="131"/>
        <v>232</v>
      </c>
      <c r="CO38" s="30">
        <f t="shared" si="98"/>
        <v>1</v>
      </c>
      <c r="CP38" s="151"/>
      <c r="CQ38" s="285"/>
      <c r="CR38" s="51">
        <v>8</v>
      </c>
      <c r="CS38">
        <f t="shared" si="99"/>
        <v>0</v>
      </c>
      <c r="CT38" s="37">
        <f t="shared" si="132"/>
        <v>232</v>
      </c>
      <c r="CU38" s="30">
        <f t="shared" si="100"/>
        <v>1</v>
      </c>
      <c r="CV38" s="151"/>
      <c r="CW38" s="285"/>
      <c r="CX38" s="51">
        <v>8</v>
      </c>
      <c r="CY38">
        <f t="shared" si="101"/>
        <v>0</v>
      </c>
      <c r="CZ38" s="37">
        <f t="shared" si="133"/>
        <v>232</v>
      </c>
      <c r="DA38" s="30">
        <f t="shared" si="102"/>
        <v>1</v>
      </c>
      <c r="DB38" s="151"/>
      <c r="DC38" s="287"/>
      <c r="DD38" s="201"/>
      <c r="DE38" s="296"/>
      <c r="DF38" s="51">
        <v>8</v>
      </c>
      <c r="DG38">
        <f t="shared" si="103"/>
        <v>0</v>
      </c>
      <c r="DH38" s="37">
        <f t="shared" si="134"/>
        <v>232</v>
      </c>
      <c r="DI38" s="30">
        <f t="shared" si="104"/>
        <v>1</v>
      </c>
      <c r="DJ38" s="151"/>
      <c r="DK38" s="285"/>
      <c r="DL38" s="51">
        <v>8</v>
      </c>
      <c r="DM38">
        <f t="shared" si="105"/>
        <v>0</v>
      </c>
      <c r="DN38" s="37">
        <f t="shared" si="135"/>
        <v>232</v>
      </c>
      <c r="DO38" s="30">
        <f t="shared" si="106"/>
        <v>1</v>
      </c>
      <c r="DP38" s="151"/>
      <c r="DQ38" s="285"/>
      <c r="DR38" s="51">
        <v>8</v>
      </c>
      <c r="DS38">
        <f t="shared" si="107"/>
        <v>0</v>
      </c>
      <c r="DT38" s="37">
        <f t="shared" si="136"/>
        <v>232</v>
      </c>
      <c r="DU38" s="30">
        <f t="shared" si="108"/>
        <v>1</v>
      </c>
      <c r="DV38" s="151"/>
      <c r="DW38" s="287"/>
      <c r="DX38" s="201"/>
      <c r="DY38" s="296"/>
      <c r="DZ38" s="51">
        <v>8</v>
      </c>
      <c r="EA38">
        <f t="shared" si="109"/>
        <v>0</v>
      </c>
      <c r="EB38" s="37">
        <f t="shared" si="137"/>
        <v>232</v>
      </c>
      <c r="EC38" s="30">
        <f t="shared" si="110"/>
        <v>1</v>
      </c>
      <c r="ED38" s="151"/>
      <c r="EE38" s="285"/>
      <c r="EF38" s="51">
        <v>8</v>
      </c>
      <c r="EG38">
        <f t="shared" si="111"/>
        <v>0</v>
      </c>
      <c r="EH38" s="37">
        <f t="shared" si="138"/>
        <v>232</v>
      </c>
      <c r="EI38" s="30">
        <f t="shared" si="112"/>
        <v>1</v>
      </c>
      <c r="EJ38" s="151"/>
      <c r="EK38" s="285"/>
      <c r="EL38" s="51">
        <v>8</v>
      </c>
      <c r="EM38">
        <f t="shared" si="113"/>
        <v>0</v>
      </c>
      <c r="EN38" s="37">
        <f t="shared" si="139"/>
        <v>232</v>
      </c>
      <c r="EO38" s="30">
        <f t="shared" si="114"/>
        <v>1</v>
      </c>
      <c r="EP38" s="151"/>
      <c r="EQ38" s="285"/>
      <c r="ER38" s="51">
        <v>8</v>
      </c>
      <c r="ES38">
        <f t="shared" si="115"/>
        <v>0</v>
      </c>
      <c r="ET38" s="37">
        <f t="shared" si="140"/>
        <v>232</v>
      </c>
      <c r="EU38" s="30">
        <f t="shared" si="116"/>
        <v>1</v>
      </c>
      <c r="EV38" s="151"/>
      <c r="EW38" s="287"/>
      <c r="EX38" s="201"/>
    </row>
    <row r="39" spans="1:154" s="79" customFormat="1" x14ac:dyDescent="0.45">
      <c r="A39" s="293">
        <v>3</v>
      </c>
      <c r="B39" s="48">
        <f>O8</f>
        <v>24</v>
      </c>
      <c r="C39" s="87" t="s">
        <v>154</v>
      </c>
      <c r="D39" s="10" t="s">
        <v>158</v>
      </c>
      <c r="E39" s="88" t="s">
        <v>152</v>
      </c>
      <c r="F39" s="152"/>
      <c r="G39" s="287">
        <f>IF(COUNT(F40:F48) &gt;0, COUNT(F40:F48)/2,"")</f>
        <v>1</v>
      </c>
      <c r="H39" s="201"/>
      <c r="I39" s="293">
        <v>3</v>
      </c>
      <c r="J39" s="104"/>
      <c r="K39" s="87" t="s">
        <v>154</v>
      </c>
      <c r="L39" s="10" t="s">
        <v>158</v>
      </c>
      <c r="M39" s="88" t="s">
        <v>152</v>
      </c>
      <c r="N39" s="152"/>
      <c r="O39" s="286">
        <v>3</v>
      </c>
      <c r="P39" s="104"/>
      <c r="Q39" s="87" t="s">
        <v>154</v>
      </c>
      <c r="R39" s="10" t="s">
        <v>158</v>
      </c>
      <c r="S39" s="88" t="s">
        <v>152</v>
      </c>
      <c r="T39" s="152"/>
      <c r="U39" s="287">
        <f>IF(COUNT(H40:H48,N40:N48,T40:T48) &gt;0, COUNT(H40:H48,N40:N48,T40:T48) /2,"")</f>
        <v>1</v>
      </c>
      <c r="V39" s="201"/>
      <c r="W39" s="293">
        <v>3</v>
      </c>
      <c r="X39" s="104"/>
      <c r="Y39" s="87" t="s">
        <v>154</v>
      </c>
      <c r="Z39" s="10" t="s">
        <v>158</v>
      </c>
      <c r="AA39" s="88" t="s">
        <v>152</v>
      </c>
      <c r="AB39" s="152"/>
      <c r="AC39" s="286">
        <v>3</v>
      </c>
      <c r="AD39" s="104"/>
      <c r="AE39" s="87" t="s">
        <v>154</v>
      </c>
      <c r="AF39" s="10" t="s">
        <v>158</v>
      </c>
      <c r="AG39" s="88" t="s">
        <v>152</v>
      </c>
      <c r="AH39" s="152"/>
      <c r="AI39" s="286">
        <v>3</v>
      </c>
      <c r="AJ39" s="104"/>
      <c r="AK39" t="str">
        <f t="shared" si="81"/>
        <v xml:space="preserve">CTR </v>
      </c>
      <c r="AL39" s="10" t="s">
        <v>158</v>
      </c>
      <c r="AM39" s="88" t="s">
        <v>152</v>
      </c>
      <c r="AN39" s="152"/>
      <c r="AO39" s="287">
        <f>IF(COUNT(AB40:AB48,AH40:AH48,AN40:AN48) &gt;0, COUNT(AB40:AB48,AH40:AH48,AN40:AN48) /2,"")</f>
        <v>2</v>
      </c>
      <c r="AP39" s="201"/>
      <c r="AQ39" s="293">
        <v>3</v>
      </c>
      <c r="AR39" s="104"/>
      <c r="AS39" s="87" t="s">
        <v>154</v>
      </c>
      <c r="AT39" s="10" t="s">
        <v>158</v>
      </c>
      <c r="AU39" s="88" t="s">
        <v>152</v>
      </c>
      <c r="AV39" s="152"/>
      <c r="AW39" s="286">
        <v>3</v>
      </c>
      <c r="AX39" s="104"/>
      <c r="AY39" s="87" t="s">
        <v>154</v>
      </c>
      <c r="AZ39" s="10" t="s">
        <v>158</v>
      </c>
      <c r="BA39" s="88" t="s">
        <v>152</v>
      </c>
      <c r="BB39" s="152"/>
      <c r="BC39" s="287">
        <f>IF(COUNT(AV40:AV48,BB40:BB48,#REF!) &gt;0, COUNT(AV40:AV48,BB40:BB48,#REF!) /2,"")</f>
        <v>1</v>
      </c>
      <c r="BD39" s="201"/>
      <c r="BE39" s="293">
        <v>3</v>
      </c>
      <c r="BF39" s="104"/>
      <c r="BG39" s="87" t="s">
        <v>154</v>
      </c>
      <c r="BH39" s="10" t="s">
        <v>158</v>
      </c>
      <c r="BI39" s="88" t="s">
        <v>152</v>
      </c>
      <c r="BJ39" s="152"/>
      <c r="BK39" s="286">
        <v>3</v>
      </c>
      <c r="BL39" s="104"/>
      <c r="BM39" s="87" t="s">
        <v>154</v>
      </c>
      <c r="BN39" s="10" t="s">
        <v>158</v>
      </c>
      <c r="BO39" s="88" t="s">
        <v>152</v>
      </c>
      <c r="BP39" s="152"/>
      <c r="BQ39" s="286">
        <v>3</v>
      </c>
      <c r="BR39" s="104"/>
      <c r="BS39" s="87" t="s">
        <v>154</v>
      </c>
      <c r="BT39" s="10" t="s">
        <v>158</v>
      </c>
      <c r="BU39" s="88" t="s">
        <v>152</v>
      </c>
      <c r="BV39" s="152"/>
      <c r="BW39" s="286">
        <v>3</v>
      </c>
      <c r="BX39" s="104"/>
      <c r="BY39" s="87" t="s">
        <v>154</v>
      </c>
      <c r="BZ39" s="10" t="s">
        <v>158</v>
      </c>
      <c r="CA39" s="88" t="s">
        <v>152</v>
      </c>
      <c r="CB39" s="152"/>
      <c r="CC39" s="287">
        <f>IF(COUNT(BJ40:BJ48,BP40:BP48,BV40:BV48,CB40:CB48) &gt;0, COUNT(BJ40:BJ48,BP40:BP48,BV40:BV48,CB40:CB48) /2,"")</f>
        <v>2</v>
      </c>
      <c r="CD39" s="201"/>
      <c r="CE39" s="293">
        <v>3</v>
      </c>
      <c r="CF39" s="104"/>
      <c r="CG39" s="87" t="s">
        <v>154</v>
      </c>
      <c r="CH39" s="10" t="s">
        <v>158</v>
      </c>
      <c r="CI39" s="88" t="s">
        <v>152</v>
      </c>
      <c r="CJ39" s="152"/>
      <c r="CK39" s="286">
        <v>3</v>
      </c>
      <c r="CL39" s="104"/>
      <c r="CM39" s="87" t="s">
        <v>154</v>
      </c>
      <c r="CN39" s="10" t="s">
        <v>158</v>
      </c>
      <c r="CO39" s="88" t="s">
        <v>152</v>
      </c>
      <c r="CP39" s="152"/>
      <c r="CQ39" s="286">
        <v>3</v>
      </c>
      <c r="CR39" s="104"/>
      <c r="CS39" s="87" t="s">
        <v>154</v>
      </c>
      <c r="CT39" s="10" t="s">
        <v>158</v>
      </c>
      <c r="CU39" s="88" t="s">
        <v>152</v>
      </c>
      <c r="CV39" s="152"/>
      <c r="CW39" s="286">
        <v>3</v>
      </c>
      <c r="CX39" s="104"/>
      <c r="CY39" s="87" t="s">
        <v>154</v>
      </c>
      <c r="CZ39" s="10" t="s">
        <v>158</v>
      </c>
      <c r="DA39" s="88" t="s">
        <v>152</v>
      </c>
      <c r="DB39" s="152"/>
      <c r="DC39" s="287">
        <f>IF(COUNT(CJ40:CJ48,CP40:CP48,CV40:CV48,DB40:DB48) &gt;0, COUNT(CJ40:CJ48,CP40:CP48,CV40:CV48,DB40:DB48) /2,"")</f>
        <v>2</v>
      </c>
      <c r="DD39" s="201"/>
      <c r="DE39" s="293">
        <v>3</v>
      </c>
      <c r="DF39" s="104"/>
      <c r="DG39" s="87" t="s">
        <v>154</v>
      </c>
      <c r="DH39" s="10" t="s">
        <v>158</v>
      </c>
      <c r="DI39" s="88" t="s">
        <v>152</v>
      </c>
      <c r="DJ39" s="152"/>
      <c r="DK39" s="286">
        <v>3</v>
      </c>
      <c r="DL39" s="104"/>
      <c r="DM39" s="87" t="s">
        <v>154</v>
      </c>
      <c r="DN39" s="10" t="s">
        <v>158</v>
      </c>
      <c r="DO39" s="88" t="s">
        <v>152</v>
      </c>
      <c r="DP39" s="152"/>
      <c r="DQ39" s="286">
        <v>3</v>
      </c>
      <c r="DR39" s="104"/>
      <c r="DS39" s="87" t="s">
        <v>154</v>
      </c>
      <c r="DT39" s="10" t="s">
        <v>158</v>
      </c>
      <c r="DU39" s="88" t="s">
        <v>152</v>
      </c>
      <c r="DV39" s="152"/>
      <c r="DW39" s="287">
        <f>IF(COUNT(DJ40:DJ48,DP40:DP48,DV40:DV48) &gt;0, COUNT(DJ40:DJ48,DP40:DP48,DV40:DV48) /2,"")</f>
        <v>1</v>
      </c>
      <c r="DX39" s="201"/>
      <c r="DY39" s="293">
        <v>3</v>
      </c>
      <c r="DZ39" s="104"/>
      <c r="EA39" s="87" t="s">
        <v>154</v>
      </c>
      <c r="EB39" s="10" t="s">
        <v>158</v>
      </c>
      <c r="EC39" s="88" t="s">
        <v>152</v>
      </c>
      <c r="ED39" s="152"/>
      <c r="EE39" s="286">
        <v>3</v>
      </c>
      <c r="EF39" s="104"/>
      <c r="EG39" s="87" t="s">
        <v>154</v>
      </c>
      <c r="EH39" s="10" t="s">
        <v>158</v>
      </c>
      <c r="EI39" s="88" t="s">
        <v>152</v>
      </c>
      <c r="EJ39" s="152"/>
      <c r="EK39" s="286">
        <v>3</v>
      </c>
      <c r="EL39" s="104"/>
      <c r="EM39" s="87" t="s">
        <v>154</v>
      </c>
      <c r="EN39" s="10" t="s">
        <v>158</v>
      </c>
      <c r="EO39" s="88" t="s">
        <v>152</v>
      </c>
      <c r="EP39" s="152"/>
      <c r="EQ39" s="286">
        <v>3</v>
      </c>
      <c r="ER39" s="104"/>
      <c r="ES39" s="87" t="s">
        <v>154</v>
      </c>
      <c r="ET39" s="10" t="s">
        <v>158</v>
      </c>
      <c r="EU39" s="88" t="s">
        <v>152</v>
      </c>
      <c r="EV39" s="152"/>
      <c r="EW39" s="287">
        <f>IF(COUNT(ED40:ED48,EJ40:EJ48,EP40:EP48,EV40:EV48) &gt;0, COUNT(ED40:ED48,EJ40:EJ48,EP40:EP48,EV40:EV48) /2,"")</f>
        <v>1</v>
      </c>
      <c r="EX39" s="201"/>
    </row>
    <row r="40" spans="1:154" ht="27.75" customHeight="1" x14ac:dyDescent="0.45">
      <c r="A40" s="294"/>
      <c r="B40" s="176" t="s">
        <v>162</v>
      </c>
      <c r="C40" s="102" t="s">
        <v>156</v>
      </c>
      <c r="D40" s="89" t="s">
        <v>175</v>
      </c>
      <c r="E40" s="177" t="s">
        <v>174</v>
      </c>
      <c r="F40" s="148"/>
      <c r="G40" s="287"/>
      <c r="H40" s="201"/>
      <c r="I40" s="294"/>
      <c r="J40" s="176" t="s">
        <v>162</v>
      </c>
      <c r="K40" s="90" t="s">
        <v>155</v>
      </c>
      <c r="L40" s="89" t="s">
        <v>175</v>
      </c>
      <c r="M40" s="177" t="s">
        <v>174</v>
      </c>
      <c r="N40" s="148"/>
      <c r="O40" s="284"/>
      <c r="P40" s="176" t="s">
        <v>162</v>
      </c>
      <c r="Q40" s="90" t="s">
        <v>155</v>
      </c>
      <c r="R40" s="89" t="s">
        <v>175</v>
      </c>
      <c r="S40" s="177" t="s">
        <v>174</v>
      </c>
      <c r="T40" s="148"/>
      <c r="U40" s="287"/>
      <c r="V40" s="201"/>
      <c r="W40" s="294"/>
      <c r="X40" s="176" t="s">
        <v>162</v>
      </c>
      <c r="Y40" s="90" t="s">
        <v>155</v>
      </c>
      <c r="Z40" s="89" t="s">
        <v>175</v>
      </c>
      <c r="AA40" s="177" t="s">
        <v>174</v>
      </c>
      <c r="AB40" s="148"/>
      <c r="AC40" s="284"/>
      <c r="AD40" s="176" t="s">
        <v>162</v>
      </c>
      <c r="AE40" s="90" t="s">
        <v>155</v>
      </c>
      <c r="AF40" s="89" t="s">
        <v>175</v>
      </c>
      <c r="AG40" s="177" t="s">
        <v>174</v>
      </c>
      <c r="AH40" s="148"/>
      <c r="AI40" s="284"/>
      <c r="AJ40" s="176" t="s">
        <v>162</v>
      </c>
      <c r="AK40" s="90" t="s">
        <v>155</v>
      </c>
      <c r="AL40" s="89" t="s">
        <v>175</v>
      </c>
      <c r="AM40" s="177" t="s">
        <v>174</v>
      </c>
      <c r="AN40" s="148"/>
      <c r="AO40" s="287"/>
      <c r="AP40" s="201"/>
      <c r="AQ40" s="294"/>
      <c r="AR40" s="176" t="s">
        <v>162</v>
      </c>
      <c r="AS40" s="90" t="s">
        <v>155</v>
      </c>
      <c r="AT40" s="89" t="s">
        <v>175</v>
      </c>
      <c r="AU40" s="177" t="s">
        <v>174</v>
      </c>
      <c r="AV40" s="148"/>
      <c r="AW40" s="284"/>
      <c r="AX40" s="176" t="s">
        <v>162</v>
      </c>
      <c r="AY40" s="90" t="s">
        <v>155</v>
      </c>
      <c r="AZ40" s="89" t="s">
        <v>175</v>
      </c>
      <c r="BA40" s="177" t="s">
        <v>174</v>
      </c>
      <c r="BB40" s="148"/>
      <c r="BC40" s="287"/>
      <c r="BD40" s="201"/>
      <c r="BE40" s="294"/>
      <c r="BF40" s="176" t="s">
        <v>162</v>
      </c>
      <c r="BG40" s="90" t="s">
        <v>155</v>
      </c>
      <c r="BH40" s="89" t="s">
        <v>175</v>
      </c>
      <c r="BI40" s="177" t="s">
        <v>174</v>
      </c>
      <c r="BJ40" s="148"/>
      <c r="BK40" s="284"/>
      <c r="BL40" s="176" t="s">
        <v>162</v>
      </c>
      <c r="BM40" s="90" t="s">
        <v>155</v>
      </c>
      <c r="BN40" s="89" t="s">
        <v>175</v>
      </c>
      <c r="BO40" s="177" t="s">
        <v>174</v>
      </c>
      <c r="BP40" s="148"/>
      <c r="BQ40" s="284"/>
      <c r="BR40" s="176" t="s">
        <v>162</v>
      </c>
      <c r="BS40" s="90" t="s">
        <v>155</v>
      </c>
      <c r="BT40" s="89" t="s">
        <v>175</v>
      </c>
      <c r="BU40" s="177" t="s">
        <v>174</v>
      </c>
      <c r="BV40" s="148"/>
      <c r="BW40" s="284"/>
      <c r="BX40" s="176" t="s">
        <v>162</v>
      </c>
      <c r="BY40" s="90" t="s">
        <v>155</v>
      </c>
      <c r="BZ40" s="89" t="s">
        <v>175</v>
      </c>
      <c r="CA40" s="177" t="s">
        <v>174</v>
      </c>
      <c r="CB40" s="148"/>
      <c r="CC40" s="287"/>
      <c r="CD40" s="201"/>
      <c r="CE40" s="294"/>
      <c r="CF40" s="176" t="s">
        <v>162</v>
      </c>
      <c r="CG40" s="90" t="s">
        <v>155</v>
      </c>
      <c r="CH40" s="89" t="s">
        <v>175</v>
      </c>
      <c r="CI40" s="177" t="s">
        <v>174</v>
      </c>
      <c r="CJ40" s="148"/>
      <c r="CK40" s="284"/>
      <c r="CL40" s="176" t="s">
        <v>162</v>
      </c>
      <c r="CM40" s="90" t="s">
        <v>155</v>
      </c>
      <c r="CN40" s="89" t="s">
        <v>175</v>
      </c>
      <c r="CO40" s="177" t="s">
        <v>174</v>
      </c>
      <c r="CP40" s="148"/>
      <c r="CQ40" s="284"/>
      <c r="CR40" s="176" t="s">
        <v>162</v>
      </c>
      <c r="CS40" s="90" t="s">
        <v>155</v>
      </c>
      <c r="CT40" s="89" t="s">
        <v>175</v>
      </c>
      <c r="CU40" s="177" t="s">
        <v>174</v>
      </c>
      <c r="CV40" s="148"/>
      <c r="CW40" s="284"/>
      <c r="CX40" s="176" t="s">
        <v>162</v>
      </c>
      <c r="CY40" s="90" t="s">
        <v>155</v>
      </c>
      <c r="CZ40" s="89" t="s">
        <v>175</v>
      </c>
      <c r="DA40" s="177" t="s">
        <v>174</v>
      </c>
      <c r="DB40" s="148"/>
      <c r="DC40" s="287"/>
      <c r="DD40" s="201"/>
      <c r="DE40" s="294"/>
      <c r="DF40" s="176" t="s">
        <v>162</v>
      </c>
      <c r="DG40" s="90" t="s">
        <v>155</v>
      </c>
      <c r="DH40" s="89" t="s">
        <v>175</v>
      </c>
      <c r="DI40" s="177" t="s">
        <v>174</v>
      </c>
      <c r="DJ40" s="148"/>
      <c r="DK40" s="284"/>
      <c r="DL40" s="176" t="s">
        <v>162</v>
      </c>
      <c r="DM40" s="90" t="s">
        <v>155</v>
      </c>
      <c r="DN40" s="89" t="s">
        <v>175</v>
      </c>
      <c r="DO40" s="177" t="s">
        <v>174</v>
      </c>
      <c r="DP40" s="148"/>
      <c r="DQ40" s="284"/>
      <c r="DR40" s="176" t="s">
        <v>162</v>
      </c>
      <c r="DS40" s="90" t="s">
        <v>155</v>
      </c>
      <c r="DT40" s="89" t="s">
        <v>175</v>
      </c>
      <c r="DU40" s="177" t="s">
        <v>174</v>
      </c>
      <c r="DV40" s="148"/>
      <c r="DW40" s="287"/>
      <c r="DX40" s="201"/>
      <c r="DY40" s="294"/>
      <c r="DZ40" s="176" t="s">
        <v>162</v>
      </c>
      <c r="EA40" s="90" t="s">
        <v>155</v>
      </c>
      <c r="EB40" s="89" t="s">
        <v>175</v>
      </c>
      <c r="EC40" s="177" t="s">
        <v>174</v>
      </c>
      <c r="ED40" s="148"/>
      <c r="EE40" s="284"/>
      <c r="EF40" s="176" t="s">
        <v>162</v>
      </c>
      <c r="EG40" s="90" t="s">
        <v>155</v>
      </c>
      <c r="EH40" s="89" t="s">
        <v>175</v>
      </c>
      <c r="EI40" s="177" t="s">
        <v>174</v>
      </c>
      <c r="EJ40" s="148"/>
      <c r="EK40" s="284"/>
      <c r="EL40" s="176" t="s">
        <v>162</v>
      </c>
      <c r="EM40" s="90" t="s">
        <v>155</v>
      </c>
      <c r="EN40" s="89" t="s">
        <v>175</v>
      </c>
      <c r="EO40" s="177" t="s">
        <v>174</v>
      </c>
      <c r="EP40" s="148"/>
      <c r="EQ40" s="284"/>
      <c r="ER40" s="176" t="s">
        <v>162</v>
      </c>
      <c r="ES40" s="90" t="s">
        <v>155</v>
      </c>
      <c r="ET40" s="89" t="s">
        <v>175</v>
      </c>
      <c r="EU40" s="177" t="s">
        <v>174</v>
      </c>
      <c r="EV40" s="148"/>
      <c r="EW40" s="287"/>
      <c r="EX40" s="201"/>
    </row>
    <row r="41" spans="1:154" x14ac:dyDescent="0.45">
      <c r="A41" s="294"/>
      <c r="B41" s="1">
        <v>1</v>
      </c>
      <c r="C41">
        <v>0</v>
      </c>
      <c r="D41" s="37">
        <f>(C41+$B$39)*$G$3</f>
        <v>192</v>
      </c>
      <c r="E41" s="30">
        <f t="shared" ref="E41:E48" si="141">MOD($F6+D41,$G$2)</f>
        <v>7</v>
      </c>
      <c r="F41" s="149"/>
      <c r="G41" s="287"/>
      <c r="H41" s="201"/>
      <c r="I41" s="294"/>
      <c r="J41" s="1">
        <v>1</v>
      </c>
      <c r="K41">
        <f t="shared" ref="K41:K48" si="142">IF(F41="", C41,IF(F41=MIN(F$41:F$48),C41+1,0))</f>
        <v>0</v>
      </c>
      <c r="L41" s="37">
        <f>(K41+$B$39)*$G$3</f>
        <v>192</v>
      </c>
      <c r="M41" s="30">
        <f t="shared" ref="M41:M48" si="143">MOD($F6+L41,$G$2)</f>
        <v>7</v>
      </c>
      <c r="N41" s="149"/>
      <c r="O41" s="284"/>
      <c r="P41" s="1">
        <v>1</v>
      </c>
      <c r="Q41">
        <f t="shared" ref="Q41:Q48" si="144">IF(N41="", K41,IF(N41=MIN(N$41:N$48),K41+1,0))</f>
        <v>0</v>
      </c>
      <c r="R41" s="37">
        <f>(Q41+$B$39)*$G$3</f>
        <v>192</v>
      </c>
      <c r="S41" s="30">
        <f t="shared" ref="S41:S48" si="145">MOD($F6+R41,$G$2)</f>
        <v>7</v>
      </c>
      <c r="T41" s="149"/>
      <c r="U41" s="287"/>
      <c r="V41" s="201"/>
      <c r="W41" s="294"/>
      <c r="X41" s="1">
        <v>1</v>
      </c>
      <c r="Y41">
        <f t="shared" ref="Y41:Y48" si="146">IF(T41="", Q41,IF(T41=MIN(T$41:T$48),Q41+1,0))</f>
        <v>0</v>
      </c>
      <c r="Z41" s="37">
        <f>(Y41+$B$39)*$G$3</f>
        <v>192</v>
      </c>
      <c r="AA41" s="30">
        <f t="shared" ref="AA41:AA48" si="147">MOD($F6+Z41,$G$2)</f>
        <v>7</v>
      </c>
      <c r="AB41" s="149"/>
      <c r="AC41" s="284"/>
      <c r="AD41" s="1">
        <v>1</v>
      </c>
      <c r="AE41">
        <f t="shared" ref="AE41:AE48" si="148">IF(AB41="", Y41,IF(AB41=MIN(AB$41:AB$48),Y41+1,0))</f>
        <v>0</v>
      </c>
      <c r="AF41" s="37">
        <f>(AE41+$B$39)*$G$3</f>
        <v>192</v>
      </c>
      <c r="AG41" s="30">
        <f t="shared" ref="AG41:AG48" si="149">MOD($F6+AF41,$G$2)</f>
        <v>7</v>
      </c>
      <c r="AH41" s="149"/>
      <c r="AI41" s="284"/>
      <c r="AJ41" s="1">
        <v>1</v>
      </c>
      <c r="AK41">
        <f t="shared" ref="AK41:AK49" si="150">IF(AH41="",AE41,IF(AH41=MIN(AH$21:AH$28),AE41+1,0))</f>
        <v>0</v>
      </c>
      <c r="AL41" s="37">
        <f>(AK41+$B$39)*$G$3</f>
        <v>192</v>
      </c>
      <c r="AM41" s="30">
        <f t="shared" ref="AM41:AM48" si="151">MOD($F6+AL41,$G$2)</f>
        <v>7</v>
      </c>
      <c r="AN41" s="149"/>
      <c r="AO41" s="287"/>
      <c r="AP41" s="201"/>
      <c r="AQ41" s="294"/>
      <c r="AR41" s="1">
        <v>1</v>
      </c>
      <c r="AS41">
        <f t="shared" ref="AS41:AS48" si="152">IF(AN41="", AK41,IF(AN41=MIN(AN$41:AN$48),AK41+1,0))</f>
        <v>0</v>
      </c>
      <c r="AT41" s="37">
        <f>(AS41+$B$39)*$G$3</f>
        <v>192</v>
      </c>
      <c r="AU41" s="30">
        <f t="shared" ref="AU41:AU48" si="153">MOD($F6+AT41,$G$2)</f>
        <v>7</v>
      </c>
      <c r="AV41" s="149"/>
      <c r="AW41" s="284"/>
      <c r="AX41" s="1">
        <v>1</v>
      </c>
      <c r="AY41">
        <f t="shared" ref="AY41:AY48" si="154">IF(AV41="", AS41,IF(AV41=MIN(AV$41:AV$48),AS41+1,0))</f>
        <v>0</v>
      </c>
      <c r="AZ41" s="37">
        <f>(AY41+$B$39)*$G$3</f>
        <v>192</v>
      </c>
      <c r="BA41" s="30">
        <f t="shared" ref="BA41:BA48" si="155">MOD($F6+AZ41,$G$2)</f>
        <v>7</v>
      </c>
      <c r="BB41" s="149"/>
      <c r="BC41" s="287"/>
      <c r="BD41" s="201"/>
      <c r="BE41" s="294"/>
      <c r="BF41" s="1">
        <v>1</v>
      </c>
      <c r="BG41">
        <f t="shared" ref="BG41:BG48" si="156">IF(BB41="", AY41,IF(BB41=MIN(BB$41:BB$48),AY41+1,0))</f>
        <v>0</v>
      </c>
      <c r="BH41" s="37">
        <f>(BG41+$B$39)*$G$3</f>
        <v>192</v>
      </c>
      <c r="BI41" s="30">
        <f t="shared" ref="BI41:BI48" si="157">MOD($F6+BH41,$G$2)</f>
        <v>7</v>
      </c>
      <c r="BJ41" s="149"/>
      <c r="BK41" s="284"/>
      <c r="BL41" s="1">
        <v>1</v>
      </c>
      <c r="BM41">
        <f t="shared" ref="BM41:BM48" si="158">IF(BJ41="", BG41,IF(BJ41=MIN(BJ$41:BJ$48),BG41+1,0))</f>
        <v>0</v>
      </c>
      <c r="BN41" s="37">
        <f>(BM41+$B$39)*$G$3</f>
        <v>192</v>
      </c>
      <c r="BO41" s="30">
        <f t="shared" ref="BO41:BO48" si="159">MOD($F6+BN41,$G$2)</f>
        <v>7</v>
      </c>
      <c r="BP41" s="149"/>
      <c r="BQ41" s="284"/>
      <c r="BR41" s="1">
        <v>1</v>
      </c>
      <c r="BS41">
        <f t="shared" ref="BS41:BS48" si="160">IF(BP41="", BM41,IF(BP41=MIN(BP$41:BP$48),BM41+1,0))</f>
        <v>0</v>
      </c>
      <c r="BT41" s="37">
        <f>(BS41+$B$39)*$G$3</f>
        <v>192</v>
      </c>
      <c r="BU41" s="30">
        <f t="shared" ref="BU41:BU48" si="161">MOD($F6+BT41,$G$2)</f>
        <v>7</v>
      </c>
      <c r="BV41" s="149">
        <v>20</v>
      </c>
      <c r="BW41" s="284"/>
      <c r="BX41" s="1">
        <v>1</v>
      </c>
      <c r="BY41">
        <f t="shared" ref="BY41:BY48" si="162">IF(BV41="", BS41,IF(BV41=MIN(BV$41:BV$48),BS41+1,0))</f>
        <v>0</v>
      </c>
      <c r="BZ41" s="37">
        <f>(BY41+$B$39)*$G$3</f>
        <v>192</v>
      </c>
      <c r="CA41" s="30">
        <f t="shared" ref="CA41:CA48" si="163">MOD($F6+BZ41,$G$2)</f>
        <v>7</v>
      </c>
      <c r="CB41" s="149"/>
      <c r="CC41" s="287"/>
      <c r="CD41" s="201"/>
      <c r="CE41" s="294"/>
      <c r="CF41" s="1">
        <v>1</v>
      </c>
      <c r="CG41">
        <f t="shared" ref="CG41:CG48" si="164">IF(CB41="", BY41,IF(CB41=MIN(CB$41:CB$48),BY41+1,0))</f>
        <v>0</v>
      </c>
      <c r="CH41" s="37">
        <f>(CG41+$B$39)*$G$3</f>
        <v>192</v>
      </c>
      <c r="CI41" s="30">
        <f t="shared" ref="CI41:CI48" si="165">MOD($F6+CH41,$G$2)</f>
        <v>7</v>
      </c>
      <c r="CJ41" s="149"/>
      <c r="CK41" s="284"/>
      <c r="CL41" s="1">
        <v>1</v>
      </c>
      <c r="CM41">
        <f t="shared" ref="CM41:CM48" si="166">IF(CJ41="", CG41,IF(CJ41=MIN(CJ$41:CJ$48),CG41+1,0))</f>
        <v>0</v>
      </c>
      <c r="CN41" s="37">
        <f>(CM41+$B$39)*$G$3</f>
        <v>192</v>
      </c>
      <c r="CO41" s="30">
        <f t="shared" ref="CO41:CO48" si="167">MOD($F6+CN41,$G$2)</f>
        <v>7</v>
      </c>
      <c r="CP41" s="149"/>
      <c r="CQ41" s="284"/>
      <c r="CR41" s="1">
        <v>1</v>
      </c>
      <c r="CS41">
        <f t="shared" ref="CS41:CS48" si="168">IF(CP41="", CM41,IF(CP41=MIN(CP$41:CP$48),CM41+1,0))</f>
        <v>0</v>
      </c>
      <c r="CT41" s="37">
        <f>(CS41+$B$39)*$G$3</f>
        <v>192</v>
      </c>
      <c r="CU41" s="30">
        <f t="shared" ref="CU41:CU48" si="169">MOD($F6+CT41,$G$2)</f>
        <v>7</v>
      </c>
      <c r="CV41" s="149"/>
      <c r="CW41" s="284"/>
      <c r="CX41" s="1">
        <v>1</v>
      </c>
      <c r="CY41">
        <f t="shared" ref="CY41:CY48" si="170">IF(CV41="", CS41,IF(CV41=MIN(CV$41:CV$48),CS41+1,0))</f>
        <v>0</v>
      </c>
      <c r="CZ41" s="37">
        <f>(CY41+$B$39)*$G$3</f>
        <v>192</v>
      </c>
      <c r="DA41" s="30">
        <f t="shared" ref="DA41:DA48" si="171">MOD($F6+CZ41,$G$2)</f>
        <v>7</v>
      </c>
      <c r="DB41" s="149"/>
      <c r="DC41" s="287"/>
      <c r="DD41" s="201"/>
      <c r="DE41" s="294"/>
      <c r="DF41" s="1">
        <v>1</v>
      </c>
      <c r="DG41">
        <f t="shared" ref="DG41:DG48" si="172">IF(CV41="", CS41,IF(CV41=MIN(CV$41:CV$48),CS41+1,0))</f>
        <v>0</v>
      </c>
      <c r="DH41" s="37">
        <f>(DG41+$B$39)*$G$3</f>
        <v>192</v>
      </c>
      <c r="DI41" s="30">
        <f t="shared" ref="DI41:DI48" si="173">MOD($F6+DH41,$G$2)</f>
        <v>7</v>
      </c>
      <c r="DJ41" s="149"/>
      <c r="DK41" s="284"/>
      <c r="DL41" s="1">
        <v>1</v>
      </c>
      <c r="DM41">
        <f t="shared" ref="DM41:DM48" si="174">IF(DJ41="", DG41,IF(DJ41=MIN(DJ$41:DJ$48),DG41+1,0))</f>
        <v>0</v>
      </c>
      <c r="DN41" s="37">
        <f>(DM41+$B$39)*$G$3</f>
        <v>192</v>
      </c>
      <c r="DO41" s="30">
        <f t="shared" ref="DO41:DO48" si="175">MOD($F6+DN41,$G$2)</f>
        <v>7</v>
      </c>
      <c r="DP41" s="149"/>
      <c r="DQ41" s="284"/>
      <c r="DR41" s="1">
        <v>1</v>
      </c>
      <c r="DS41">
        <f t="shared" ref="DS41:DS48" si="176">IF(DP41="", DM41,IF(DP41=MIN(DP$41:DP$48),DM41+1,0))</f>
        <v>0</v>
      </c>
      <c r="DT41" s="37">
        <f>(DS41+$B$39)*$G$3</f>
        <v>192</v>
      </c>
      <c r="DU41" s="30">
        <f t="shared" ref="DU41:DU48" si="177">MOD($F6+DT41,$G$2)</f>
        <v>7</v>
      </c>
      <c r="DV41" s="149"/>
      <c r="DW41" s="287"/>
      <c r="DX41" s="201"/>
      <c r="DY41" s="294"/>
      <c r="DZ41" s="1">
        <v>1</v>
      </c>
      <c r="EA41">
        <f t="shared" ref="EA41:EA48" si="178">IF(DV41="", DS41,IF(DV41=MIN(DV$41:DV$48),DS41+1,0))</f>
        <v>0</v>
      </c>
      <c r="EB41" s="37">
        <f>(EA41+$B$39)*$G$3</f>
        <v>192</v>
      </c>
      <c r="EC41" s="30">
        <f t="shared" ref="EC41:EC48" si="179">MOD($F6+EB41,$G$2)</f>
        <v>7</v>
      </c>
      <c r="ED41" s="149"/>
      <c r="EE41" s="284"/>
      <c r="EF41" s="1">
        <v>1</v>
      </c>
      <c r="EG41">
        <f t="shared" ref="EG41:EG48" si="180">IF(ED41="", EA41,IF(ED41=MIN(ED$41:ED$48),EA41+1,0))</f>
        <v>0</v>
      </c>
      <c r="EH41" s="37">
        <f>(EG41+$B$39)*$G$3</f>
        <v>192</v>
      </c>
      <c r="EI41" s="30">
        <f t="shared" ref="EI41:EI48" si="181">MOD($F6+EH41,$G$2)</f>
        <v>7</v>
      </c>
      <c r="EJ41" s="149">
        <v>16</v>
      </c>
      <c r="EK41" s="284"/>
      <c r="EL41" s="1">
        <v>1</v>
      </c>
      <c r="EM41">
        <f t="shared" ref="EM41:EM48" si="182">IF(EJ41="", EG41,IF(EJ41=MIN(EJ$41:EJ$48),EG41+1,0))</f>
        <v>0</v>
      </c>
      <c r="EN41" s="37">
        <f>(EM41+$B$39)*$G$3</f>
        <v>192</v>
      </c>
      <c r="EO41" s="30">
        <f t="shared" ref="EO41:EO48" si="183">MOD($F6+EN41,$G$2)</f>
        <v>7</v>
      </c>
      <c r="EP41" s="149"/>
      <c r="EQ41" s="284"/>
      <c r="ER41" s="1">
        <v>1</v>
      </c>
      <c r="ES41">
        <f t="shared" ref="ES41:ES48" si="184">IF(EP41="", EM41,IF(EP41=MIN(EP$41:EP$48),EM41+1,0))</f>
        <v>0</v>
      </c>
      <c r="ET41" s="37">
        <f>(ES41+$B$39)*$G$3</f>
        <v>192</v>
      </c>
      <c r="EU41" s="30">
        <f t="shared" ref="EU41:EU48" si="185">MOD($F6+ET41,$G$2)</f>
        <v>7</v>
      </c>
      <c r="EV41" s="149"/>
      <c r="EW41" s="287"/>
      <c r="EX41" s="201"/>
    </row>
    <row r="42" spans="1:154" x14ac:dyDescent="0.45">
      <c r="A42" s="294"/>
      <c r="B42" s="1">
        <v>2</v>
      </c>
      <c r="C42">
        <f t="shared" ref="C42:C48" si="186">IF(B42=MIN(B$21:B$28),1,0)</f>
        <v>0</v>
      </c>
      <c r="D42" s="37">
        <f t="shared" ref="D42:D48" si="187">(C42+$B$39)*$G$3</f>
        <v>192</v>
      </c>
      <c r="E42" s="30">
        <f t="shared" si="141"/>
        <v>3</v>
      </c>
      <c r="F42" s="150"/>
      <c r="G42" s="287"/>
      <c r="H42" s="201"/>
      <c r="I42" s="294"/>
      <c r="J42" s="1">
        <v>2</v>
      </c>
      <c r="K42">
        <f t="shared" si="142"/>
        <v>0</v>
      </c>
      <c r="L42" s="37">
        <f t="shared" ref="L42:L48" si="188">(K42+$B$39)*$G$3</f>
        <v>192</v>
      </c>
      <c r="M42" s="30">
        <f t="shared" si="143"/>
        <v>3</v>
      </c>
      <c r="N42" s="150"/>
      <c r="O42" s="284"/>
      <c r="P42" s="1">
        <v>2</v>
      </c>
      <c r="Q42">
        <f t="shared" si="144"/>
        <v>0</v>
      </c>
      <c r="R42" s="37">
        <f t="shared" ref="R42:R48" si="189">(Q42+$B$39)*$G$3</f>
        <v>192</v>
      </c>
      <c r="S42" s="30">
        <f t="shared" si="145"/>
        <v>3</v>
      </c>
      <c r="T42" s="150"/>
      <c r="U42" s="287"/>
      <c r="V42" s="201"/>
      <c r="W42" s="294"/>
      <c r="X42" s="1">
        <v>2</v>
      </c>
      <c r="Y42">
        <f t="shared" si="146"/>
        <v>0</v>
      </c>
      <c r="Z42" s="37">
        <f t="shared" ref="Z42:Z48" si="190">(Y42+$B$39)*$G$3</f>
        <v>192</v>
      </c>
      <c r="AA42" s="30">
        <f t="shared" si="147"/>
        <v>3</v>
      </c>
      <c r="AB42" s="150"/>
      <c r="AC42" s="284"/>
      <c r="AD42" s="1">
        <v>2</v>
      </c>
      <c r="AE42">
        <f t="shared" si="148"/>
        <v>0</v>
      </c>
      <c r="AF42" s="37">
        <f t="shared" ref="AF42:AF48" si="191">(AE42+$B$39)*$G$3</f>
        <v>192</v>
      </c>
      <c r="AG42" s="30">
        <f t="shared" si="149"/>
        <v>3</v>
      </c>
      <c r="AH42" s="150">
        <v>14</v>
      </c>
      <c r="AI42" s="284"/>
      <c r="AJ42" s="1">
        <v>2</v>
      </c>
      <c r="AK42">
        <f t="shared" si="150"/>
        <v>0</v>
      </c>
      <c r="AL42" s="37">
        <f t="shared" ref="AL42:AL48" si="192">(AK42+$B$39)*$G$3</f>
        <v>192</v>
      </c>
      <c r="AM42" s="30">
        <f t="shared" si="151"/>
        <v>3</v>
      </c>
      <c r="AN42" s="150"/>
      <c r="AO42" s="287"/>
      <c r="AP42" s="201"/>
      <c r="AQ42" s="294"/>
      <c r="AR42" s="1">
        <v>2</v>
      </c>
      <c r="AS42">
        <f t="shared" si="152"/>
        <v>0</v>
      </c>
      <c r="AT42" s="37">
        <f t="shared" ref="AT42:AT48" si="193">(AS42+$B$39)*$G$3</f>
        <v>192</v>
      </c>
      <c r="AU42" s="30">
        <f t="shared" si="153"/>
        <v>3</v>
      </c>
      <c r="AV42" s="150"/>
      <c r="AW42" s="284"/>
      <c r="AX42" s="1">
        <v>2</v>
      </c>
      <c r="AY42">
        <f t="shared" si="154"/>
        <v>0</v>
      </c>
      <c r="AZ42" s="37">
        <f t="shared" ref="AZ42:AZ48" si="194">(AY42+$B$39)*$G$3</f>
        <v>192</v>
      </c>
      <c r="BA42" s="30">
        <f t="shared" si="155"/>
        <v>3</v>
      </c>
      <c r="BB42" s="150"/>
      <c r="BC42" s="287"/>
      <c r="BD42" s="201"/>
      <c r="BE42" s="294"/>
      <c r="BF42" s="1">
        <v>2</v>
      </c>
      <c r="BG42">
        <f t="shared" si="156"/>
        <v>0</v>
      </c>
      <c r="BH42" s="37">
        <f t="shared" ref="BH42:BH48" si="195">(BG42+$B$39)*$G$3</f>
        <v>192</v>
      </c>
      <c r="BI42" s="30">
        <f t="shared" si="157"/>
        <v>3</v>
      </c>
      <c r="BJ42" s="150">
        <v>8</v>
      </c>
      <c r="BK42" s="284"/>
      <c r="BL42" s="1">
        <v>2</v>
      </c>
      <c r="BM42">
        <f t="shared" si="158"/>
        <v>0</v>
      </c>
      <c r="BN42" s="37">
        <f t="shared" ref="BN42:BN48" si="196">(BM42+$B$39)*$G$3</f>
        <v>192</v>
      </c>
      <c r="BO42" s="30">
        <f t="shared" si="159"/>
        <v>3</v>
      </c>
      <c r="BP42" s="150"/>
      <c r="BQ42" s="284"/>
      <c r="BR42" s="1">
        <v>2</v>
      </c>
      <c r="BS42">
        <f t="shared" si="160"/>
        <v>0</v>
      </c>
      <c r="BT42" s="37">
        <f t="shared" ref="BT42:BT48" si="197">(BS42+$B$39)*$G$3</f>
        <v>192</v>
      </c>
      <c r="BU42" s="30">
        <f t="shared" si="161"/>
        <v>3</v>
      </c>
      <c r="BV42" s="150"/>
      <c r="BW42" s="284"/>
      <c r="BX42" s="1">
        <v>2</v>
      </c>
      <c r="BY42">
        <f t="shared" si="162"/>
        <v>0</v>
      </c>
      <c r="BZ42" s="37">
        <f t="shared" ref="BZ42:BZ48" si="198">(BY42+$B$39)*$G$3</f>
        <v>192</v>
      </c>
      <c r="CA42" s="30">
        <f t="shared" si="163"/>
        <v>3</v>
      </c>
      <c r="CB42" s="150"/>
      <c r="CC42" s="287"/>
      <c r="CD42" s="201"/>
      <c r="CE42" s="294"/>
      <c r="CF42" s="1">
        <v>2</v>
      </c>
      <c r="CG42">
        <f t="shared" si="164"/>
        <v>0</v>
      </c>
      <c r="CH42" s="37">
        <f t="shared" ref="CH42:CH48" si="199">(CG42+$B$39)*$G$3</f>
        <v>192</v>
      </c>
      <c r="CI42" s="30">
        <f t="shared" si="165"/>
        <v>3</v>
      </c>
      <c r="CJ42" s="150"/>
      <c r="CK42" s="284"/>
      <c r="CL42" s="1">
        <v>2</v>
      </c>
      <c r="CM42">
        <f t="shared" si="166"/>
        <v>0</v>
      </c>
      <c r="CN42" s="37">
        <f t="shared" ref="CN42:CN48" si="200">(CM42+$B$39)*$G$3</f>
        <v>192</v>
      </c>
      <c r="CO42" s="30">
        <f t="shared" si="167"/>
        <v>3</v>
      </c>
      <c r="CP42" s="150"/>
      <c r="CQ42" s="284"/>
      <c r="CR42" s="1">
        <v>2</v>
      </c>
      <c r="CS42">
        <f t="shared" si="168"/>
        <v>0</v>
      </c>
      <c r="CT42" s="37">
        <f t="shared" ref="CT42:CT48" si="201">(CS42+$B$39)*$G$3</f>
        <v>192</v>
      </c>
      <c r="CU42" s="30">
        <f t="shared" si="169"/>
        <v>3</v>
      </c>
      <c r="CV42" s="150"/>
      <c r="CW42" s="284"/>
      <c r="CX42" s="1">
        <v>2</v>
      </c>
      <c r="CY42">
        <f t="shared" si="170"/>
        <v>0</v>
      </c>
      <c r="CZ42" s="37">
        <f t="shared" ref="CZ42:CZ48" si="202">(CY42+$B$39)*$G$3</f>
        <v>192</v>
      </c>
      <c r="DA42" s="30">
        <f t="shared" si="171"/>
        <v>3</v>
      </c>
      <c r="DB42" s="150"/>
      <c r="DC42" s="287"/>
      <c r="DD42" s="201"/>
      <c r="DE42" s="294"/>
      <c r="DF42" s="1">
        <v>2</v>
      </c>
      <c r="DG42">
        <f t="shared" si="172"/>
        <v>0</v>
      </c>
      <c r="DH42" s="37">
        <f t="shared" ref="DH42:DH48" si="203">(DG42+$B$39)*$G$3</f>
        <v>192</v>
      </c>
      <c r="DI42" s="30">
        <f t="shared" si="173"/>
        <v>3</v>
      </c>
      <c r="DJ42" s="150"/>
      <c r="DK42" s="284"/>
      <c r="DL42" s="1">
        <v>2</v>
      </c>
      <c r="DM42">
        <f t="shared" si="174"/>
        <v>0</v>
      </c>
      <c r="DN42" s="37">
        <f t="shared" ref="DN42:DN48" si="204">(DM42+$B$39)*$G$3</f>
        <v>192</v>
      </c>
      <c r="DO42" s="30">
        <f t="shared" si="175"/>
        <v>3</v>
      </c>
      <c r="DP42" s="150">
        <v>16</v>
      </c>
      <c r="DQ42" s="284"/>
      <c r="DR42" s="1">
        <v>2</v>
      </c>
      <c r="DS42">
        <f t="shared" si="176"/>
        <v>0</v>
      </c>
      <c r="DT42" s="37">
        <f t="shared" ref="DT42:DT48" si="205">(DS42+$B$39)*$G$3</f>
        <v>192</v>
      </c>
      <c r="DU42" s="30">
        <f t="shared" si="177"/>
        <v>3</v>
      </c>
      <c r="DV42" s="150"/>
      <c r="DW42" s="287"/>
      <c r="DX42" s="201"/>
      <c r="DY42" s="294"/>
      <c r="DZ42" s="1">
        <v>2</v>
      </c>
      <c r="EA42">
        <f t="shared" si="178"/>
        <v>0</v>
      </c>
      <c r="EB42" s="37">
        <f t="shared" ref="EB42:EB48" si="206">(EA42+$B$39)*$G$3</f>
        <v>192</v>
      </c>
      <c r="EC42" s="30">
        <f t="shared" si="179"/>
        <v>3</v>
      </c>
      <c r="ED42" s="150"/>
      <c r="EE42" s="284"/>
      <c r="EF42" s="1">
        <v>2</v>
      </c>
      <c r="EG42">
        <f t="shared" si="180"/>
        <v>0</v>
      </c>
      <c r="EH42" s="37">
        <f t="shared" ref="EH42:EH48" si="207">(EG42+$B$39)*$G$3</f>
        <v>192</v>
      </c>
      <c r="EI42" s="30">
        <f t="shared" si="181"/>
        <v>3</v>
      </c>
      <c r="EJ42" s="150"/>
      <c r="EK42" s="284"/>
      <c r="EL42" s="1">
        <v>2</v>
      </c>
      <c r="EM42">
        <f t="shared" si="182"/>
        <v>0</v>
      </c>
      <c r="EN42" s="37">
        <f t="shared" ref="EN42:EN48" si="208">(EM42+$B$39)*$G$3</f>
        <v>192</v>
      </c>
      <c r="EO42" s="30">
        <f t="shared" si="183"/>
        <v>3</v>
      </c>
      <c r="EP42" s="150"/>
      <c r="EQ42" s="284"/>
      <c r="ER42" s="1">
        <v>2</v>
      </c>
      <c r="ES42">
        <f t="shared" si="184"/>
        <v>0</v>
      </c>
      <c r="ET42" s="37">
        <f t="shared" ref="ET42:ET48" si="209">(ES42+$B$39)*$G$3</f>
        <v>192</v>
      </c>
      <c r="EU42" s="30">
        <f t="shared" si="185"/>
        <v>3</v>
      </c>
      <c r="EV42" s="150"/>
      <c r="EW42" s="287"/>
      <c r="EX42" s="201"/>
    </row>
    <row r="43" spans="1:154" s="181" customFormat="1" x14ac:dyDescent="0.45">
      <c r="A43" s="294"/>
      <c r="B43" s="180">
        <v>3</v>
      </c>
      <c r="C43" s="181">
        <f t="shared" si="186"/>
        <v>0</v>
      </c>
      <c r="D43" s="37">
        <f t="shared" si="187"/>
        <v>192</v>
      </c>
      <c r="E43" s="30">
        <f t="shared" si="141"/>
        <v>14</v>
      </c>
      <c r="F43" s="188">
        <v>5</v>
      </c>
      <c r="G43" s="287"/>
      <c r="H43" s="201"/>
      <c r="I43" s="294"/>
      <c r="J43" s="180">
        <v>3</v>
      </c>
      <c r="K43" s="181">
        <f t="shared" si="142"/>
        <v>1</v>
      </c>
      <c r="L43" s="37">
        <f t="shared" si="188"/>
        <v>200</v>
      </c>
      <c r="M43" s="30">
        <f t="shared" si="143"/>
        <v>22</v>
      </c>
      <c r="N43" s="188">
        <v>9</v>
      </c>
      <c r="O43" s="284"/>
      <c r="P43" s="180">
        <v>3</v>
      </c>
      <c r="Q43" s="181">
        <f t="shared" si="144"/>
        <v>2</v>
      </c>
      <c r="R43" s="37">
        <f t="shared" si="189"/>
        <v>208</v>
      </c>
      <c r="S43" s="30">
        <f t="shared" si="145"/>
        <v>30</v>
      </c>
      <c r="T43" s="188"/>
      <c r="U43" s="287"/>
      <c r="V43" s="201"/>
      <c r="W43" s="294"/>
      <c r="X43" s="180">
        <v>3</v>
      </c>
      <c r="Y43" s="181">
        <f t="shared" si="146"/>
        <v>2</v>
      </c>
      <c r="Z43" s="37">
        <f t="shared" si="190"/>
        <v>208</v>
      </c>
      <c r="AA43" s="30">
        <f t="shared" si="147"/>
        <v>30</v>
      </c>
      <c r="AB43" s="188"/>
      <c r="AC43" s="284"/>
      <c r="AD43" s="180">
        <v>3</v>
      </c>
      <c r="AE43" s="181">
        <f t="shared" si="148"/>
        <v>2</v>
      </c>
      <c r="AF43" s="37">
        <f t="shared" si="191"/>
        <v>208</v>
      </c>
      <c r="AG43" s="30">
        <f t="shared" si="149"/>
        <v>30</v>
      </c>
      <c r="AH43" s="188">
        <v>13</v>
      </c>
      <c r="AI43" s="284"/>
      <c r="AJ43" s="180">
        <v>3</v>
      </c>
      <c r="AK43" s="181">
        <f t="shared" si="150"/>
        <v>0</v>
      </c>
      <c r="AL43" s="37">
        <f t="shared" si="192"/>
        <v>192</v>
      </c>
      <c r="AM43" s="30">
        <f t="shared" si="151"/>
        <v>14</v>
      </c>
      <c r="AN43" s="188">
        <v>23</v>
      </c>
      <c r="AO43" s="287"/>
      <c r="AP43" s="201"/>
      <c r="AQ43" s="294"/>
      <c r="AR43" s="180">
        <v>3</v>
      </c>
      <c r="AS43" s="181">
        <f t="shared" si="152"/>
        <v>1</v>
      </c>
      <c r="AT43" s="37">
        <f t="shared" si="193"/>
        <v>200</v>
      </c>
      <c r="AU43" s="30">
        <f t="shared" si="153"/>
        <v>22</v>
      </c>
      <c r="AV43" s="188">
        <v>9</v>
      </c>
      <c r="AW43" s="284"/>
      <c r="AX43" s="180">
        <v>3</v>
      </c>
      <c r="AY43" s="181">
        <f t="shared" si="154"/>
        <v>2</v>
      </c>
      <c r="AZ43" s="37">
        <f t="shared" si="194"/>
        <v>208</v>
      </c>
      <c r="BA43" s="30">
        <f t="shared" si="155"/>
        <v>30</v>
      </c>
      <c r="BB43" s="188"/>
      <c r="BC43" s="287"/>
      <c r="BD43" s="201"/>
      <c r="BE43" s="294"/>
      <c r="BF43" s="180">
        <v>3</v>
      </c>
      <c r="BG43" s="181">
        <f t="shared" si="156"/>
        <v>2</v>
      </c>
      <c r="BH43" s="37">
        <f t="shared" si="195"/>
        <v>208</v>
      </c>
      <c r="BI43" s="30">
        <f t="shared" si="157"/>
        <v>30</v>
      </c>
      <c r="BJ43" s="188">
        <v>7</v>
      </c>
      <c r="BK43" s="284"/>
      <c r="BL43" s="180">
        <v>3</v>
      </c>
      <c r="BM43" s="181">
        <f t="shared" si="158"/>
        <v>3</v>
      </c>
      <c r="BN43" s="37">
        <f t="shared" si="196"/>
        <v>216</v>
      </c>
      <c r="BO43" s="30">
        <f t="shared" si="159"/>
        <v>6</v>
      </c>
      <c r="BP43" s="188"/>
      <c r="BQ43" s="284"/>
      <c r="BR43" s="180">
        <v>3</v>
      </c>
      <c r="BS43" s="181">
        <f t="shared" si="160"/>
        <v>3</v>
      </c>
      <c r="BT43" s="37">
        <f t="shared" si="197"/>
        <v>216</v>
      </c>
      <c r="BU43" s="30">
        <f t="shared" si="161"/>
        <v>6</v>
      </c>
      <c r="BV43" s="188">
        <v>19</v>
      </c>
      <c r="BW43" s="284"/>
      <c r="BX43" s="180">
        <v>3</v>
      </c>
      <c r="BY43" s="181">
        <f t="shared" si="162"/>
        <v>4</v>
      </c>
      <c r="BZ43" s="37">
        <f t="shared" si="198"/>
        <v>224</v>
      </c>
      <c r="CA43" s="30">
        <f t="shared" si="163"/>
        <v>14</v>
      </c>
      <c r="CB43" s="188"/>
      <c r="CC43" s="287"/>
      <c r="CD43" s="201"/>
      <c r="CE43" s="294"/>
      <c r="CF43" s="180">
        <v>3</v>
      </c>
      <c r="CG43" s="181">
        <f t="shared" si="164"/>
        <v>4</v>
      </c>
      <c r="CH43" s="37">
        <f t="shared" si="199"/>
        <v>224</v>
      </c>
      <c r="CI43" s="30">
        <f t="shared" si="165"/>
        <v>14</v>
      </c>
      <c r="CJ43" s="188"/>
      <c r="CK43" s="284"/>
      <c r="CL43" s="180">
        <v>3</v>
      </c>
      <c r="CM43" s="181">
        <f t="shared" si="166"/>
        <v>4</v>
      </c>
      <c r="CN43" s="37">
        <f t="shared" si="200"/>
        <v>224</v>
      </c>
      <c r="CO43" s="30">
        <f t="shared" si="167"/>
        <v>14</v>
      </c>
      <c r="CP43" s="188">
        <v>13</v>
      </c>
      <c r="CQ43" s="284"/>
      <c r="CR43" s="180">
        <v>3</v>
      </c>
      <c r="CS43" s="181">
        <f t="shared" si="168"/>
        <v>5</v>
      </c>
      <c r="CT43" s="37">
        <f t="shared" si="201"/>
        <v>232</v>
      </c>
      <c r="CU43" s="30">
        <f t="shared" si="169"/>
        <v>22</v>
      </c>
      <c r="CV43" s="188">
        <v>21</v>
      </c>
      <c r="CW43" s="284"/>
      <c r="CX43" s="180">
        <v>3</v>
      </c>
      <c r="CY43" s="181">
        <f t="shared" si="170"/>
        <v>6</v>
      </c>
      <c r="CZ43" s="37">
        <f t="shared" si="202"/>
        <v>240</v>
      </c>
      <c r="DA43" s="30">
        <f t="shared" si="171"/>
        <v>30</v>
      </c>
      <c r="DB43" s="188"/>
      <c r="DC43" s="287"/>
      <c r="DD43" s="201"/>
      <c r="DE43" s="294"/>
      <c r="DF43" s="180">
        <v>3</v>
      </c>
      <c r="DG43" s="181">
        <f t="shared" si="172"/>
        <v>6</v>
      </c>
      <c r="DH43" s="37">
        <f t="shared" si="203"/>
        <v>240</v>
      </c>
      <c r="DI43" s="30">
        <f t="shared" si="173"/>
        <v>30</v>
      </c>
      <c r="DJ43" s="188"/>
      <c r="DK43" s="284"/>
      <c r="DL43" s="180">
        <v>3</v>
      </c>
      <c r="DM43" s="181">
        <f t="shared" si="174"/>
        <v>6</v>
      </c>
      <c r="DN43" s="37">
        <f t="shared" si="204"/>
        <v>240</v>
      </c>
      <c r="DO43" s="30">
        <f t="shared" si="175"/>
        <v>30</v>
      </c>
      <c r="DP43" s="188">
        <v>15</v>
      </c>
      <c r="DQ43" s="284"/>
      <c r="DR43" s="180">
        <v>3</v>
      </c>
      <c r="DS43" s="181">
        <f t="shared" si="176"/>
        <v>7</v>
      </c>
      <c r="DT43" s="37">
        <f t="shared" si="205"/>
        <v>248</v>
      </c>
      <c r="DU43" s="30">
        <f t="shared" si="177"/>
        <v>6</v>
      </c>
      <c r="DV43" s="188"/>
      <c r="DW43" s="287"/>
      <c r="DX43" s="201"/>
      <c r="DY43" s="294"/>
      <c r="DZ43" s="180">
        <v>3</v>
      </c>
      <c r="EA43" s="181">
        <f t="shared" si="178"/>
        <v>7</v>
      </c>
      <c r="EB43" s="37">
        <f t="shared" si="206"/>
        <v>248</v>
      </c>
      <c r="EC43" s="30">
        <f t="shared" si="179"/>
        <v>6</v>
      </c>
      <c r="ED43" s="188"/>
      <c r="EE43" s="284"/>
      <c r="EF43" s="180">
        <v>3</v>
      </c>
      <c r="EG43" s="181">
        <f t="shared" si="180"/>
        <v>7</v>
      </c>
      <c r="EH43" s="37">
        <f t="shared" si="207"/>
        <v>248</v>
      </c>
      <c r="EI43" s="30">
        <f t="shared" si="181"/>
        <v>6</v>
      </c>
      <c r="EJ43" s="188">
        <v>15</v>
      </c>
      <c r="EK43" s="284"/>
      <c r="EL43" s="180">
        <v>3</v>
      </c>
      <c r="EM43" s="181">
        <f t="shared" si="182"/>
        <v>8</v>
      </c>
      <c r="EN43" s="37">
        <f t="shared" si="208"/>
        <v>256</v>
      </c>
      <c r="EO43" s="30">
        <f t="shared" si="183"/>
        <v>14</v>
      </c>
      <c r="EP43" s="188"/>
      <c r="EQ43" s="284"/>
      <c r="ER43" s="180">
        <v>3</v>
      </c>
      <c r="ES43" s="181">
        <f t="shared" si="184"/>
        <v>8</v>
      </c>
      <c r="ET43" s="37">
        <f t="shared" si="209"/>
        <v>256</v>
      </c>
      <c r="EU43" s="30">
        <f t="shared" si="185"/>
        <v>14</v>
      </c>
      <c r="EV43" s="188"/>
      <c r="EW43" s="287"/>
      <c r="EX43" s="201"/>
    </row>
    <row r="44" spans="1:154" x14ac:dyDescent="0.45">
      <c r="A44" s="294"/>
      <c r="B44" s="1">
        <v>4</v>
      </c>
      <c r="C44">
        <f t="shared" si="186"/>
        <v>0</v>
      </c>
      <c r="D44" s="37">
        <f t="shared" si="187"/>
        <v>192</v>
      </c>
      <c r="E44" s="30">
        <f t="shared" si="141"/>
        <v>10</v>
      </c>
      <c r="F44" s="150"/>
      <c r="G44" s="287"/>
      <c r="H44" s="201"/>
      <c r="I44" s="294"/>
      <c r="J44" s="1">
        <v>4</v>
      </c>
      <c r="K44">
        <f t="shared" si="142"/>
        <v>0</v>
      </c>
      <c r="L44" s="37">
        <f t="shared" si="188"/>
        <v>192</v>
      </c>
      <c r="M44" s="30">
        <f t="shared" si="143"/>
        <v>10</v>
      </c>
      <c r="N44" s="150"/>
      <c r="O44" s="284"/>
      <c r="P44" s="1">
        <v>4</v>
      </c>
      <c r="Q44">
        <f t="shared" si="144"/>
        <v>0</v>
      </c>
      <c r="R44" s="37">
        <f t="shared" si="189"/>
        <v>192</v>
      </c>
      <c r="S44" s="30">
        <f t="shared" si="145"/>
        <v>10</v>
      </c>
      <c r="T44" s="150"/>
      <c r="U44" s="287"/>
      <c r="V44" s="201"/>
      <c r="W44" s="294"/>
      <c r="X44" s="1">
        <v>4</v>
      </c>
      <c r="Y44">
        <f t="shared" si="146"/>
        <v>0</v>
      </c>
      <c r="Z44" s="37">
        <f t="shared" si="190"/>
        <v>192</v>
      </c>
      <c r="AA44" s="30">
        <f t="shared" si="147"/>
        <v>10</v>
      </c>
      <c r="AB44" s="150"/>
      <c r="AC44" s="284"/>
      <c r="AD44" s="1">
        <v>4</v>
      </c>
      <c r="AE44">
        <f t="shared" si="148"/>
        <v>0</v>
      </c>
      <c r="AF44" s="37">
        <f t="shared" si="191"/>
        <v>192</v>
      </c>
      <c r="AG44" s="30">
        <f t="shared" si="149"/>
        <v>10</v>
      </c>
      <c r="AH44" s="150"/>
      <c r="AI44" s="284"/>
      <c r="AJ44" s="1">
        <v>4</v>
      </c>
      <c r="AK44">
        <f t="shared" si="150"/>
        <v>0</v>
      </c>
      <c r="AL44" s="37">
        <f t="shared" si="192"/>
        <v>192</v>
      </c>
      <c r="AM44" s="30">
        <f t="shared" si="151"/>
        <v>10</v>
      </c>
      <c r="AN44" s="150"/>
      <c r="AO44" s="287"/>
      <c r="AP44" s="201"/>
      <c r="AQ44" s="294"/>
      <c r="AR44" s="1">
        <v>4</v>
      </c>
      <c r="AS44">
        <f t="shared" si="152"/>
        <v>0</v>
      </c>
      <c r="AT44" s="37">
        <f t="shared" si="193"/>
        <v>192</v>
      </c>
      <c r="AU44" s="30">
        <f t="shared" si="153"/>
        <v>10</v>
      </c>
      <c r="AV44" s="150"/>
      <c r="AW44" s="284"/>
      <c r="AX44" s="1">
        <v>4</v>
      </c>
      <c r="AY44">
        <f t="shared" si="154"/>
        <v>0</v>
      </c>
      <c r="AZ44" s="37">
        <f t="shared" si="194"/>
        <v>192</v>
      </c>
      <c r="BA44" s="30">
        <f t="shared" si="155"/>
        <v>10</v>
      </c>
      <c r="BB44" s="150"/>
      <c r="BC44" s="287"/>
      <c r="BD44" s="201"/>
      <c r="BE44" s="294"/>
      <c r="BF44" s="1">
        <v>4</v>
      </c>
      <c r="BG44">
        <f t="shared" si="156"/>
        <v>0</v>
      </c>
      <c r="BH44" s="37">
        <f t="shared" si="195"/>
        <v>192</v>
      </c>
      <c r="BI44" s="30">
        <f t="shared" si="157"/>
        <v>10</v>
      </c>
      <c r="BJ44" s="150"/>
      <c r="BK44" s="284"/>
      <c r="BL44" s="1">
        <v>4</v>
      </c>
      <c r="BM44">
        <f t="shared" si="158"/>
        <v>0</v>
      </c>
      <c r="BN44" s="37">
        <f t="shared" si="196"/>
        <v>192</v>
      </c>
      <c r="BO44" s="30">
        <f t="shared" si="159"/>
        <v>10</v>
      </c>
      <c r="BP44" s="150"/>
      <c r="BQ44" s="284"/>
      <c r="BR44" s="1">
        <v>4</v>
      </c>
      <c r="BS44">
        <f t="shared" si="160"/>
        <v>0</v>
      </c>
      <c r="BT44" s="37">
        <f t="shared" si="197"/>
        <v>192</v>
      </c>
      <c r="BU44" s="30">
        <f t="shared" si="161"/>
        <v>10</v>
      </c>
      <c r="BV44" s="150"/>
      <c r="BW44" s="284"/>
      <c r="BX44" s="1">
        <v>4</v>
      </c>
      <c r="BY44">
        <f t="shared" si="162"/>
        <v>0</v>
      </c>
      <c r="BZ44" s="37">
        <f t="shared" si="198"/>
        <v>192</v>
      </c>
      <c r="CA44" s="30">
        <f t="shared" si="163"/>
        <v>10</v>
      </c>
      <c r="CB44" s="150"/>
      <c r="CC44" s="287"/>
      <c r="CD44" s="201"/>
      <c r="CE44" s="294"/>
      <c r="CF44" s="1">
        <v>4</v>
      </c>
      <c r="CG44">
        <f t="shared" si="164"/>
        <v>0</v>
      </c>
      <c r="CH44" s="37">
        <f t="shared" si="199"/>
        <v>192</v>
      </c>
      <c r="CI44" s="30">
        <f t="shared" si="165"/>
        <v>10</v>
      </c>
      <c r="CJ44" s="150"/>
      <c r="CK44" s="284"/>
      <c r="CL44" s="1">
        <v>4</v>
      </c>
      <c r="CM44">
        <f t="shared" si="166"/>
        <v>0</v>
      </c>
      <c r="CN44" s="37">
        <f t="shared" si="200"/>
        <v>192</v>
      </c>
      <c r="CO44" s="30">
        <f t="shared" si="167"/>
        <v>10</v>
      </c>
      <c r="CP44" s="150"/>
      <c r="CQ44" s="284"/>
      <c r="CR44" s="1">
        <v>4</v>
      </c>
      <c r="CS44">
        <f t="shared" si="168"/>
        <v>0</v>
      </c>
      <c r="CT44" s="37">
        <f t="shared" si="201"/>
        <v>192</v>
      </c>
      <c r="CU44" s="30">
        <f t="shared" si="169"/>
        <v>10</v>
      </c>
      <c r="CV44" s="150"/>
      <c r="CW44" s="284"/>
      <c r="CX44" s="1">
        <v>4</v>
      </c>
      <c r="CY44">
        <f t="shared" si="170"/>
        <v>0</v>
      </c>
      <c r="CZ44" s="37">
        <f t="shared" si="202"/>
        <v>192</v>
      </c>
      <c r="DA44" s="30">
        <f t="shared" si="171"/>
        <v>10</v>
      </c>
      <c r="DB44" s="150"/>
      <c r="DC44" s="287"/>
      <c r="DD44" s="201"/>
      <c r="DE44" s="294"/>
      <c r="DF44" s="1">
        <v>4</v>
      </c>
      <c r="DG44">
        <f t="shared" si="172"/>
        <v>0</v>
      </c>
      <c r="DH44" s="37">
        <f t="shared" si="203"/>
        <v>192</v>
      </c>
      <c r="DI44" s="30">
        <f t="shared" si="173"/>
        <v>10</v>
      </c>
      <c r="DJ44" s="150"/>
      <c r="DK44" s="284"/>
      <c r="DL44" s="1">
        <v>4</v>
      </c>
      <c r="DM44">
        <f t="shared" si="174"/>
        <v>0</v>
      </c>
      <c r="DN44" s="37">
        <f t="shared" si="204"/>
        <v>192</v>
      </c>
      <c r="DO44" s="30">
        <f t="shared" si="175"/>
        <v>10</v>
      </c>
      <c r="DP44" s="150"/>
      <c r="DQ44" s="284"/>
      <c r="DR44" s="1">
        <v>4</v>
      </c>
      <c r="DS44">
        <f t="shared" si="176"/>
        <v>0</v>
      </c>
      <c r="DT44" s="37">
        <f t="shared" si="205"/>
        <v>192</v>
      </c>
      <c r="DU44" s="30">
        <f t="shared" si="177"/>
        <v>10</v>
      </c>
      <c r="DV44" s="150"/>
      <c r="DW44" s="287"/>
      <c r="DX44" s="201"/>
      <c r="DY44" s="294"/>
      <c r="DZ44" s="1">
        <v>4</v>
      </c>
      <c r="EA44">
        <f t="shared" si="178"/>
        <v>0</v>
      </c>
      <c r="EB44" s="37">
        <f t="shared" si="206"/>
        <v>192</v>
      </c>
      <c r="EC44" s="30">
        <f t="shared" si="179"/>
        <v>10</v>
      </c>
      <c r="ED44" s="150"/>
      <c r="EE44" s="284"/>
      <c r="EF44" s="1">
        <v>4</v>
      </c>
      <c r="EG44">
        <f t="shared" si="180"/>
        <v>0</v>
      </c>
      <c r="EH44" s="37">
        <f t="shared" si="207"/>
        <v>192</v>
      </c>
      <c r="EI44" s="30">
        <f t="shared" si="181"/>
        <v>10</v>
      </c>
      <c r="EJ44" s="150"/>
      <c r="EK44" s="284"/>
      <c r="EL44" s="1">
        <v>4</v>
      </c>
      <c r="EM44">
        <f t="shared" si="182"/>
        <v>0</v>
      </c>
      <c r="EN44" s="37">
        <f t="shared" si="208"/>
        <v>192</v>
      </c>
      <c r="EO44" s="30">
        <f t="shared" si="183"/>
        <v>10</v>
      </c>
      <c r="EP44" s="150"/>
      <c r="EQ44" s="284"/>
      <c r="ER44" s="1">
        <v>4</v>
      </c>
      <c r="ES44">
        <f t="shared" si="184"/>
        <v>0</v>
      </c>
      <c r="ET44" s="37">
        <f t="shared" si="209"/>
        <v>192</v>
      </c>
      <c r="EU44" s="30">
        <f t="shared" si="185"/>
        <v>10</v>
      </c>
      <c r="EV44" s="150"/>
      <c r="EW44" s="287"/>
      <c r="EX44" s="201"/>
    </row>
    <row r="45" spans="1:154" x14ac:dyDescent="0.45">
      <c r="A45" s="294"/>
      <c r="B45" s="1">
        <v>5</v>
      </c>
      <c r="C45">
        <f t="shared" si="186"/>
        <v>0</v>
      </c>
      <c r="D45" s="37">
        <f t="shared" si="187"/>
        <v>192</v>
      </c>
      <c r="E45" s="30">
        <f t="shared" si="141"/>
        <v>20</v>
      </c>
      <c r="F45" s="150"/>
      <c r="G45" s="287"/>
      <c r="H45" s="201"/>
      <c r="I45" s="294"/>
      <c r="J45" s="1">
        <v>5</v>
      </c>
      <c r="K45">
        <f t="shared" si="142"/>
        <v>0</v>
      </c>
      <c r="L45" s="37">
        <f t="shared" si="188"/>
        <v>192</v>
      </c>
      <c r="M45" s="30">
        <f t="shared" si="143"/>
        <v>20</v>
      </c>
      <c r="N45" s="150"/>
      <c r="O45" s="284"/>
      <c r="P45" s="1">
        <v>5</v>
      </c>
      <c r="Q45">
        <f t="shared" si="144"/>
        <v>0</v>
      </c>
      <c r="R45" s="37">
        <f t="shared" si="189"/>
        <v>192</v>
      </c>
      <c r="S45" s="30">
        <f t="shared" si="145"/>
        <v>20</v>
      </c>
      <c r="T45" s="150"/>
      <c r="U45" s="287"/>
      <c r="V45" s="201"/>
      <c r="W45" s="294"/>
      <c r="X45" s="1">
        <v>5</v>
      </c>
      <c r="Y45">
        <f t="shared" si="146"/>
        <v>0</v>
      </c>
      <c r="Z45" s="37">
        <f t="shared" si="190"/>
        <v>192</v>
      </c>
      <c r="AA45" s="30">
        <f t="shared" si="147"/>
        <v>20</v>
      </c>
      <c r="AB45" s="150"/>
      <c r="AC45" s="284"/>
      <c r="AD45" s="1">
        <v>5</v>
      </c>
      <c r="AE45">
        <f t="shared" si="148"/>
        <v>0</v>
      </c>
      <c r="AF45" s="37">
        <f t="shared" si="191"/>
        <v>192</v>
      </c>
      <c r="AG45" s="30">
        <f t="shared" si="149"/>
        <v>20</v>
      </c>
      <c r="AH45" s="150"/>
      <c r="AI45" s="284"/>
      <c r="AJ45" s="1">
        <v>5</v>
      </c>
      <c r="AK45">
        <f t="shared" si="150"/>
        <v>0</v>
      </c>
      <c r="AL45" s="37">
        <f t="shared" si="192"/>
        <v>192</v>
      </c>
      <c r="AM45" s="30">
        <f t="shared" si="151"/>
        <v>20</v>
      </c>
      <c r="AN45" s="150"/>
      <c r="AO45" s="287"/>
      <c r="AP45" s="201"/>
      <c r="AQ45" s="294"/>
      <c r="AR45" s="1">
        <v>5</v>
      </c>
      <c r="AS45">
        <f t="shared" si="152"/>
        <v>0</v>
      </c>
      <c r="AT45" s="37">
        <f t="shared" si="193"/>
        <v>192</v>
      </c>
      <c r="AU45" s="30">
        <f t="shared" si="153"/>
        <v>20</v>
      </c>
      <c r="AV45" s="150"/>
      <c r="AW45" s="284"/>
      <c r="AX45" s="1">
        <v>5</v>
      </c>
      <c r="AY45">
        <f t="shared" si="154"/>
        <v>0</v>
      </c>
      <c r="AZ45" s="37">
        <f t="shared" si="194"/>
        <v>192</v>
      </c>
      <c r="BA45" s="30">
        <f t="shared" si="155"/>
        <v>20</v>
      </c>
      <c r="BB45" s="150"/>
      <c r="BC45" s="287"/>
      <c r="BD45" s="201"/>
      <c r="BE45" s="294"/>
      <c r="BF45" s="1">
        <v>5</v>
      </c>
      <c r="BG45">
        <f t="shared" si="156"/>
        <v>0</v>
      </c>
      <c r="BH45" s="37">
        <f t="shared" si="195"/>
        <v>192</v>
      </c>
      <c r="BI45" s="30">
        <f t="shared" si="157"/>
        <v>20</v>
      </c>
      <c r="BJ45" s="150"/>
      <c r="BK45" s="284"/>
      <c r="BL45" s="1">
        <v>5</v>
      </c>
      <c r="BM45">
        <f t="shared" si="158"/>
        <v>0</v>
      </c>
      <c r="BN45" s="37">
        <f t="shared" si="196"/>
        <v>192</v>
      </c>
      <c r="BO45" s="30">
        <f t="shared" si="159"/>
        <v>20</v>
      </c>
      <c r="BP45" s="150"/>
      <c r="BQ45" s="284"/>
      <c r="BR45" s="1">
        <v>5</v>
      </c>
      <c r="BS45">
        <f t="shared" si="160"/>
        <v>0</v>
      </c>
      <c r="BT45" s="37">
        <f t="shared" si="197"/>
        <v>192</v>
      </c>
      <c r="BU45" s="30">
        <f t="shared" si="161"/>
        <v>20</v>
      </c>
      <c r="BV45" s="150"/>
      <c r="BW45" s="284"/>
      <c r="BX45" s="1">
        <v>5</v>
      </c>
      <c r="BY45">
        <f t="shared" si="162"/>
        <v>0</v>
      </c>
      <c r="BZ45" s="37">
        <f t="shared" si="198"/>
        <v>192</v>
      </c>
      <c r="CA45" s="30">
        <f t="shared" si="163"/>
        <v>20</v>
      </c>
      <c r="CB45" s="150"/>
      <c r="CC45" s="287"/>
      <c r="CD45" s="201"/>
      <c r="CE45" s="294"/>
      <c r="CF45" s="1">
        <v>5</v>
      </c>
      <c r="CG45">
        <f t="shared" si="164"/>
        <v>0</v>
      </c>
      <c r="CH45" s="37">
        <f t="shared" si="199"/>
        <v>192</v>
      </c>
      <c r="CI45" s="30">
        <f t="shared" si="165"/>
        <v>20</v>
      </c>
      <c r="CJ45" s="150"/>
      <c r="CK45" s="284"/>
      <c r="CL45" s="1">
        <v>5</v>
      </c>
      <c r="CM45">
        <f t="shared" si="166"/>
        <v>0</v>
      </c>
      <c r="CN45" s="37">
        <f t="shared" si="200"/>
        <v>192</v>
      </c>
      <c r="CO45" s="30">
        <f t="shared" si="167"/>
        <v>20</v>
      </c>
      <c r="CP45" s="150"/>
      <c r="CQ45" s="284"/>
      <c r="CR45" s="1">
        <v>5</v>
      </c>
      <c r="CS45">
        <f t="shared" si="168"/>
        <v>0</v>
      </c>
      <c r="CT45" s="37">
        <f t="shared" si="201"/>
        <v>192</v>
      </c>
      <c r="CU45" s="30">
        <f t="shared" si="169"/>
        <v>20</v>
      </c>
      <c r="CV45" s="150"/>
      <c r="CW45" s="284"/>
      <c r="CX45" s="1">
        <v>5</v>
      </c>
      <c r="CY45">
        <f t="shared" si="170"/>
        <v>0</v>
      </c>
      <c r="CZ45" s="37">
        <f t="shared" si="202"/>
        <v>192</v>
      </c>
      <c r="DA45" s="30">
        <f t="shared" si="171"/>
        <v>20</v>
      </c>
      <c r="DB45" s="150"/>
      <c r="DC45" s="287"/>
      <c r="DD45" s="201"/>
      <c r="DE45" s="294"/>
      <c r="DF45" s="1">
        <v>5</v>
      </c>
      <c r="DG45">
        <f t="shared" si="172"/>
        <v>0</v>
      </c>
      <c r="DH45" s="37">
        <f t="shared" si="203"/>
        <v>192</v>
      </c>
      <c r="DI45" s="30">
        <f t="shared" si="173"/>
        <v>20</v>
      </c>
      <c r="DJ45" s="150"/>
      <c r="DK45" s="284"/>
      <c r="DL45" s="1">
        <v>5</v>
      </c>
      <c r="DM45">
        <f t="shared" si="174"/>
        <v>0</v>
      </c>
      <c r="DN45" s="37">
        <f t="shared" si="204"/>
        <v>192</v>
      </c>
      <c r="DO45" s="30">
        <f t="shared" si="175"/>
        <v>20</v>
      </c>
      <c r="DP45" s="150"/>
      <c r="DQ45" s="284"/>
      <c r="DR45" s="1">
        <v>5</v>
      </c>
      <c r="DS45">
        <f t="shared" si="176"/>
        <v>0</v>
      </c>
      <c r="DT45" s="37">
        <f t="shared" si="205"/>
        <v>192</v>
      </c>
      <c r="DU45" s="30">
        <f t="shared" si="177"/>
        <v>20</v>
      </c>
      <c r="DV45" s="150"/>
      <c r="DW45" s="287"/>
      <c r="DX45" s="201"/>
      <c r="DY45" s="294"/>
      <c r="DZ45" s="1">
        <v>5</v>
      </c>
      <c r="EA45">
        <f t="shared" si="178"/>
        <v>0</v>
      </c>
      <c r="EB45" s="37">
        <f t="shared" si="206"/>
        <v>192</v>
      </c>
      <c r="EC45" s="30">
        <f t="shared" si="179"/>
        <v>20</v>
      </c>
      <c r="ED45" s="150"/>
      <c r="EE45" s="284"/>
      <c r="EF45" s="1">
        <v>5</v>
      </c>
      <c r="EG45">
        <f t="shared" si="180"/>
        <v>0</v>
      </c>
      <c r="EH45" s="37">
        <f t="shared" si="207"/>
        <v>192</v>
      </c>
      <c r="EI45" s="30">
        <f t="shared" si="181"/>
        <v>20</v>
      </c>
      <c r="EJ45" s="150"/>
      <c r="EK45" s="284"/>
      <c r="EL45" s="1">
        <v>5</v>
      </c>
      <c r="EM45">
        <f t="shared" si="182"/>
        <v>0</v>
      </c>
      <c r="EN45" s="37">
        <f t="shared" si="208"/>
        <v>192</v>
      </c>
      <c r="EO45" s="30">
        <f t="shared" si="183"/>
        <v>20</v>
      </c>
      <c r="EP45" s="150"/>
      <c r="EQ45" s="284"/>
      <c r="ER45" s="1">
        <v>5</v>
      </c>
      <c r="ES45">
        <f t="shared" si="184"/>
        <v>0</v>
      </c>
      <c r="ET45" s="37">
        <f t="shared" si="209"/>
        <v>192</v>
      </c>
      <c r="EU45" s="30">
        <f t="shared" si="185"/>
        <v>20</v>
      </c>
      <c r="EV45" s="150"/>
      <c r="EW45" s="287"/>
      <c r="EX45" s="201"/>
    </row>
    <row r="46" spans="1:154" x14ac:dyDescent="0.45">
      <c r="A46" s="294"/>
      <c r="B46" s="1">
        <v>6</v>
      </c>
      <c r="C46">
        <f t="shared" si="186"/>
        <v>0</v>
      </c>
      <c r="D46" s="37">
        <f t="shared" si="187"/>
        <v>192</v>
      </c>
      <c r="E46" s="30">
        <f t="shared" si="141"/>
        <v>16</v>
      </c>
      <c r="F46" s="150">
        <v>6</v>
      </c>
      <c r="G46" s="287"/>
      <c r="H46" s="201"/>
      <c r="I46" s="294"/>
      <c r="J46" s="1">
        <v>6</v>
      </c>
      <c r="K46">
        <f t="shared" si="142"/>
        <v>0</v>
      </c>
      <c r="L46" s="37">
        <f t="shared" si="188"/>
        <v>192</v>
      </c>
      <c r="M46" s="30">
        <f t="shared" si="143"/>
        <v>16</v>
      </c>
      <c r="N46" s="150"/>
      <c r="O46" s="284"/>
      <c r="P46" s="1">
        <v>6</v>
      </c>
      <c r="Q46">
        <f t="shared" si="144"/>
        <v>0</v>
      </c>
      <c r="R46" s="37">
        <f t="shared" si="189"/>
        <v>192</v>
      </c>
      <c r="S46" s="30">
        <f t="shared" si="145"/>
        <v>16</v>
      </c>
      <c r="T46" s="150"/>
      <c r="U46" s="287"/>
      <c r="V46" s="201"/>
      <c r="W46" s="294"/>
      <c r="X46" s="1">
        <v>6</v>
      </c>
      <c r="Y46">
        <f t="shared" si="146"/>
        <v>0</v>
      </c>
      <c r="Z46" s="37">
        <f t="shared" si="190"/>
        <v>192</v>
      </c>
      <c r="AA46" s="30">
        <f t="shared" si="147"/>
        <v>16</v>
      </c>
      <c r="AB46" s="150"/>
      <c r="AC46" s="284"/>
      <c r="AD46" s="1">
        <v>6</v>
      </c>
      <c r="AE46">
        <f t="shared" si="148"/>
        <v>0</v>
      </c>
      <c r="AF46" s="37">
        <f t="shared" si="191"/>
        <v>192</v>
      </c>
      <c r="AG46" s="30">
        <f t="shared" si="149"/>
        <v>16</v>
      </c>
      <c r="AH46" s="150"/>
      <c r="AI46" s="284"/>
      <c r="AJ46" s="1">
        <v>6</v>
      </c>
      <c r="AK46">
        <f t="shared" si="150"/>
        <v>0</v>
      </c>
      <c r="AL46" s="37">
        <f t="shared" si="192"/>
        <v>192</v>
      </c>
      <c r="AM46" s="30">
        <f t="shared" si="151"/>
        <v>16</v>
      </c>
      <c r="AN46" s="150">
        <v>24</v>
      </c>
      <c r="AO46" s="287"/>
      <c r="AP46" s="201"/>
      <c r="AQ46" s="294"/>
      <c r="AR46" s="1">
        <v>6</v>
      </c>
      <c r="AS46">
        <f t="shared" si="152"/>
        <v>0</v>
      </c>
      <c r="AT46" s="37">
        <f t="shared" si="193"/>
        <v>192</v>
      </c>
      <c r="AU46" s="30">
        <f t="shared" si="153"/>
        <v>16</v>
      </c>
      <c r="AV46" s="150"/>
      <c r="AW46" s="284"/>
      <c r="AX46" s="1">
        <v>6</v>
      </c>
      <c r="AY46">
        <f t="shared" si="154"/>
        <v>0</v>
      </c>
      <c r="AZ46" s="37">
        <f t="shared" si="194"/>
        <v>192</v>
      </c>
      <c r="BA46" s="30">
        <f t="shared" si="155"/>
        <v>16</v>
      </c>
      <c r="BB46" s="150"/>
      <c r="BC46" s="287"/>
      <c r="BD46" s="201"/>
      <c r="BE46" s="294"/>
      <c r="BF46" s="1">
        <v>6</v>
      </c>
      <c r="BG46">
        <f t="shared" si="156"/>
        <v>0</v>
      </c>
      <c r="BH46" s="37">
        <f t="shared" si="195"/>
        <v>192</v>
      </c>
      <c r="BI46" s="30">
        <f t="shared" si="157"/>
        <v>16</v>
      </c>
      <c r="BJ46" s="150"/>
      <c r="BK46" s="284"/>
      <c r="BL46" s="1">
        <v>6</v>
      </c>
      <c r="BM46">
        <f t="shared" si="158"/>
        <v>0</v>
      </c>
      <c r="BN46" s="37">
        <f t="shared" si="196"/>
        <v>192</v>
      </c>
      <c r="BO46" s="30">
        <f t="shared" si="159"/>
        <v>16</v>
      </c>
      <c r="BP46" s="150"/>
      <c r="BQ46" s="284"/>
      <c r="BR46" s="1">
        <v>6</v>
      </c>
      <c r="BS46">
        <f t="shared" si="160"/>
        <v>0</v>
      </c>
      <c r="BT46" s="37">
        <f t="shared" si="197"/>
        <v>192</v>
      </c>
      <c r="BU46" s="30">
        <f t="shared" si="161"/>
        <v>16</v>
      </c>
      <c r="BV46" s="150"/>
      <c r="BW46" s="284"/>
      <c r="BX46" s="1">
        <v>6</v>
      </c>
      <c r="BY46">
        <f t="shared" si="162"/>
        <v>0</v>
      </c>
      <c r="BZ46" s="37">
        <f t="shared" si="198"/>
        <v>192</v>
      </c>
      <c r="CA46" s="30">
        <f t="shared" si="163"/>
        <v>16</v>
      </c>
      <c r="CB46" s="150"/>
      <c r="CC46" s="287"/>
      <c r="CD46" s="201"/>
      <c r="CE46" s="294"/>
      <c r="CF46" s="1">
        <v>6</v>
      </c>
      <c r="CG46">
        <f t="shared" si="164"/>
        <v>0</v>
      </c>
      <c r="CH46" s="37">
        <f t="shared" si="199"/>
        <v>192</v>
      </c>
      <c r="CI46" s="30">
        <f t="shared" si="165"/>
        <v>16</v>
      </c>
      <c r="CJ46" s="150"/>
      <c r="CK46" s="284"/>
      <c r="CL46" s="1">
        <v>6</v>
      </c>
      <c r="CM46">
        <f t="shared" si="166"/>
        <v>0</v>
      </c>
      <c r="CN46" s="37">
        <f t="shared" si="200"/>
        <v>192</v>
      </c>
      <c r="CO46" s="30">
        <f t="shared" si="167"/>
        <v>16</v>
      </c>
      <c r="CP46" s="150">
        <v>14</v>
      </c>
      <c r="CQ46" s="284"/>
      <c r="CR46" s="1">
        <v>6</v>
      </c>
      <c r="CS46">
        <f t="shared" si="168"/>
        <v>0</v>
      </c>
      <c r="CT46" s="37">
        <f t="shared" si="201"/>
        <v>192</v>
      </c>
      <c r="CU46" s="30">
        <f t="shared" si="169"/>
        <v>16</v>
      </c>
      <c r="CV46" s="150"/>
      <c r="CW46" s="284"/>
      <c r="CX46" s="1">
        <v>6</v>
      </c>
      <c r="CY46">
        <f t="shared" si="170"/>
        <v>0</v>
      </c>
      <c r="CZ46" s="37">
        <f t="shared" si="202"/>
        <v>192</v>
      </c>
      <c r="DA46" s="30">
        <f t="shared" si="171"/>
        <v>16</v>
      </c>
      <c r="DB46" s="150"/>
      <c r="DC46" s="287"/>
      <c r="DD46" s="201"/>
      <c r="DE46" s="294"/>
      <c r="DF46" s="1">
        <v>6</v>
      </c>
      <c r="DG46">
        <f t="shared" si="172"/>
        <v>0</v>
      </c>
      <c r="DH46" s="37">
        <f t="shared" si="203"/>
        <v>192</v>
      </c>
      <c r="DI46" s="30">
        <f t="shared" si="173"/>
        <v>16</v>
      </c>
      <c r="DJ46" s="150"/>
      <c r="DK46" s="284"/>
      <c r="DL46" s="1">
        <v>6</v>
      </c>
      <c r="DM46">
        <f t="shared" si="174"/>
        <v>0</v>
      </c>
      <c r="DN46" s="37">
        <f t="shared" si="204"/>
        <v>192</v>
      </c>
      <c r="DO46" s="30">
        <f t="shared" si="175"/>
        <v>16</v>
      </c>
      <c r="DP46" s="150"/>
      <c r="DQ46" s="284"/>
      <c r="DR46" s="1">
        <v>6</v>
      </c>
      <c r="DS46">
        <f t="shared" si="176"/>
        <v>0</v>
      </c>
      <c r="DT46" s="37">
        <f t="shared" si="205"/>
        <v>192</v>
      </c>
      <c r="DU46" s="30">
        <f t="shared" si="177"/>
        <v>16</v>
      </c>
      <c r="DV46" s="150"/>
      <c r="DW46" s="287"/>
      <c r="DX46" s="201"/>
      <c r="DY46" s="294"/>
      <c r="DZ46" s="1">
        <v>6</v>
      </c>
      <c r="EA46">
        <f t="shared" si="178"/>
        <v>0</v>
      </c>
      <c r="EB46" s="37">
        <f t="shared" si="206"/>
        <v>192</v>
      </c>
      <c r="EC46" s="30">
        <f t="shared" si="179"/>
        <v>16</v>
      </c>
      <c r="ED46" s="150"/>
      <c r="EE46" s="284"/>
      <c r="EF46" s="1">
        <v>6</v>
      </c>
      <c r="EG46">
        <f t="shared" si="180"/>
        <v>0</v>
      </c>
      <c r="EH46" s="37">
        <f t="shared" si="207"/>
        <v>192</v>
      </c>
      <c r="EI46" s="30">
        <f t="shared" si="181"/>
        <v>16</v>
      </c>
      <c r="EJ46" s="150"/>
      <c r="EK46" s="284"/>
      <c r="EL46" s="1">
        <v>6</v>
      </c>
      <c r="EM46">
        <f t="shared" si="182"/>
        <v>0</v>
      </c>
      <c r="EN46" s="37">
        <f t="shared" si="208"/>
        <v>192</v>
      </c>
      <c r="EO46" s="30">
        <f t="shared" si="183"/>
        <v>16</v>
      </c>
      <c r="EP46" s="150"/>
      <c r="EQ46" s="284"/>
      <c r="ER46" s="1">
        <v>6</v>
      </c>
      <c r="ES46">
        <f t="shared" si="184"/>
        <v>0</v>
      </c>
      <c r="ET46" s="37">
        <f t="shared" si="209"/>
        <v>192</v>
      </c>
      <c r="EU46" s="30">
        <f t="shared" si="185"/>
        <v>16</v>
      </c>
      <c r="EV46" s="150"/>
      <c r="EW46" s="287"/>
      <c r="EX46" s="201"/>
    </row>
    <row r="47" spans="1:154" x14ac:dyDescent="0.45">
      <c r="A47" s="294"/>
      <c r="B47" s="1">
        <v>7</v>
      </c>
      <c r="C47">
        <f t="shared" si="186"/>
        <v>0</v>
      </c>
      <c r="D47" s="37">
        <f t="shared" si="187"/>
        <v>192</v>
      </c>
      <c r="E47" s="30">
        <f t="shared" si="141"/>
        <v>29</v>
      </c>
      <c r="F47" s="150"/>
      <c r="G47" s="287"/>
      <c r="H47" s="201"/>
      <c r="I47" s="294"/>
      <c r="J47" s="1">
        <v>7</v>
      </c>
      <c r="K47">
        <f t="shared" si="142"/>
        <v>0</v>
      </c>
      <c r="L47" s="37">
        <f t="shared" si="188"/>
        <v>192</v>
      </c>
      <c r="M47" s="30">
        <f t="shared" si="143"/>
        <v>29</v>
      </c>
      <c r="N47" s="150"/>
      <c r="O47" s="284"/>
      <c r="P47" s="1">
        <v>7</v>
      </c>
      <c r="Q47">
        <f t="shared" si="144"/>
        <v>0</v>
      </c>
      <c r="R47" s="37">
        <f t="shared" si="189"/>
        <v>192</v>
      </c>
      <c r="S47" s="30">
        <f t="shared" si="145"/>
        <v>29</v>
      </c>
      <c r="T47" s="150"/>
      <c r="U47" s="287"/>
      <c r="V47" s="201"/>
      <c r="W47" s="294"/>
      <c r="X47" s="1">
        <v>7</v>
      </c>
      <c r="Y47">
        <f t="shared" si="146"/>
        <v>0</v>
      </c>
      <c r="Z47" s="37">
        <f t="shared" si="190"/>
        <v>192</v>
      </c>
      <c r="AA47" s="30">
        <f t="shared" si="147"/>
        <v>29</v>
      </c>
      <c r="AB47" s="150"/>
      <c r="AC47" s="284"/>
      <c r="AD47" s="1">
        <v>7</v>
      </c>
      <c r="AE47">
        <f t="shared" si="148"/>
        <v>0</v>
      </c>
      <c r="AF47" s="37">
        <f t="shared" si="191"/>
        <v>192</v>
      </c>
      <c r="AG47" s="30">
        <f t="shared" si="149"/>
        <v>29</v>
      </c>
      <c r="AH47" s="150"/>
      <c r="AI47" s="284"/>
      <c r="AJ47" s="1">
        <v>7</v>
      </c>
      <c r="AK47">
        <f t="shared" si="150"/>
        <v>0</v>
      </c>
      <c r="AL47" s="37">
        <f t="shared" si="192"/>
        <v>192</v>
      </c>
      <c r="AM47" s="30">
        <f t="shared" si="151"/>
        <v>29</v>
      </c>
      <c r="AN47" s="150"/>
      <c r="AO47" s="287"/>
      <c r="AP47" s="201"/>
      <c r="AQ47" s="294"/>
      <c r="AR47" s="1">
        <v>7</v>
      </c>
      <c r="AS47">
        <f t="shared" si="152"/>
        <v>0</v>
      </c>
      <c r="AT47" s="37">
        <f t="shared" si="193"/>
        <v>192</v>
      </c>
      <c r="AU47" s="30">
        <f t="shared" si="153"/>
        <v>29</v>
      </c>
      <c r="AV47" s="150"/>
      <c r="AW47" s="284"/>
      <c r="AX47" s="1">
        <v>7</v>
      </c>
      <c r="AY47">
        <f t="shared" si="154"/>
        <v>0</v>
      </c>
      <c r="AZ47" s="37">
        <f t="shared" si="194"/>
        <v>192</v>
      </c>
      <c r="BA47" s="30">
        <f t="shared" si="155"/>
        <v>29</v>
      </c>
      <c r="BB47" s="150"/>
      <c r="BC47" s="287"/>
      <c r="BD47" s="201"/>
      <c r="BE47" s="294"/>
      <c r="BF47" s="1">
        <v>7</v>
      </c>
      <c r="BG47">
        <f t="shared" si="156"/>
        <v>0</v>
      </c>
      <c r="BH47" s="37">
        <f t="shared" si="195"/>
        <v>192</v>
      </c>
      <c r="BI47" s="30">
        <f t="shared" si="157"/>
        <v>29</v>
      </c>
      <c r="BJ47" s="150"/>
      <c r="BK47" s="284"/>
      <c r="BL47" s="1">
        <v>7</v>
      </c>
      <c r="BM47">
        <f t="shared" si="158"/>
        <v>0</v>
      </c>
      <c r="BN47" s="37">
        <f t="shared" si="196"/>
        <v>192</v>
      </c>
      <c r="BO47" s="30">
        <f t="shared" si="159"/>
        <v>29</v>
      </c>
      <c r="BP47" s="150"/>
      <c r="BQ47" s="284"/>
      <c r="BR47" s="1">
        <v>7</v>
      </c>
      <c r="BS47">
        <f t="shared" si="160"/>
        <v>0</v>
      </c>
      <c r="BT47" s="37">
        <f t="shared" si="197"/>
        <v>192</v>
      </c>
      <c r="BU47" s="30">
        <f t="shared" si="161"/>
        <v>29</v>
      </c>
      <c r="BV47" s="150"/>
      <c r="BW47" s="284"/>
      <c r="BX47" s="1">
        <v>7</v>
      </c>
      <c r="BY47">
        <f t="shared" si="162"/>
        <v>0</v>
      </c>
      <c r="BZ47" s="37">
        <f t="shared" si="198"/>
        <v>192</v>
      </c>
      <c r="CA47" s="30">
        <f t="shared" si="163"/>
        <v>29</v>
      </c>
      <c r="CB47" s="150"/>
      <c r="CC47" s="287"/>
      <c r="CD47" s="201"/>
      <c r="CE47" s="294"/>
      <c r="CF47" s="1">
        <v>7</v>
      </c>
      <c r="CG47">
        <f t="shared" si="164"/>
        <v>0</v>
      </c>
      <c r="CH47" s="37">
        <f t="shared" si="199"/>
        <v>192</v>
      </c>
      <c r="CI47" s="30">
        <f t="shared" si="165"/>
        <v>29</v>
      </c>
      <c r="CJ47" s="150"/>
      <c r="CK47" s="284"/>
      <c r="CL47" s="1">
        <v>7</v>
      </c>
      <c r="CM47">
        <f t="shared" si="166"/>
        <v>0</v>
      </c>
      <c r="CN47" s="37">
        <f t="shared" si="200"/>
        <v>192</v>
      </c>
      <c r="CO47" s="30">
        <f t="shared" si="167"/>
        <v>29</v>
      </c>
      <c r="CP47" s="150"/>
      <c r="CQ47" s="284"/>
      <c r="CR47" s="1">
        <v>7</v>
      </c>
      <c r="CS47">
        <f t="shared" si="168"/>
        <v>0</v>
      </c>
      <c r="CT47" s="37">
        <f t="shared" si="201"/>
        <v>192</v>
      </c>
      <c r="CU47" s="30">
        <f t="shared" si="169"/>
        <v>29</v>
      </c>
      <c r="CV47" s="150"/>
      <c r="CW47" s="284"/>
      <c r="CX47" s="1">
        <v>7</v>
      </c>
      <c r="CY47">
        <f t="shared" si="170"/>
        <v>0</v>
      </c>
      <c r="CZ47" s="37">
        <f t="shared" si="202"/>
        <v>192</v>
      </c>
      <c r="DA47" s="30">
        <f t="shared" si="171"/>
        <v>29</v>
      </c>
      <c r="DB47" s="150"/>
      <c r="DC47" s="287"/>
      <c r="DD47" s="201"/>
      <c r="DE47" s="294"/>
      <c r="DF47" s="1">
        <v>7</v>
      </c>
      <c r="DG47">
        <f t="shared" si="172"/>
        <v>0</v>
      </c>
      <c r="DH47" s="37">
        <f t="shared" si="203"/>
        <v>192</v>
      </c>
      <c r="DI47" s="30">
        <f t="shared" si="173"/>
        <v>29</v>
      </c>
      <c r="DJ47" s="150"/>
      <c r="DK47" s="284"/>
      <c r="DL47" s="1">
        <v>7</v>
      </c>
      <c r="DM47">
        <f t="shared" si="174"/>
        <v>0</v>
      </c>
      <c r="DN47" s="37">
        <f t="shared" si="204"/>
        <v>192</v>
      </c>
      <c r="DO47" s="30">
        <f t="shared" si="175"/>
        <v>29</v>
      </c>
      <c r="DP47" s="150"/>
      <c r="DQ47" s="284"/>
      <c r="DR47" s="1">
        <v>7</v>
      </c>
      <c r="DS47">
        <f t="shared" si="176"/>
        <v>0</v>
      </c>
      <c r="DT47" s="37">
        <f t="shared" si="205"/>
        <v>192</v>
      </c>
      <c r="DU47" s="30">
        <f t="shared" si="177"/>
        <v>29</v>
      </c>
      <c r="DV47" s="150"/>
      <c r="DW47" s="287"/>
      <c r="DX47" s="201"/>
      <c r="DY47" s="294"/>
      <c r="DZ47" s="1">
        <v>7</v>
      </c>
      <c r="EA47">
        <f t="shared" si="178"/>
        <v>0</v>
      </c>
      <c r="EB47" s="37">
        <f t="shared" si="206"/>
        <v>192</v>
      </c>
      <c r="EC47" s="30">
        <f t="shared" si="179"/>
        <v>29</v>
      </c>
      <c r="ED47" s="150"/>
      <c r="EE47" s="284"/>
      <c r="EF47" s="1">
        <v>7</v>
      </c>
      <c r="EG47">
        <f t="shared" si="180"/>
        <v>0</v>
      </c>
      <c r="EH47" s="37">
        <f t="shared" si="207"/>
        <v>192</v>
      </c>
      <c r="EI47" s="30">
        <f t="shared" si="181"/>
        <v>29</v>
      </c>
      <c r="EJ47" s="150"/>
      <c r="EK47" s="284"/>
      <c r="EL47" s="1">
        <v>7</v>
      </c>
      <c r="EM47">
        <f t="shared" si="182"/>
        <v>0</v>
      </c>
      <c r="EN47" s="37">
        <f t="shared" si="208"/>
        <v>192</v>
      </c>
      <c r="EO47" s="30">
        <f t="shared" si="183"/>
        <v>29</v>
      </c>
      <c r="EP47" s="150"/>
      <c r="EQ47" s="284"/>
      <c r="ER47" s="1">
        <v>7</v>
      </c>
      <c r="ES47">
        <f t="shared" si="184"/>
        <v>0</v>
      </c>
      <c r="ET47" s="37">
        <f t="shared" si="209"/>
        <v>192</v>
      </c>
      <c r="EU47" s="30">
        <f t="shared" si="185"/>
        <v>29</v>
      </c>
      <c r="EV47" s="150"/>
      <c r="EW47" s="287"/>
      <c r="EX47" s="201"/>
    </row>
    <row r="48" spans="1:154" ht="21.5" thickBot="1" x14ac:dyDescent="0.5">
      <c r="A48" s="296"/>
      <c r="B48" s="51">
        <v>8</v>
      </c>
      <c r="C48" s="53">
        <f t="shared" si="186"/>
        <v>0</v>
      </c>
      <c r="D48" s="37">
        <f t="shared" si="187"/>
        <v>192</v>
      </c>
      <c r="E48" s="30">
        <f t="shared" si="141"/>
        <v>25</v>
      </c>
      <c r="F48" s="151"/>
      <c r="G48" s="287"/>
      <c r="H48" s="201"/>
      <c r="I48" s="296"/>
      <c r="J48" s="51">
        <v>8</v>
      </c>
      <c r="K48">
        <f t="shared" si="142"/>
        <v>0</v>
      </c>
      <c r="L48" s="37">
        <f t="shared" si="188"/>
        <v>192</v>
      </c>
      <c r="M48" s="30">
        <f t="shared" si="143"/>
        <v>25</v>
      </c>
      <c r="N48" s="151">
        <v>10</v>
      </c>
      <c r="O48" s="285"/>
      <c r="P48" s="51">
        <v>8</v>
      </c>
      <c r="Q48">
        <f t="shared" si="144"/>
        <v>0</v>
      </c>
      <c r="R48" s="37">
        <f t="shared" si="189"/>
        <v>192</v>
      </c>
      <c r="S48" s="30">
        <f t="shared" si="145"/>
        <v>25</v>
      </c>
      <c r="T48" s="151"/>
      <c r="U48" s="287"/>
      <c r="V48" s="201"/>
      <c r="W48" s="296"/>
      <c r="X48" s="51">
        <v>8</v>
      </c>
      <c r="Y48">
        <f t="shared" si="146"/>
        <v>0</v>
      </c>
      <c r="Z48" s="37">
        <f t="shared" si="190"/>
        <v>192</v>
      </c>
      <c r="AA48" s="30">
        <f t="shared" si="147"/>
        <v>25</v>
      </c>
      <c r="AB48" s="151"/>
      <c r="AC48" s="285"/>
      <c r="AD48" s="51">
        <v>8</v>
      </c>
      <c r="AE48">
        <f t="shared" si="148"/>
        <v>0</v>
      </c>
      <c r="AF48" s="37">
        <f t="shared" si="191"/>
        <v>192</v>
      </c>
      <c r="AG48" s="30">
        <f t="shared" si="149"/>
        <v>25</v>
      </c>
      <c r="AH48" s="151"/>
      <c r="AI48" s="285"/>
      <c r="AJ48" s="51">
        <v>8</v>
      </c>
      <c r="AK48">
        <f t="shared" si="150"/>
        <v>0</v>
      </c>
      <c r="AL48" s="37">
        <f t="shared" si="192"/>
        <v>192</v>
      </c>
      <c r="AM48" s="30">
        <f t="shared" si="151"/>
        <v>25</v>
      </c>
      <c r="AN48" s="151"/>
      <c r="AO48" s="287"/>
      <c r="AP48" s="201"/>
      <c r="AQ48" s="296"/>
      <c r="AR48" s="51">
        <v>8</v>
      </c>
      <c r="AS48">
        <f t="shared" si="152"/>
        <v>0</v>
      </c>
      <c r="AT48" s="37">
        <f t="shared" si="193"/>
        <v>192</v>
      </c>
      <c r="AU48" s="30">
        <f t="shared" si="153"/>
        <v>25</v>
      </c>
      <c r="AV48" s="151">
        <v>10</v>
      </c>
      <c r="AW48" s="285"/>
      <c r="AX48" s="51">
        <v>8</v>
      </c>
      <c r="AY48">
        <f t="shared" si="154"/>
        <v>0</v>
      </c>
      <c r="AZ48" s="37">
        <f t="shared" si="194"/>
        <v>192</v>
      </c>
      <c r="BA48" s="30">
        <f t="shared" si="155"/>
        <v>25</v>
      </c>
      <c r="BB48" s="151"/>
      <c r="BC48" s="287"/>
      <c r="BD48" s="201"/>
      <c r="BE48" s="296"/>
      <c r="BF48" s="51">
        <v>8</v>
      </c>
      <c r="BG48">
        <f t="shared" si="156"/>
        <v>0</v>
      </c>
      <c r="BH48" s="37">
        <f t="shared" si="195"/>
        <v>192</v>
      </c>
      <c r="BI48" s="30">
        <f t="shared" si="157"/>
        <v>25</v>
      </c>
      <c r="BJ48" s="151"/>
      <c r="BK48" s="285"/>
      <c r="BL48" s="51">
        <v>8</v>
      </c>
      <c r="BM48">
        <f t="shared" si="158"/>
        <v>0</v>
      </c>
      <c r="BN48" s="37">
        <f t="shared" si="196"/>
        <v>192</v>
      </c>
      <c r="BO48" s="30">
        <f t="shared" si="159"/>
        <v>25</v>
      </c>
      <c r="BP48" s="151"/>
      <c r="BQ48" s="285"/>
      <c r="BR48" s="51">
        <v>8</v>
      </c>
      <c r="BS48">
        <f t="shared" si="160"/>
        <v>0</v>
      </c>
      <c r="BT48" s="37">
        <f t="shared" si="197"/>
        <v>192</v>
      </c>
      <c r="BU48" s="30">
        <f t="shared" si="161"/>
        <v>25</v>
      </c>
      <c r="BV48" s="151"/>
      <c r="BW48" s="285"/>
      <c r="BX48" s="51">
        <v>8</v>
      </c>
      <c r="BY48">
        <f t="shared" si="162"/>
        <v>0</v>
      </c>
      <c r="BZ48" s="37">
        <f t="shared" si="198"/>
        <v>192</v>
      </c>
      <c r="CA48" s="30">
        <f t="shared" si="163"/>
        <v>25</v>
      </c>
      <c r="CB48" s="151"/>
      <c r="CC48" s="287"/>
      <c r="CD48" s="201"/>
      <c r="CE48" s="296"/>
      <c r="CF48" s="51">
        <v>8</v>
      </c>
      <c r="CG48">
        <f t="shared" si="164"/>
        <v>0</v>
      </c>
      <c r="CH48" s="37">
        <f t="shared" si="199"/>
        <v>192</v>
      </c>
      <c r="CI48" s="30">
        <f t="shared" si="165"/>
        <v>25</v>
      </c>
      <c r="CJ48" s="151"/>
      <c r="CK48" s="285"/>
      <c r="CL48" s="51">
        <v>8</v>
      </c>
      <c r="CM48">
        <f t="shared" si="166"/>
        <v>0</v>
      </c>
      <c r="CN48" s="37">
        <f t="shared" si="200"/>
        <v>192</v>
      </c>
      <c r="CO48" s="30">
        <f t="shared" si="167"/>
        <v>25</v>
      </c>
      <c r="CP48" s="151"/>
      <c r="CQ48" s="285"/>
      <c r="CR48" s="51">
        <v>8</v>
      </c>
      <c r="CS48">
        <f t="shared" si="168"/>
        <v>0</v>
      </c>
      <c r="CT48" s="37">
        <f t="shared" si="201"/>
        <v>192</v>
      </c>
      <c r="CU48" s="30">
        <f t="shared" si="169"/>
        <v>25</v>
      </c>
      <c r="CV48" s="151">
        <v>22</v>
      </c>
      <c r="CW48" s="285"/>
      <c r="CX48" s="51">
        <v>8</v>
      </c>
      <c r="CY48">
        <f t="shared" si="170"/>
        <v>0</v>
      </c>
      <c r="CZ48" s="37">
        <f t="shared" si="202"/>
        <v>192</v>
      </c>
      <c r="DA48" s="30">
        <f t="shared" si="171"/>
        <v>25</v>
      </c>
      <c r="DB48" s="151"/>
      <c r="DC48" s="287"/>
      <c r="DD48" s="201"/>
      <c r="DE48" s="296"/>
      <c r="DF48" s="51">
        <v>8</v>
      </c>
      <c r="DG48">
        <f t="shared" si="172"/>
        <v>0</v>
      </c>
      <c r="DH48" s="37">
        <f t="shared" si="203"/>
        <v>192</v>
      </c>
      <c r="DI48" s="30">
        <f t="shared" si="173"/>
        <v>25</v>
      </c>
      <c r="DJ48" s="151"/>
      <c r="DK48" s="285"/>
      <c r="DL48" s="51">
        <v>8</v>
      </c>
      <c r="DM48">
        <f t="shared" si="174"/>
        <v>0</v>
      </c>
      <c r="DN48" s="37">
        <f t="shared" si="204"/>
        <v>192</v>
      </c>
      <c r="DO48" s="30">
        <f t="shared" si="175"/>
        <v>25</v>
      </c>
      <c r="DP48" s="151"/>
      <c r="DQ48" s="285"/>
      <c r="DR48" s="51">
        <v>8</v>
      </c>
      <c r="DS48">
        <f t="shared" si="176"/>
        <v>0</v>
      </c>
      <c r="DT48" s="37">
        <f t="shared" si="205"/>
        <v>192</v>
      </c>
      <c r="DU48" s="30">
        <f t="shared" si="177"/>
        <v>25</v>
      </c>
      <c r="DV48" s="151"/>
      <c r="DW48" s="287"/>
      <c r="DX48" s="201"/>
      <c r="DY48" s="296"/>
      <c r="DZ48" s="51">
        <v>8</v>
      </c>
      <c r="EA48">
        <f t="shared" si="178"/>
        <v>0</v>
      </c>
      <c r="EB48" s="37">
        <f t="shared" si="206"/>
        <v>192</v>
      </c>
      <c r="EC48" s="30">
        <f t="shared" si="179"/>
        <v>25</v>
      </c>
      <c r="ED48" s="151"/>
      <c r="EE48" s="285"/>
      <c r="EF48" s="51">
        <v>8</v>
      </c>
      <c r="EG48">
        <f t="shared" si="180"/>
        <v>0</v>
      </c>
      <c r="EH48" s="37">
        <f t="shared" si="207"/>
        <v>192</v>
      </c>
      <c r="EI48" s="30">
        <f t="shared" si="181"/>
        <v>25</v>
      </c>
      <c r="EJ48" s="151"/>
      <c r="EK48" s="285"/>
      <c r="EL48" s="51">
        <v>8</v>
      </c>
      <c r="EM48">
        <f t="shared" si="182"/>
        <v>0</v>
      </c>
      <c r="EN48" s="37">
        <f t="shared" si="208"/>
        <v>192</v>
      </c>
      <c r="EO48" s="30">
        <f t="shared" si="183"/>
        <v>25</v>
      </c>
      <c r="EP48" s="151"/>
      <c r="EQ48" s="285"/>
      <c r="ER48" s="51">
        <v>8</v>
      </c>
      <c r="ES48">
        <f t="shared" si="184"/>
        <v>0</v>
      </c>
      <c r="ET48" s="37">
        <f t="shared" si="209"/>
        <v>192</v>
      </c>
      <c r="EU48" s="30">
        <f t="shared" si="185"/>
        <v>25</v>
      </c>
      <c r="EV48" s="151"/>
      <c r="EW48" s="287"/>
      <c r="EX48" s="201"/>
    </row>
    <row r="49" spans="1:154" s="79" customFormat="1" x14ac:dyDescent="0.45">
      <c r="A49" s="293">
        <v>4</v>
      </c>
      <c r="B49" s="179">
        <f>O9</f>
        <v>3</v>
      </c>
      <c r="C49" s="87" t="s">
        <v>154</v>
      </c>
      <c r="D49" s="10" t="s">
        <v>158</v>
      </c>
      <c r="E49" s="88" t="s">
        <v>152</v>
      </c>
      <c r="F49" s="152"/>
      <c r="G49" s="287">
        <f>IF(COUNT(F50:F58) &gt;0, COUNT(F50:F58)/2,"")</f>
        <v>1</v>
      </c>
      <c r="H49" s="201"/>
      <c r="I49" s="293">
        <v>4</v>
      </c>
      <c r="J49" s="104"/>
      <c r="K49" s="87" t="s">
        <v>154</v>
      </c>
      <c r="L49" s="10" t="s">
        <v>158</v>
      </c>
      <c r="M49" s="88" t="s">
        <v>152</v>
      </c>
      <c r="N49" s="152"/>
      <c r="O49" s="286">
        <v>4</v>
      </c>
      <c r="P49" s="104"/>
      <c r="Q49" s="87" t="s">
        <v>154</v>
      </c>
      <c r="R49" s="10" t="s">
        <v>158</v>
      </c>
      <c r="S49" s="88" t="s">
        <v>152</v>
      </c>
      <c r="T49" s="152"/>
      <c r="U49" s="287">
        <f>IF(COUNT(H50:H58,N50:N58,T50:T58) &gt;0, COUNT(H50:H58,N50:N58,T50:T58) /2,"")</f>
        <v>1</v>
      </c>
      <c r="V49" s="201"/>
      <c r="W49" s="293">
        <v>4</v>
      </c>
      <c r="X49" s="104"/>
      <c r="Y49" s="87" t="s">
        <v>154</v>
      </c>
      <c r="Z49" s="10" t="s">
        <v>158</v>
      </c>
      <c r="AA49" s="88" t="s">
        <v>152</v>
      </c>
      <c r="AB49" s="152"/>
      <c r="AC49" s="286">
        <v>4</v>
      </c>
      <c r="AD49" s="104"/>
      <c r="AE49" s="87" t="s">
        <v>154</v>
      </c>
      <c r="AF49" s="10" t="s">
        <v>158</v>
      </c>
      <c r="AG49" s="88" t="s">
        <v>152</v>
      </c>
      <c r="AH49" s="152"/>
      <c r="AI49" s="286">
        <v>4</v>
      </c>
      <c r="AJ49" s="104"/>
      <c r="AK49" t="str">
        <f t="shared" si="150"/>
        <v xml:space="preserve">CTR </v>
      </c>
      <c r="AL49" s="10" t="s">
        <v>158</v>
      </c>
      <c r="AM49" s="88" t="s">
        <v>152</v>
      </c>
      <c r="AN49" s="152"/>
      <c r="AO49" s="287">
        <f>IF(COUNT(AB50:AB58,AH50:AH58,AN50:AN58) &gt;0, COUNT(AB50:AB58,AH50:AH58,AN50:AN58) /2,"")</f>
        <v>1</v>
      </c>
      <c r="AP49" s="201"/>
      <c r="AQ49" s="293">
        <v>4</v>
      </c>
      <c r="AR49" s="104"/>
      <c r="AS49" s="87" t="s">
        <v>154</v>
      </c>
      <c r="AT49" s="10" t="s">
        <v>158</v>
      </c>
      <c r="AU49" s="88" t="s">
        <v>152</v>
      </c>
      <c r="AV49" s="152"/>
      <c r="AW49" s="286">
        <v>4</v>
      </c>
      <c r="AX49" s="104"/>
      <c r="AY49" s="87" t="s">
        <v>154</v>
      </c>
      <c r="AZ49" s="10" t="s">
        <v>158</v>
      </c>
      <c r="BA49" s="88" t="s">
        <v>152</v>
      </c>
      <c r="BB49" s="152"/>
      <c r="BC49" s="287">
        <f>IF(COUNT(AV50:AV58,BB50:BB58,#REF!) &gt;0, COUNT(AV50:AV58,BB50:BB58,#REF!) /2,"")</f>
        <v>1</v>
      </c>
      <c r="BD49" s="201"/>
      <c r="BE49" s="293">
        <v>4</v>
      </c>
      <c r="BF49" s="104"/>
      <c r="BG49" s="87" t="s">
        <v>154</v>
      </c>
      <c r="BH49" s="10" t="s">
        <v>158</v>
      </c>
      <c r="BI49" s="88" t="s">
        <v>152</v>
      </c>
      <c r="BJ49" s="152"/>
      <c r="BK49" s="286">
        <v>4</v>
      </c>
      <c r="BL49" s="104"/>
      <c r="BM49" s="87" t="s">
        <v>154</v>
      </c>
      <c r="BN49" s="10" t="s">
        <v>158</v>
      </c>
      <c r="BO49" s="88" t="s">
        <v>152</v>
      </c>
      <c r="BP49" s="152"/>
      <c r="BQ49" s="286">
        <v>4</v>
      </c>
      <c r="BR49" s="104"/>
      <c r="BS49" s="87" t="s">
        <v>154</v>
      </c>
      <c r="BT49" s="10" t="s">
        <v>158</v>
      </c>
      <c r="BU49" s="88" t="s">
        <v>152</v>
      </c>
      <c r="BV49" s="152"/>
      <c r="BW49" s="286">
        <v>4</v>
      </c>
      <c r="BX49" s="104"/>
      <c r="BY49" s="87" t="s">
        <v>154</v>
      </c>
      <c r="BZ49" s="10" t="s">
        <v>158</v>
      </c>
      <c r="CA49" s="88" t="s">
        <v>152</v>
      </c>
      <c r="CB49" s="152"/>
      <c r="CC49" s="287">
        <f>IF(COUNT(BJ50:BJ58,BP50:BP58,BV50:BV58,CB50:CB58) &gt;0, COUNT(BJ50:BJ58,BP50:BP58,BV50:BV58,CB50:CB58) /2,"")</f>
        <v>2</v>
      </c>
      <c r="CD49" s="201"/>
      <c r="CE49" s="293">
        <v>4</v>
      </c>
      <c r="CF49" s="104"/>
      <c r="CG49" s="87" t="s">
        <v>154</v>
      </c>
      <c r="CH49" s="10" t="s">
        <v>158</v>
      </c>
      <c r="CI49" s="88" t="s">
        <v>152</v>
      </c>
      <c r="CJ49" s="152"/>
      <c r="CK49" s="286">
        <v>4</v>
      </c>
      <c r="CL49" s="104"/>
      <c r="CM49" s="87" t="s">
        <v>154</v>
      </c>
      <c r="CN49" s="10" t="s">
        <v>158</v>
      </c>
      <c r="CO49" s="88" t="s">
        <v>152</v>
      </c>
      <c r="CP49" s="152"/>
      <c r="CQ49" s="286">
        <v>4</v>
      </c>
      <c r="CR49" s="104"/>
      <c r="CS49" s="87" t="s">
        <v>154</v>
      </c>
      <c r="CT49" s="10" t="s">
        <v>158</v>
      </c>
      <c r="CU49" s="88" t="s">
        <v>152</v>
      </c>
      <c r="CV49" s="152"/>
      <c r="CW49" s="286">
        <v>4</v>
      </c>
      <c r="CX49" s="104"/>
      <c r="CY49" s="87" t="s">
        <v>154</v>
      </c>
      <c r="CZ49" s="10" t="s">
        <v>158</v>
      </c>
      <c r="DA49" s="88" t="s">
        <v>152</v>
      </c>
      <c r="DB49" s="152"/>
      <c r="DC49" s="287">
        <f>IF(COUNT(CJ50:CJ58,CP50:CP58,CV50:CV58,DB50:DB58) &gt;0, COUNT(CJ50:CJ58,CP50:CP58,CV50:CV58,DB50:DB58) /2,"")</f>
        <v>1</v>
      </c>
      <c r="DD49" s="201"/>
      <c r="DE49" s="293">
        <v>4</v>
      </c>
      <c r="DF49" s="104"/>
      <c r="DG49" s="87" t="s">
        <v>154</v>
      </c>
      <c r="DH49" s="10" t="s">
        <v>158</v>
      </c>
      <c r="DI49" s="88" t="s">
        <v>152</v>
      </c>
      <c r="DJ49" s="152"/>
      <c r="DK49" s="286">
        <v>4</v>
      </c>
      <c r="DL49" s="104"/>
      <c r="DM49" s="87" t="s">
        <v>154</v>
      </c>
      <c r="DN49" s="10" t="s">
        <v>158</v>
      </c>
      <c r="DO49" s="88" t="s">
        <v>152</v>
      </c>
      <c r="DP49" s="152"/>
      <c r="DQ49" s="286">
        <v>4</v>
      </c>
      <c r="DR49" s="104"/>
      <c r="DS49" s="87" t="s">
        <v>154</v>
      </c>
      <c r="DT49" s="10" t="s">
        <v>158</v>
      </c>
      <c r="DU49" s="88" t="s">
        <v>152</v>
      </c>
      <c r="DV49" s="152"/>
      <c r="DW49" s="287">
        <f>IF(COUNT(DJ50:DJ58,DP50:DP58,DV50:DV58) &gt;0, COUNT(DJ50:DJ58,DP50:DP58,DV50:DV58) /2,"")</f>
        <v>1</v>
      </c>
      <c r="DX49" s="201"/>
      <c r="DY49" s="293">
        <v>4</v>
      </c>
      <c r="DZ49" s="104"/>
      <c r="EA49" s="87" t="s">
        <v>154</v>
      </c>
      <c r="EB49" s="10" t="s">
        <v>158</v>
      </c>
      <c r="EC49" s="88" t="s">
        <v>152</v>
      </c>
      <c r="ED49" s="152"/>
      <c r="EE49" s="286">
        <v>4</v>
      </c>
      <c r="EF49" s="104"/>
      <c r="EG49" s="87" t="s">
        <v>154</v>
      </c>
      <c r="EH49" s="10" t="s">
        <v>158</v>
      </c>
      <c r="EI49" s="88" t="s">
        <v>152</v>
      </c>
      <c r="EJ49" s="152"/>
      <c r="EK49" s="286">
        <v>4</v>
      </c>
      <c r="EL49" s="104"/>
      <c r="EM49" s="87" t="s">
        <v>154</v>
      </c>
      <c r="EN49" s="10" t="s">
        <v>158</v>
      </c>
      <c r="EO49" s="88" t="s">
        <v>152</v>
      </c>
      <c r="EP49" s="152"/>
      <c r="EQ49" s="286">
        <v>4</v>
      </c>
      <c r="ER49" s="104"/>
      <c r="ES49" s="87" t="s">
        <v>154</v>
      </c>
      <c r="ET49" s="10" t="s">
        <v>158</v>
      </c>
      <c r="EU49" s="88" t="s">
        <v>152</v>
      </c>
      <c r="EV49" s="152"/>
      <c r="EW49" s="287">
        <f>IF(COUNT(ED50:ED58,EJ50:EJ58,EP50:EP58,EV50:EV58) &gt;0, COUNT(ED50:ED58,EJ50:EJ58,EP50:EP58,EV50:EV58) /2,"")</f>
        <v>1</v>
      </c>
      <c r="EX49" s="201"/>
    </row>
    <row r="50" spans="1:154" ht="27.75" customHeight="1" x14ac:dyDescent="0.45">
      <c r="A50" s="294"/>
      <c r="B50" s="176" t="s">
        <v>162</v>
      </c>
      <c r="C50" s="102" t="s">
        <v>156</v>
      </c>
      <c r="D50" s="89" t="s">
        <v>175</v>
      </c>
      <c r="E50" s="177" t="s">
        <v>174</v>
      </c>
      <c r="F50" s="148"/>
      <c r="G50" s="287"/>
      <c r="H50" s="201"/>
      <c r="I50" s="294"/>
      <c r="J50" s="176" t="s">
        <v>162</v>
      </c>
      <c r="K50" s="90" t="s">
        <v>155</v>
      </c>
      <c r="L50" s="89" t="s">
        <v>175</v>
      </c>
      <c r="M50" s="177" t="s">
        <v>174</v>
      </c>
      <c r="N50" s="148"/>
      <c r="O50" s="284"/>
      <c r="P50" s="176" t="s">
        <v>162</v>
      </c>
      <c r="Q50" s="90" t="s">
        <v>155</v>
      </c>
      <c r="R50" s="89" t="s">
        <v>175</v>
      </c>
      <c r="S50" s="177" t="s">
        <v>174</v>
      </c>
      <c r="T50" s="148"/>
      <c r="U50" s="287"/>
      <c r="V50" s="201"/>
      <c r="W50" s="294"/>
      <c r="X50" s="176" t="s">
        <v>162</v>
      </c>
      <c r="Y50" s="90" t="s">
        <v>155</v>
      </c>
      <c r="Z50" s="89" t="s">
        <v>175</v>
      </c>
      <c r="AA50" s="177" t="s">
        <v>174</v>
      </c>
      <c r="AB50" s="148"/>
      <c r="AC50" s="284"/>
      <c r="AD50" s="176" t="s">
        <v>162</v>
      </c>
      <c r="AE50" s="90" t="s">
        <v>155</v>
      </c>
      <c r="AF50" s="89" t="s">
        <v>175</v>
      </c>
      <c r="AG50" s="177" t="s">
        <v>174</v>
      </c>
      <c r="AH50" s="148"/>
      <c r="AI50" s="284"/>
      <c r="AJ50" s="176" t="s">
        <v>162</v>
      </c>
      <c r="AK50" s="90" t="s">
        <v>155</v>
      </c>
      <c r="AL50" s="89" t="s">
        <v>175</v>
      </c>
      <c r="AM50" s="177" t="s">
        <v>174</v>
      </c>
      <c r="AN50" s="148"/>
      <c r="AO50" s="287"/>
      <c r="AP50" s="201"/>
      <c r="AQ50" s="294"/>
      <c r="AR50" s="176" t="s">
        <v>162</v>
      </c>
      <c r="AS50" s="90" t="s">
        <v>155</v>
      </c>
      <c r="AT50" s="89" t="s">
        <v>175</v>
      </c>
      <c r="AU50" s="177" t="s">
        <v>174</v>
      </c>
      <c r="AV50" s="148"/>
      <c r="AW50" s="284"/>
      <c r="AX50" s="176" t="s">
        <v>162</v>
      </c>
      <c r="AY50" s="90" t="s">
        <v>155</v>
      </c>
      <c r="AZ50" s="89" t="s">
        <v>175</v>
      </c>
      <c r="BA50" s="177" t="s">
        <v>174</v>
      </c>
      <c r="BB50" s="148"/>
      <c r="BC50" s="287"/>
      <c r="BD50" s="201"/>
      <c r="BE50" s="294"/>
      <c r="BF50" s="176" t="s">
        <v>162</v>
      </c>
      <c r="BG50" s="90" t="s">
        <v>155</v>
      </c>
      <c r="BH50" s="89" t="s">
        <v>175</v>
      </c>
      <c r="BI50" s="177" t="s">
        <v>174</v>
      </c>
      <c r="BJ50" s="148"/>
      <c r="BK50" s="284"/>
      <c r="BL50" s="176" t="s">
        <v>162</v>
      </c>
      <c r="BM50" s="90" t="s">
        <v>155</v>
      </c>
      <c r="BN50" s="89" t="s">
        <v>175</v>
      </c>
      <c r="BO50" s="177" t="s">
        <v>174</v>
      </c>
      <c r="BP50" s="148"/>
      <c r="BQ50" s="284"/>
      <c r="BR50" s="176" t="s">
        <v>162</v>
      </c>
      <c r="BS50" s="90" t="s">
        <v>155</v>
      </c>
      <c r="BT50" s="89" t="s">
        <v>175</v>
      </c>
      <c r="BU50" s="177" t="s">
        <v>174</v>
      </c>
      <c r="BV50" s="148"/>
      <c r="BW50" s="284"/>
      <c r="BX50" s="176" t="s">
        <v>162</v>
      </c>
      <c r="BY50" s="90" t="s">
        <v>155</v>
      </c>
      <c r="BZ50" s="89" t="s">
        <v>175</v>
      </c>
      <c r="CA50" s="177" t="s">
        <v>174</v>
      </c>
      <c r="CB50" s="148"/>
      <c r="CC50" s="287"/>
      <c r="CD50" s="201"/>
      <c r="CE50" s="294"/>
      <c r="CF50" s="176" t="s">
        <v>162</v>
      </c>
      <c r="CG50" s="90" t="s">
        <v>155</v>
      </c>
      <c r="CH50" s="89" t="s">
        <v>175</v>
      </c>
      <c r="CI50" s="177" t="s">
        <v>174</v>
      </c>
      <c r="CJ50" s="148"/>
      <c r="CK50" s="284"/>
      <c r="CL50" s="176" t="s">
        <v>162</v>
      </c>
      <c r="CM50" s="90" t="s">
        <v>155</v>
      </c>
      <c r="CN50" s="89" t="s">
        <v>175</v>
      </c>
      <c r="CO50" s="177" t="s">
        <v>174</v>
      </c>
      <c r="CP50" s="148"/>
      <c r="CQ50" s="284"/>
      <c r="CR50" s="176" t="s">
        <v>162</v>
      </c>
      <c r="CS50" s="90" t="s">
        <v>155</v>
      </c>
      <c r="CT50" s="89" t="s">
        <v>175</v>
      </c>
      <c r="CU50" s="177" t="s">
        <v>174</v>
      </c>
      <c r="CV50" s="148"/>
      <c r="CW50" s="284"/>
      <c r="CX50" s="176" t="s">
        <v>162</v>
      </c>
      <c r="CY50" s="90" t="s">
        <v>155</v>
      </c>
      <c r="CZ50" s="89" t="s">
        <v>175</v>
      </c>
      <c r="DA50" s="177" t="s">
        <v>174</v>
      </c>
      <c r="DB50" s="148"/>
      <c r="DC50" s="287"/>
      <c r="DD50" s="201"/>
      <c r="DE50" s="294"/>
      <c r="DF50" s="176" t="s">
        <v>162</v>
      </c>
      <c r="DG50" s="90" t="s">
        <v>155</v>
      </c>
      <c r="DH50" s="89" t="s">
        <v>175</v>
      </c>
      <c r="DI50" s="177" t="s">
        <v>174</v>
      </c>
      <c r="DJ50" s="148"/>
      <c r="DK50" s="284"/>
      <c r="DL50" s="176" t="s">
        <v>162</v>
      </c>
      <c r="DM50" s="90" t="s">
        <v>155</v>
      </c>
      <c r="DN50" s="89" t="s">
        <v>175</v>
      </c>
      <c r="DO50" s="177" t="s">
        <v>174</v>
      </c>
      <c r="DP50" s="148"/>
      <c r="DQ50" s="284"/>
      <c r="DR50" s="176" t="s">
        <v>162</v>
      </c>
      <c r="DS50" s="90" t="s">
        <v>155</v>
      </c>
      <c r="DT50" s="89" t="s">
        <v>175</v>
      </c>
      <c r="DU50" s="177" t="s">
        <v>174</v>
      </c>
      <c r="DV50" s="148"/>
      <c r="DW50" s="287"/>
      <c r="DX50" s="201"/>
      <c r="DY50" s="294"/>
      <c r="DZ50" s="176" t="s">
        <v>162</v>
      </c>
      <c r="EA50" s="90" t="s">
        <v>155</v>
      </c>
      <c r="EB50" s="89" t="s">
        <v>175</v>
      </c>
      <c r="EC50" s="177" t="s">
        <v>174</v>
      </c>
      <c r="ED50" s="148"/>
      <c r="EE50" s="284"/>
      <c r="EF50" s="176" t="s">
        <v>162</v>
      </c>
      <c r="EG50" s="90" t="s">
        <v>155</v>
      </c>
      <c r="EH50" s="89" t="s">
        <v>175</v>
      </c>
      <c r="EI50" s="177" t="s">
        <v>174</v>
      </c>
      <c r="EJ50" s="148"/>
      <c r="EK50" s="284"/>
      <c r="EL50" s="176" t="s">
        <v>162</v>
      </c>
      <c r="EM50" s="90" t="s">
        <v>155</v>
      </c>
      <c r="EN50" s="89" t="s">
        <v>175</v>
      </c>
      <c r="EO50" s="177" t="s">
        <v>174</v>
      </c>
      <c r="EP50" s="148"/>
      <c r="EQ50" s="284"/>
      <c r="ER50" s="176" t="s">
        <v>162</v>
      </c>
      <c r="ES50" s="90" t="s">
        <v>155</v>
      </c>
      <c r="ET50" s="89" t="s">
        <v>175</v>
      </c>
      <c r="EU50" s="177" t="s">
        <v>174</v>
      </c>
      <c r="EV50" s="148"/>
      <c r="EW50" s="287"/>
      <c r="EX50" s="201"/>
    </row>
    <row r="51" spans="1:154" x14ac:dyDescent="0.45">
      <c r="A51" s="294"/>
      <c r="B51" s="1">
        <v>1</v>
      </c>
      <c r="C51">
        <v>0</v>
      </c>
      <c r="D51" s="37">
        <f>(C51+$B$49)*$G$3</f>
        <v>24</v>
      </c>
      <c r="E51" s="30">
        <f t="shared" ref="E51:E58" si="210">MOD($F6+D51,$G$2)</f>
        <v>31</v>
      </c>
      <c r="F51" s="149"/>
      <c r="G51" s="287"/>
      <c r="H51" s="201"/>
      <c r="I51" s="294"/>
      <c r="J51" s="1">
        <v>1</v>
      </c>
      <c r="K51">
        <f t="shared" ref="K51:K58" si="211">IF(F51="", C51,IF(F51=MIN(F$51:F$58),C51+1,0))</f>
        <v>0</v>
      </c>
      <c r="L51" s="37">
        <f>(K51+$B$49)*$G$3</f>
        <v>24</v>
      </c>
      <c r="M51" s="30">
        <f t="shared" ref="M51:M58" si="212">MOD($F6+L51,$G$2)</f>
        <v>31</v>
      </c>
      <c r="N51" s="149"/>
      <c r="O51" s="284"/>
      <c r="P51" s="1">
        <v>1</v>
      </c>
      <c r="Q51">
        <f t="shared" ref="Q51:Q58" si="213">IF(N51="", K51,IF(N51=MIN(N$51:N$58),K51+1,0))</f>
        <v>0</v>
      </c>
      <c r="R51" s="37">
        <f>(Q51+$B$49)*$G$3</f>
        <v>24</v>
      </c>
      <c r="S51" s="30">
        <f t="shared" ref="S51:S58" si="214">MOD($F6+R51,$G$2)</f>
        <v>31</v>
      </c>
      <c r="T51" s="149"/>
      <c r="U51" s="287"/>
      <c r="V51" s="201"/>
      <c r="W51" s="294"/>
      <c r="X51" s="1">
        <v>1</v>
      </c>
      <c r="Y51">
        <f t="shared" ref="Y51:Y58" si="215">IF(T51="", Q51,IF(T51=MIN(T$51:T$58),Q51+1,0))</f>
        <v>0</v>
      </c>
      <c r="Z51" s="37">
        <f>(Y51+$B$49)*$G$3</f>
        <v>24</v>
      </c>
      <c r="AA51" s="30">
        <f t="shared" ref="AA51:AA58" si="216">MOD($F6+Z51,$G$2)</f>
        <v>31</v>
      </c>
      <c r="AB51" s="149"/>
      <c r="AC51" s="284"/>
      <c r="AD51" s="1">
        <v>1</v>
      </c>
      <c r="AE51">
        <f t="shared" ref="AE51:AE58" si="217">IF(AB51="", Y51,IF(AB51=MIN(AB$51:AB$58),Y51+1,0))</f>
        <v>0</v>
      </c>
      <c r="AF51" s="37">
        <f>(AE51+$B$49)*$G$3</f>
        <v>24</v>
      </c>
      <c r="AG51" s="30">
        <f t="shared" ref="AG51:AG58" si="218">MOD($F6+AF51,$G$2)</f>
        <v>31</v>
      </c>
      <c r="AH51" s="149"/>
      <c r="AI51" s="284"/>
      <c r="AJ51" s="1">
        <v>1</v>
      </c>
      <c r="AK51">
        <f t="shared" ref="AK51:AK59" si="219">IF(AH51="",AE51,IF(AH51=MIN(AH$21:AH$28),AE51+1,0))</f>
        <v>0</v>
      </c>
      <c r="AL51" s="37">
        <f>(AK51+$B$49)*$G$3</f>
        <v>24</v>
      </c>
      <c r="AM51" s="30">
        <f t="shared" ref="AM51:AM58" si="220">MOD($F6+AL51,$G$2)</f>
        <v>31</v>
      </c>
      <c r="AN51" s="149"/>
      <c r="AO51" s="287"/>
      <c r="AP51" s="201"/>
      <c r="AQ51" s="294"/>
      <c r="AR51" s="1">
        <v>1</v>
      </c>
      <c r="AS51">
        <f t="shared" ref="AS51:AS58" si="221">IF(AN51="", AK51,IF(AN51=MIN(AN$51:AN$58),AK51+1,0))</f>
        <v>0</v>
      </c>
      <c r="AT51" s="37">
        <f>(AS51+$B$49)*$G$3</f>
        <v>24</v>
      </c>
      <c r="AU51" s="30">
        <f t="shared" ref="AU51:AU58" si="222">MOD($F6+AT51,$G$2)</f>
        <v>31</v>
      </c>
      <c r="AV51" s="149"/>
      <c r="AW51" s="284"/>
      <c r="AX51" s="1">
        <v>1</v>
      </c>
      <c r="AY51">
        <f t="shared" ref="AY51:AY58" si="223">IF(AV51="", AS51,IF(AV51=MIN(AV$51:AV$58),AS51+1,0))</f>
        <v>0</v>
      </c>
      <c r="AZ51" s="37">
        <f>(AY51+$B$49)*$G$3</f>
        <v>24</v>
      </c>
      <c r="BA51" s="30">
        <f t="shared" ref="BA51:BA58" si="224">MOD($F6+AZ51,$G$2)</f>
        <v>31</v>
      </c>
      <c r="BB51" s="149"/>
      <c r="BC51" s="287"/>
      <c r="BD51" s="201"/>
      <c r="BE51" s="294"/>
      <c r="BF51" s="1">
        <v>1</v>
      </c>
      <c r="BG51">
        <f t="shared" ref="BG51:BG58" si="225">IF(BB51="", AY51,IF(BB51=MIN(BB$51:BB$58),AY51+1,0))</f>
        <v>0</v>
      </c>
      <c r="BH51" s="37">
        <f>(BG51+$B$49)*$G$3</f>
        <v>24</v>
      </c>
      <c r="BI51" s="30">
        <f t="shared" ref="BI51:BI58" si="226">MOD($F6+BH51,$G$2)</f>
        <v>31</v>
      </c>
      <c r="BJ51" s="149"/>
      <c r="BK51" s="284"/>
      <c r="BL51" s="1">
        <v>1</v>
      </c>
      <c r="BM51">
        <f t="shared" ref="BM51:BM58" si="227">IF(BJ51="", BG51,IF(BJ51=MIN(BJ$51:BJ$58),BG51+1,0))</f>
        <v>0</v>
      </c>
      <c r="BN51" s="37">
        <f>(BM51+$B$49)*$G$3</f>
        <v>24</v>
      </c>
      <c r="BO51" s="30">
        <f t="shared" ref="BO51:BO58" si="228">MOD($F6+BN51,$G$2)</f>
        <v>31</v>
      </c>
      <c r="BP51" s="149"/>
      <c r="BQ51" s="284"/>
      <c r="BR51" s="1">
        <v>1</v>
      </c>
      <c r="BS51">
        <f t="shared" ref="BS51:BS58" si="229">IF(BP51="", BM51,IF(BP51=MIN(BP$51:BP$58),BM51+1,0))</f>
        <v>0</v>
      </c>
      <c r="BT51" s="37">
        <f>(BS51+$B$49)*$G$3</f>
        <v>24</v>
      </c>
      <c r="BU51" s="30">
        <f t="shared" ref="BU51:BU58" si="230">MOD($F6+BT51,$G$2)</f>
        <v>31</v>
      </c>
      <c r="BV51" s="149"/>
      <c r="BW51" s="284"/>
      <c r="BX51" s="1">
        <v>1</v>
      </c>
      <c r="BY51">
        <f t="shared" ref="BY51:BY58" si="231">IF(BV51="", BS51,IF(BV51=MIN(BV$51:BV$58),BS51+1,0))</f>
        <v>0</v>
      </c>
      <c r="BZ51" s="37">
        <f>(BY51+$B$49)*$G$3</f>
        <v>24</v>
      </c>
      <c r="CA51" s="30">
        <f t="shared" ref="CA51:CA58" si="232">MOD($F6+BZ51,$G$2)</f>
        <v>31</v>
      </c>
      <c r="CB51" s="149"/>
      <c r="CC51" s="287"/>
      <c r="CD51" s="201"/>
      <c r="CE51" s="294"/>
      <c r="CF51" s="1">
        <v>1</v>
      </c>
      <c r="CG51">
        <f t="shared" ref="CG51:CG58" si="233">IF(CB51="", BY51,IF(CB51=MIN(CB$51:CB$58),BY51+1,0))</f>
        <v>0</v>
      </c>
      <c r="CH51" s="37">
        <f>(CG51+$B$49)*$G$3</f>
        <v>24</v>
      </c>
      <c r="CI51" s="30">
        <f t="shared" ref="CI51:CI58" si="234">MOD($F6+CH51,$G$2)</f>
        <v>31</v>
      </c>
      <c r="CJ51" s="149"/>
      <c r="CK51" s="284"/>
      <c r="CL51" s="1">
        <v>1</v>
      </c>
      <c r="CM51">
        <f t="shared" ref="CM51:CM58" si="235">IF(CJ51="", CG51,IF(CJ51=MIN(CJ$51:CJ$58),CG51+1,0))</f>
        <v>0</v>
      </c>
      <c r="CN51" s="37">
        <f>(CM51+$B$49)*$G$3</f>
        <v>24</v>
      </c>
      <c r="CO51" s="30">
        <f t="shared" ref="CO51:CO58" si="236">MOD($F6+CN51,$G$2)</f>
        <v>31</v>
      </c>
      <c r="CP51" s="149"/>
      <c r="CQ51" s="284"/>
      <c r="CR51" s="1">
        <v>1</v>
      </c>
      <c r="CS51">
        <f t="shared" ref="CS51:CS58" si="237">IF(CP51="", CM51,IF(CP51=MIN(CP$51:CP$58),CM51+1,0))</f>
        <v>0</v>
      </c>
      <c r="CT51" s="37">
        <f>(CS51+$B$49)*$G$3</f>
        <v>24</v>
      </c>
      <c r="CU51" s="30">
        <f t="shared" ref="CU51:CU58" si="238">MOD($F6+CT51,$G$2)</f>
        <v>31</v>
      </c>
      <c r="CV51" s="149"/>
      <c r="CW51" s="284"/>
      <c r="CX51" s="1">
        <v>1</v>
      </c>
      <c r="CY51">
        <f t="shared" ref="CY51:CY58" si="239">IF(CV51="", CS51,IF(CV51=MIN(CV$51:CV$58),CS51+1,0))</f>
        <v>0</v>
      </c>
      <c r="CZ51" s="37">
        <f>(CY51+$B$49)*$G$3</f>
        <v>24</v>
      </c>
      <c r="DA51" s="30">
        <f t="shared" ref="DA51:DA58" si="240">MOD($F6+CZ51,$G$2)</f>
        <v>31</v>
      </c>
      <c r="DB51" s="149"/>
      <c r="DC51" s="287"/>
      <c r="DD51" s="201"/>
      <c r="DE51" s="294"/>
      <c r="DF51" s="1">
        <v>1</v>
      </c>
      <c r="DG51">
        <f t="shared" ref="DG51:DG58" si="241">IF(CV51="", CS51,IF(CV51=MIN(CV$51:CV$58),CS51+1,0))</f>
        <v>0</v>
      </c>
      <c r="DH51" s="37">
        <f>(DG51+$B$49)*$G$3</f>
        <v>24</v>
      </c>
      <c r="DI51" s="30">
        <f t="shared" ref="DI51:DI58" si="242">MOD($F6+DH51,$G$2)</f>
        <v>31</v>
      </c>
      <c r="DJ51" s="149"/>
      <c r="DK51" s="284"/>
      <c r="DL51" s="1">
        <v>1</v>
      </c>
      <c r="DM51">
        <f t="shared" ref="DM51:DM58" si="243">IF(DJ51="", DG51,IF(DJ51=MIN(DJ$51:DJ$58),DG51+1,0))</f>
        <v>0</v>
      </c>
      <c r="DN51" s="37">
        <f>(DM51+$B$49)*$G$3</f>
        <v>24</v>
      </c>
      <c r="DO51" s="30">
        <f t="shared" ref="DO51:DO58" si="244">MOD($F6+DN51,$G$2)</f>
        <v>31</v>
      </c>
      <c r="DP51" s="149"/>
      <c r="DQ51" s="284"/>
      <c r="DR51" s="1">
        <v>1</v>
      </c>
      <c r="DS51">
        <f t="shared" ref="DS51:DS58" si="245">IF(DP51="", DM51,IF(DP51=MIN(DP$51:DP$58),DM51+1,0))</f>
        <v>0</v>
      </c>
      <c r="DT51" s="37">
        <f>(DS51+$B$49)*$G$3</f>
        <v>24</v>
      </c>
      <c r="DU51" s="30">
        <f t="shared" ref="DU51:DU58" si="246">MOD($F6+DT51,$G$2)</f>
        <v>31</v>
      </c>
      <c r="DV51" s="149"/>
      <c r="DW51" s="287"/>
      <c r="DX51" s="201"/>
      <c r="DY51" s="294"/>
      <c r="DZ51" s="1">
        <v>1</v>
      </c>
      <c r="EA51">
        <f t="shared" ref="EA51:EA58" si="247">IF(DV51="", DS51,IF(DV51=MIN(DV$51:DV$58),DS51+1,0))</f>
        <v>0</v>
      </c>
      <c r="EB51" s="37">
        <f>(EA51+$B$49)*$G$3</f>
        <v>24</v>
      </c>
      <c r="EC51" s="30">
        <f t="shared" ref="EC51:EC58" si="248">MOD($F6+EB51,$G$2)</f>
        <v>31</v>
      </c>
      <c r="ED51" s="149"/>
      <c r="EE51" s="284"/>
      <c r="EF51" s="1">
        <v>1</v>
      </c>
      <c r="EG51">
        <f t="shared" ref="EG51:EG58" si="249">IF(ED51="", EA51,IF(ED51=MIN(ED$51:ED$58),EA51+1,0))</f>
        <v>0</v>
      </c>
      <c r="EH51" s="37">
        <f>(EG51+$B$49)*$G$3</f>
        <v>24</v>
      </c>
      <c r="EI51" s="30">
        <f t="shared" ref="EI51:EI58" si="250">MOD($F6+EH51,$G$2)</f>
        <v>31</v>
      </c>
      <c r="EJ51" s="149"/>
      <c r="EK51" s="284"/>
      <c r="EL51" s="1">
        <v>1</v>
      </c>
      <c r="EM51">
        <f t="shared" ref="EM51:EM58" si="251">IF(EJ51="", EG51,IF(EJ51=MIN(EJ$51:EJ$58),EG51+1,0))</f>
        <v>0</v>
      </c>
      <c r="EN51" s="37">
        <f>(EM51+$B$49)*$G$3</f>
        <v>24</v>
      </c>
      <c r="EO51" s="30">
        <f t="shared" ref="EO51:EO58" si="252">MOD($F6+EN51,$G$2)</f>
        <v>31</v>
      </c>
      <c r="EP51" s="149"/>
      <c r="EQ51" s="284"/>
      <c r="ER51" s="1">
        <v>1</v>
      </c>
      <c r="ES51">
        <f t="shared" ref="ES51:ES58" si="253">IF(EP51="", EM51,IF(EP51=MIN(EP$51:EP$58),EM51+1,0))</f>
        <v>0</v>
      </c>
      <c r="ET51" s="37">
        <f>(ES51+$B$49)*$G$3</f>
        <v>24</v>
      </c>
      <c r="EU51" s="30">
        <f t="shared" ref="EU51:EU58" si="254">MOD($F6+ET51,$G$2)</f>
        <v>31</v>
      </c>
      <c r="EV51" s="149"/>
      <c r="EW51" s="287"/>
      <c r="EX51" s="201"/>
    </row>
    <row r="52" spans="1:154" x14ac:dyDescent="0.45">
      <c r="A52" s="294"/>
      <c r="B52" s="1">
        <v>2</v>
      </c>
      <c r="C52">
        <f t="shared" ref="C52:C58" si="255">IF(B52=MIN(B$21:B$28),1,0)</f>
        <v>0</v>
      </c>
      <c r="D52" s="37">
        <f t="shared" ref="D52:D58" si="256">(C52+$B$49)*$G$3</f>
        <v>24</v>
      </c>
      <c r="E52" s="30">
        <f t="shared" si="210"/>
        <v>27</v>
      </c>
      <c r="F52" s="150"/>
      <c r="G52" s="287"/>
      <c r="H52" s="201"/>
      <c r="I52" s="294"/>
      <c r="J52" s="1">
        <v>2</v>
      </c>
      <c r="K52">
        <f t="shared" si="211"/>
        <v>0</v>
      </c>
      <c r="L52" s="37">
        <f t="shared" ref="L52:L58" si="257">(K52+$B$49)*$G$3</f>
        <v>24</v>
      </c>
      <c r="M52" s="30">
        <f t="shared" si="212"/>
        <v>27</v>
      </c>
      <c r="N52" s="150"/>
      <c r="O52" s="284"/>
      <c r="P52" s="1">
        <v>2</v>
      </c>
      <c r="Q52">
        <f t="shared" si="213"/>
        <v>0</v>
      </c>
      <c r="R52" s="37">
        <f t="shared" ref="R52:R58" si="258">(Q52+$B$49)*$G$3</f>
        <v>24</v>
      </c>
      <c r="S52" s="30">
        <f t="shared" si="214"/>
        <v>27</v>
      </c>
      <c r="T52" s="150"/>
      <c r="U52" s="287"/>
      <c r="V52" s="201"/>
      <c r="W52" s="294"/>
      <c r="X52" s="1">
        <v>2</v>
      </c>
      <c r="Y52">
        <f t="shared" si="215"/>
        <v>0</v>
      </c>
      <c r="Z52" s="37">
        <f t="shared" ref="Z52:Z58" si="259">(Y52+$B$49)*$G$3</f>
        <v>24</v>
      </c>
      <c r="AA52" s="30">
        <f t="shared" si="216"/>
        <v>27</v>
      </c>
      <c r="AB52" s="150"/>
      <c r="AC52" s="284"/>
      <c r="AD52" s="1">
        <v>2</v>
      </c>
      <c r="AE52">
        <f t="shared" si="217"/>
        <v>0</v>
      </c>
      <c r="AF52" s="37">
        <f t="shared" ref="AF52:AF58" si="260">(AE52+$B$49)*$G$3</f>
        <v>24</v>
      </c>
      <c r="AG52" s="30">
        <f t="shared" si="218"/>
        <v>27</v>
      </c>
      <c r="AH52" s="150"/>
      <c r="AI52" s="284"/>
      <c r="AJ52" s="1">
        <v>2</v>
      </c>
      <c r="AK52">
        <f t="shared" si="219"/>
        <v>0</v>
      </c>
      <c r="AL52" s="37">
        <f t="shared" ref="AL52:AL58" si="261">(AK52+$B$49)*$G$3</f>
        <v>24</v>
      </c>
      <c r="AM52" s="30">
        <f t="shared" si="220"/>
        <v>27</v>
      </c>
      <c r="AN52" s="150"/>
      <c r="AO52" s="287"/>
      <c r="AP52" s="201"/>
      <c r="AQ52" s="294"/>
      <c r="AR52" s="1">
        <v>2</v>
      </c>
      <c r="AS52">
        <f t="shared" si="221"/>
        <v>0</v>
      </c>
      <c r="AT52" s="37">
        <f t="shared" ref="AT52:AT58" si="262">(AS52+$B$49)*$G$3</f>
        <v>24</v>
      </c>
      <c r="AU52" s="30">
        <f t="shared" si="222"/>
        <v>27</v>
      </c>
      <c r="AV52" s="150">
        <v>6</v>
      </c>
      <c r="AW52" s="284"/>
      <c r="AX52" s="1">
        <v>2</v>
      </c>
      <c r="AY52">
        <f t="shared" si="223"/>
        <v>0</v>
      </c>
      <c r="AZ52" s="37">
        <f t="shared" ref="AZ52:AZ58" si="263">(AY52+$B$49)*$G$3</f>
        <v>24</v>
      </c>
      <c r="BA52" s="30">
        <f t="shared" si="224"/>
        <v>27</v>
      </c>
      <c r="BB52" s="150"/>
      <c r="BC52" s="287"/>
      <c r="BD52" s="201"/>
      <c r="BE52" s="294"/>
      <c r="BF52" s="1">
        <v>2</v>
      </c>
      <c r="BG52">
        <f t="shared" si="225"/>
        <v>0</v>
      </c>
      <c r="BH52" s="37">
        <f t="shared" ref="BH52:BH58" si="264">(BG52+$B$49)*$G$3</f>
        <v>24</v>
      </c>
      <c r="BI52" s="30">
        <f t="shared" si="226"/>
        <v>27</v>
      </c>
      <c r="BJ52" s="150"/>
      <c r="BK52" s="284"/>
      <c r="BL52" s="1">
        <v>2</v>
      </c>
      <c r="BM52">
        <f t="shared" si="227"/>
        <v>0</v>
      </c>
      <c r="BN52" s="37">
        <f t="shared" ref="BN52:BN58" si="265">(BM52+$B$49)*$G$3</f>
        <v>24</v>
      </c>
      <c r="BO52" s="30">
        <f t="shared" si="228"/>
        <v>27</v>
      </c>
      <c r="BP52" s="150"/>
      <c r="BQ52" s="284"/>
      <c r="BR52" s="1">
        <v>2</v>
      </c>
      <c r="BS52">
        <f t="shared" si="229"/>
        <v>0</v>
      </c>
      <c r="BT52" s="37">
        <f t="shared" ref="BT52:BT58" si="266">(BS52+$B$49)*$G$3</f>
        <v>24</v>
      </c>
      <c r="BU52" s="30">
        <f t="shared" si="230"/>
        <v>27</v>
      </c>
      <c r="BV52" s="150"/>
      <c r="BW52" s="284"/>
      <c r="BX52" s="1">
        <v>2</v>
      </c>
      <c r="BY52">
        <f t="shared" si="231"/>
        <v>0</v>
      </c>
      <c r="BZ52" s="37">
        <f t="shared" ref="BZ52:BZ58" si="267">(BY52+$B$49)*$G$3</f>
        <v>24</v>
      </c>
      <c r="CA52" s="30">
        <f t="shared" si="232"/>
        <v>27</v>
      </c>
      <c r="CB52" s="150"/>
      <c r="CC52" s="287"/>
      <c r="CD52" s="201"/>
      <c r="CE52" s="294"/>
      <c r="CF52" s="1">
        <v>2</v>
      </c>
      <c r="CG52">
        <f t="shared" si="233"/>
        <v>0</v>
      </c>
      <c r="CH52" s="37">
        <f t="shared" ref="CH52:CH58" si="268">(CG52+$B$49)*$G$3</f>
        <v>24</v>
      </c>
      <c r="CI52" s="30">
        <f t="shared" si="234"/>
        <v>27</v>
      </c>
      <c r="CJ52" s="150"/>
      <c r="CK52" s="284"/>
      <c r="CL52" s="1">
        <v>2</v>
      </c>
      <c r="CM52">
        <f t="shared" si="235"/>
        <v>0</v>
      </c>
      <c r="CN52" s="37">
        <f t="shared" ref="CN52:CN58" si="269">(CM52+$B$49)*$G$3</f>
        <v>24</v>
      </c>
      <c r="CO52" s="30">
        <f t="shared" si="236"/>
        <v>27</v>
      </c>
      <c r="CP52" s="150"/>
      <c r="CQ52" s="284"/>
      <c r="CR52" s="1">
        <v>2</v>
      </c>
      <c r="CS52">
        <f t="shared" si="237"/>
        <v>0</v>
      </c>
      <c r="CT52" s="37">
        <f t="shared" ref="CT52:CT58" si="270">(CS52+$B$49)*$G$3</f>
        <v>24</v>
      </c>
      <c r="CU52" s="30">
        <f t="shared" si="238"/>
        <v>27</v>
      </c>
      <c r="CV52" s="150"/>
      <c r="CW52" s="284"/>
      <c r="CX52" s="1">
        <v>2</v>
      </c>
      <c r="CY52">
        <f t="shared" si="239"/>
        <v>0</v>
      </c>
      <c r="CZ52" s="37">
        <f t="shared" ref="CZ52:CZ58" si="271">(CY52+$B$49)*$G$3</f>
        <v>24</v>
      </c>
      <c r="DA52" s="30">
        <f t="shared" si="240"/>
        <v>27</v>
      </c>
      <c r="DB52" s="150"/>
      <c r="DC52" s="287"/>
      <c r="DD52" s="201"/>
      <c r="DE52" s="294"/>
      <c r="DF52" s="1">
        <v>2</v>
      </c>
      <c r="DG52">
        <f t="shared" si="241"/>
        <v>0</v>
      </c>
      <c r="DH52" s="37">
        <f t="shared" ref="DH52:DH58" si="272">(DG52+$B$49)*$G$3</f>
        <v>24</v>
      </c>
      <c r="DI52" s="30">
        <f t="shared" si="242"/>
        <v>27</v>
      </c>
      <c r="DJ52" s="150"/>
      <c r="DK52" s="284"/>
      <c r="DL52" s="1">
        <v>2</v>
      </c>
      <c r="DM52">
        <f t="shared" si="243"/>
        <v>0</v>
      </c>
      <c r="DN52" s="37">
        <f t="shared" ref="DN52:DN58" si="273">(DM52+$B$49)*$G$3</f>
        <v>24</v>
      </c>
      <c r="DO52" s="30">
        <f t="shared" si="244"/>
        <v>27</v>
      </c>
      <c r="DP52" s="150"/>
      <c r="DQ52" s="284"/>
      <c r="DR52" s="1">
        <v>2</v>
      </c>
      <c r="DS52">
        <f t="shared" si="245"/>
        <v>0</v>
      </c>
      <c r="DT52" s="37">
        <f t="shared" ref="DT52:DT58" si="274">(DS52+$B$49)*$G$3</f>
        <v>24</v>
      </c>
      <c r="DU52" s="30">
        <f t="shared" si="246"/>
        <v>27</v>
      </c>
      <c r="DV52" s="150"/>
      <c r="DW52" s="287"/>
      <c r="DX52" s="201"/>
      <c r="DY52" s="294"/>
      <c r="DZ52" s="1">
        <v>2</v>
      </c>
      <c r="EA52">
        <f t="shared" si="247"/>
        <v>0</v>
      </c>
      <c r="EB52" s="37">
        <f t="shared" ref="EB52:EB58" si="275">(EA52+$B$49)*$G$3</f>
        <v>24</v>
      </c>
      <c r="EC52" s="30">
        <f t="shared" si="248"/>
        <v>27</v>
      </c>
      <c r="ED52" s="150"/>
      <c r="EE52" s="284"/>
      <c r="EF52" s="1">
        <v>2</v>
      </c>
      <c r="EG52">
        <f t="shared" si="249"/>
        <v>0</v>
      </c>
      <c r="EH52" s="37">
        <f t="shared" ref="EH52:EH58" si="276">(EG52+$B$49)*$G$3</f>
        <v>24</v>
      </c>
      <c r="EI52" s="30">
        <f t="shared" si="250"/>
        <v>27</v>
      </c>
      <c r="EJ52" s="150"/>
      <c r="EK52" s="284"/>
      <c r="EL52" s="1">
        <v>2</v>
      </c>
      <c r="EM52">
        <f t="shared" si="251"/>
        <v>0</v>
      </c>
      <c r="EN52" s="37">
        <f t="shared" ref="EN52:EN58" si="277">(EM52+$B$49)*$G$3</f>
        <v>24</v>
      </c>
      <c r="EO52" s="30">
        <f t="shared" si="252"/>
        <v>27</v>
      </c>
      <c r="EP52" s="150">
        <v>20</v>
      </c>
      <c r="EQ52" s="284"/>
      <c r="ER52" s="1">
        <v>2</v>
      </c>
      <c r="ES52">
        <f t="shared" si="253"/>
        <v>0</v>
      </c>
      <c r="ET52" s="37">
        <f t="shared" ref="ET52:ET58" si="278">(ES52+$B$49)*$G$3</f>
        <v>24</v>
      </c>
      <c r="EU52" s="30">
        <f t="shared" si="254"/>
        <v>27</v>
      </c>
      <c r="EV52" s="150"/>
      <c r="EW52" s="287"/>
      <c r="EX52" s="201"/>
    </row>
    <row r="53" spans="1:154" x14ac:dyDescent="0.45">
      <c r="A53" s="294"/>
      <c r="B53" s="1">
        <v>3</v>
      </c>
      <c r="C53">
        <f t="shared" si="255"/>
        <v>0</v>
      </c>
      <c r="D53" s="37">
        <f t="shared" si="256"/>
        <v>24</v>
      </c>
      <c r="E53" s="30">
        <f t="shared" si="210"/>
        <v>6</v>
      </c>
      <c r="F53" s="150">
        <v>4</v>
      </c>
      <c r="G53" s="287"/>
      <c r="H53" s="201"/>
      <c r="I53" s="294"/>
      <c r="J53" s="1">
        <v>3</v>
      </c>
      <c r="K53">
        <f t="shared" si="211"/>
        <v>0</v>
      </c>
      <c r="L53" s="37">
        <f t="shared" si="257"/>
        <v>24</v>
      </c>
      <c r="M53" s="30">
        <f t="shared" si="212"/>
        <v>6</v>
      </c>
      <c r="N53" s="150"/>
      <c r="O53" s="284"/>
      <c r="P53" s="1">
        <v>3</v>
      </c>
      <c r="Q53">
        <f t="shared" si="213"/>
        <v>0</v>
      </c>
      <c r="R53" s="37">
        <f t="shared" si="258"/>
        <v>24</v>
      </c>
      <c r="S53" s="30">
        <f t="shared" si="214"/>
        <v>6</v>
      </c>
      <c r="T53" s="150"/>
      <c r="U53" s="287"/>
      <c r="V53" s="201"/>
      <c r="W53" s="294"/>
      <c r="X53" s="1">
        <v>3</v>
      </c>
      <c r="Y53">
        <f t="shared" si="215"/>
        <v>0</v>
      </c>
      <c r="Z53" s="37">
        <f t="shared" si="259"/>
        <v>24</v>
      </c>
      <c r="AA53" s="30">
        <f t="shared" si="216"/>
        <v>6</v>
      </c>
      <c r="AB53" s="150"/>
      <c r="AC53" s="284"/>
      <c r="AD53" s="1">
        <v>3</v>
      </c>
      <c r="AE53">
        <f t="shared" si="217"/>
        <v>0</v>
      </c>
      <c r="AF53" s="37">
        <f t="shared" si="260"/>
        <v>24</v>
      </c>
      <c r="AG53" s="30">
        <f t="shared" si="218"/>
        <v>6</v>
      </c>
      <c r="AH53" s="150"/>
      <c r="AI53" s="284"/>
      <c r="AJ53" s="1">
        <v>3</v>
      </c>
      <c r="AK53">
        <f t="shared" si="219"/>
        <v>0</v>
      </c>
      <c r="AL53" s="37">
        <f t="shared" si="261"/>
        <v>24</v>
      </c>
      <c r="AM53" s="30">
        <f t="shared" si="220"/>
        <v>6</v>
      </c>
      <c r="AN53" s="150"/>
      <c r="AO53" s="287"/>
      <c r="AP53" s="201"/>
      <c r="AQ53" s="294"/>
      <c r="AR53" s="1">
        <v>3</v>
      </c>
      <c r="AS53">
        <f t="shared" si="221"/>
        <v>0</v>
      </c>
      <c r="AT53" s="37">
        <f t="shared" si="262"/>
        <v>24</v>
      </c>
      <c r="AU53" s="30">
        <f t="shared" si="222"/>
        <v>6</v>
      </c>
      <c r="AV53" s="150"/>
      <c r="AW53" s="284"/>
      <c r="AX53" s="1">
        <v>3</v>
      </c>
      <c r="AY53">
        <f t="shared" si="223"/>
        <v>0</v>
      </c>
      <c r="AZ53" s="37">
        <f t="shared" si="263"/>
        <v>24</v>
      </c>
      <c r="BA53" s="30">
        <f t="shared" si="224"/>
        <v>6</v>
      </c>
      <c r="BB53" s="150"/>
      <c r="BC53" s="287"/>
      <c r="BD53" s="201"/>
      <c r="BE53" s="294"/>
      <c r="BF53" s="1">
        <v>3</v>
      </c>
      <c r="BG53">
        <f t="shared" si="225"/>
        <v>0</v>
      </c>
      <c r="BH53" s="37">
        <f t="shared" si="264"/>
        <v>24</v>
      </c>
      <c r="BI53" s="30">
        <f t="shared" si="226"/>
        <v>6</v>
      </c>
      <c r="BJ53" s="150">
        <v>6</v>
      </c>
      <c r="BK53" s="284"/>
      <c r="BL53" s="1">
        <v>3</v>
      </c>
      <c r="BM53">
        <f t="shared" si="227"/>
        <v>0</v>
      </c>
      <c r="BN53" s="37">
        <f t="shared" si="265"/>
        <v>24</v>
      </c>
      <c r="BO53" s="30">
        <f t="shared" si="228"/>
        <v>6</v>
      </c>
      <c r="BP53" s="150"/>
      <c r="BQ53" s="284"/>
      <c r="BR53" s="1">
        <v>3</v>
      </c>
      <c r="BS53">
        <f t="shared" si="229"/>
        <v>0</v>
      </c>
      <c r="BT53" s="37">
        <f t="shared" si="266"/>
        <v>24</v>
      </c>
      <c r="BU53" s="30">
        <f t="shared" si="230"/>
        <v>6</v>
      </c>
      <c r="BV53" s="150"/>
      <c r="BW53" s="284"/>
      <c r="BX53" s="1">
        <v>3</v>
      </c>
      <c r="BY53">
        <f t="shared" si="231"/>
        <v>0</v>
      </c>
      <c r="BZ53" s="37">
        <f t="shared" si="267"/>
        <v>24</v>
      </c>
      <c r="CA53" s="30">
        <f t="shared" si="232"/>
        <v>6</v>
      </c>
      <c r="CB53" s="150"/>
      <c r="CC53" s="287"/>
      <c r="CD53" s="201"/>
      <c r="CE53" s="294"/>
      <c r="CF53" s="1">
        <v>3</v>
      </c>
      <c r="CG53">
        <f t="shared" si="233"/>
        <v>0</v>
      </c>
      <c r="CH53" s="37">
        <f t="shared" si="268"/>
        <v>24</v>
      </c>
      <c r="CI53" s="30">
        <f t="shared" si="234"/>
        <v>6</v>
      </c>
      <c r="CJ53" s="150"/>
      <c r="CK53" s="284"/>
      <c r="CL53" s="1">
        <v>3</v>
      </c>
      <c r="CM53">
        <f t="shared" si="235"/>
        <v>0</v>
      </c>
      <c r="CN53" s="37">
        <f t="shared" si="269"/>
        <v>24</v>
      </c>
      <c r="CO53" s="30">
        <f t="shared" si="236"/>
        <v>6</v>
      </c>
      <c r="CP53" s="150"/>
      <c r="CQ53" s="284"/>
      <c r="CR53" s="1">
        <v>3</v>
      </c>
      <c r="CS53">
        <f t="shared" si="237"/>
        <v>0</v>
      </c>
      <c r="CT53" s="37">
        <f t="shared" si="270"/>
        <v>24</v>
      </c>
      <c r="CU53" s="30">
        <f t="shared" si="238"/>
        <v>6</v>
      </c>
      <c r="CV53" s="150"/>
      <c r="CW53" s="284"/>
      <c r="CX53" s="1">
        <v>3</v>
      </c>
      <c r="CY53">
        <f t="shared" si="239"/>
        <v>0</v>
      </c>
      <c r="CZ53" s="37">
        <f t="shared" si="271"/>
        <v>24</v>
      </c>
      <c r="DA53" s="30">
        <f t="shared" si="240"/>
        <v>6</v>
      </c>
      <c r="DB53" s="150"/>
      <c r="DC53" s="287"/>
      <c r="DD53" s="201"/>
      <c r="DE53" s="294"/>
      <c r="DF53" s="1">
        <v>3</v>
      </c>
      <c r="DG53">
        <f t="shared" si="241"/>
        <v>0</v>
      </c>
      <c r="DH53" s="37">
        <f t="shared" si="272"/>
        <v>24</v>
      </c>
      <c r="DI53" s="30">
        <f t="shared" si="242"/>
        <v>6</v>
      </c>
      <c r="DJ53" s="150"/>
      <c r="DK53" s="284"/>
      <c r="DL53" s="1">
        <v>3</v>
      </c>
      <c r="DM53">
        <f t="shared" si="243"/>
        <v>0</v>
      </c>
      <c r="DN53" s="37">
        <f t="shared" si="273"/>
        <v>24</v>
      </c>
      <c r="DO53" s="30">
        <f t="shared" si="244"/>
        <v>6</v>
      </c>
      <c r="DP53" s="150"/>
      <c r="DQ53" s="284"/>
      <c r="DR53" s="1">
        <v>3</v>
      </c>
      <c r="DS53">
        <f t="shared" si="245"/>
        <v>0</v>
      </c>
      <c r="DT53" s="37">
        <f t="shared" si="274"/>
        <v>24</v>
      </c>
      <c r="DU53" s="30">
        <f t="shared" si="246"/>
        <v>6</v>
      </c>
      <c r="DV53" s="150"/>
      <c r="DW53" s="287"/>
      <c r="DX53" s="201"/>
      <c r="DY53" s="294"/>
      <c r="DZ53" s="1">
        <v>3</v>
      </c>
      <c r="EA53">
        <f t="shared" si="247"/>
        <v>0</v>
      </c>
      <c r="EB53" s="37">
        <f t="shared" si="275"/>
        <v>24</v>
      </c>
      <c r="EC53" s="30">
        <f t="shared" si="248"/>
        <v>6</v>
      </c>
      <c r="ED53" s="150"/>
      <c r="EE53" s="284"/>
      <c r="EF53" s="1">
        <v>3</v>
      </c>
      <c r="EG53">
        <f t="shared" si="249"/>
        <v>0</v>
      </c>
      <c r="EH53" s="37">
        <f t="shared" si="276"/>
        <v>24</v>
      </c>
      <c r="EI53" s="30">
        <f t="shared" si="250"/>
        <v>6</v>
      </c>
      <c r="EJ53" s="150"/>
      <c r="EK53" s="284"/>
      <c r="EL53" s="1">
        <v>3</v>
      </c>
      <c r="EM53">
        <f t="shared" si="251"/>
        <v>0</v>
      </c>
      <c r="EN53" s="37">
        <f t="shared" si="277"/>
        <v>24</v>
      </c>
      <c r="EO53" s="30">
        <f t="shared" si="252"/>
        <v>6</v>
      </c>
      <c r="EP53" s="150"/>
      <c r="EQ53" s="284"/>
      <c r="ER53" s="1">
        <v>3</v>
      </c>
      <c r="ES53">
        <f t="shared" si="253"/>
        <v>0</v>
      </c>
      <c r="ET53" s="37">
        <f t="shared" si="278"/>
        <v>24</v>
      </c>
      <c r="EU53" s="30">
        <f t="shared" si="254"/>
        <v>6</v>
      </c>
      <c r="EV53" s="150"/>
      <c r="EW53" s="287"/>
      <c r="EX53" s="201"/>
    </row>
    <row r="54" spans="1:154" s="181" customFormat="1" x14ac:dyDescent="0.45">
      <c r="A54" s="294"/>
      <c r="B54" s="180">
        <v>4</v>
      </c>
      <c r="C54" s="181">
        <f t="shared" si="255"/>
        <v>0</v>
      </c>
      <c r="D54" s="37">
        <f t="shared" si="256"/>
        <v>24</v>
      </c>
      <c r="E54" s="30">
        <f t="shared" si="210"/>
        <v>2</v>
      </c>
      <c r="F54" s="188">
        <v>3</v>
      </c>
      <c r="G54" s="287"/>
      <c r="H54" s="201"/>
      <c r="I54" s="294"/>
      <c r="J54" s="180">
        <v>4</v>
      </c>
      <c r="K54" s="181">
        <f t="shared" si="211"/>
        <v>1</v>
      </c>
      <c r="L54" s="37">
        <f t="shared" si="257"/>
        <v>32</v>
      </c>
      <c r="M54" s="30">
        <f t="shared" si="212"/>
        <v>10</v>
      </c>
      <c r="N54" s="188"/>
      <c r="O54" s="284"/>
      <c r="P54" s="180">
        <v>4</v>
      </c>
      <c r="Q54" s="181">
        <f t="shared" si="213"/>
        <v>1</v>
      </c>
      <c r="R54" s="37">
        <f t="shared" si="258"/>
        <v>32</v>
      </c>
      <c r="S54" s="30">
        <f t="shared" si="214"/>
        <v>10</v>
      </c>
      <c r="T54" s="188">
        <v>13</v>
      </c>
      <c r="U54" s="287"/>
      <c r="V54" s="201"/>
      <c r="W54" s="294"/>
      <c r="X54" s="180">
        <v>4</v>
      </c>
      <c r="Y54" s="181">
        <f t="shared" si="215"/>
        <v>2</v>
      </c>
      <c r="Z54" s="37">
        <f t="shared" si="259"/>
        <v>40</v>
      </c>
      <c r="AA54" s="30">
        <f t="shared" si="216"/>
        <v>18</v>
      </c>
      <c r="AB54" s="188"/>
      <c r="AC54" s="284"/>
      <c r="AD54" s="180">
        <v>4</v>
      </c>
      <c r="AE54" s="181">
        <f t="shared" si="217"/>
        <v>2</v>
      </c>
      <c r="AF54" s="37">
        <f t="shared" si="260"/>
        <v>40</v>
      </c>
      <c r="AG54" s="30">
        <f t="shared" si="218"/>
        <v>18</v>
      </c>
      <c r="AH54" s="188"/>
      <c r="AI54" s="284"/>
      <c r="AJ54" s="180">
        <v>4</v>
      </c>
      <c r="AK54" s="181">
        <f t="shared" si="219"/>
        <v>2</v>
      </c>
      <c r="AL54" s="37">
        <f t="shared" si="261"/>
        <v>40</v>
      </c>
      <c r="AM54" s="30">
        <f t="shared" si="220"/>
        <v>18</v>
      </c>
      <c r="AN54" s="188">
        <v>19</v>
      </c>
      <c r="AO54" s="287"/>
      <c r="AP54" s="201"/>
      <c r="AQ54" s="294"/>
      <c r="AR54" s="180">
        <v>4</v>
      </c>
      <c r="AS54" s="181">
        <f t="shared" si="221"/>
        <v>3</v>
      </c>
      <c r="AT54" s="37">
        <f t="shared" si="262"/>
        <v>48</v>
      </c>
      <c r="AU54" s="30">
        <f t="shared" si="222"/>
        <v>26</v>
      </c>
      <c r="AV54" s="188">
        <v>5</v>
      </c>
      <c r="AW54" s="284"/>
      <c r="AX54" s="180">
        <v>4</v>
      </c>
      <c r="AY54" s="181">
        <f t="shared" si="223"/>
        <v>4</v>
      </c>
      <c r="AZ54" s="37">
        <f t="shared" si="263"/>
        <v>56</v>
      </c>
      <c r="BA54" s="30">
        <f t="shared" si="224"/>
        <v>2</v>
      </c>
      <c r="BB54" s="188"/>
      <c r="BC54" s="287"/>
      <c r="BD54" s="201"/>
      <c r="BE54" s="294"/>
      <c r="BF54" s="180">
        <v>4</v>
      </c>
      <c r="BG54" s="181">
        <f t="shared" si="225"/>
        <v>4</v>
      </c>
      <c r="BH54" s="37">
        <f t="shared" si="264"/>
        <v>56</v>
      </c>
      <c r="BI54" s="30">
        <f t="shared" si="226"/>
        <v>2</v>
      </c>
      <c r="BJ54" s="188">
        <v>5</v>
      </c>
      <c r="BK54" s="284"/>
      <c r="BL54" s="180">
        <v>4</v>
      </c>
      <c r="BM54" s="181">
        <f t="shared" si="227"/>
        <v>5</v>
      </c>
      <c r="BN54" s="37">
        <f t="shared" si="265"/>
        <v>64</v>
      </c>
      <c r="BO54" s="30">
        <f t="shared" si="228"/>
        <v>10</v>
      </c>
      <c r="BP54" s="188"/>
      <c r="BQ54" s="284"/>
      <c r="BR54" s="180">
        <v>4</v>
      </c>
      <c r="BS54" s="181">
        <f t="shared" si="229"/>
        <v>5</v>
      </c>
      <c r="BT54" s="37">
        <f t="shared" si="266"/>
        <v>64</v>
      </c>
      <c r="BU54" s="30">
        <f t="shared" si="230"/>
        <v>10</v>
      </c>
      <c r="BV54" s="188">
        <v>23</v>
      </c>
      <c r="BW54" s="284"/>
      <c r="BX54" s="180">
        <v>4</v>
      </c>
      <c r="BY54" s="181">
        <f t="shared" si="231"/>
        <v>6</v>
      </c>
      <c r="BZ54" s="37">
        <f t="shared" si="267"/>
        <v>72</v>
      </c>
      <c r="CA54" s="30">
        <f t="shared" si="232"/>
        <v>18</v>
      </c>
      <c r="CB54" s="188"/>
      <c r="CC54" s="287"/>
      <c r="CD54" s="201"/>
      <c r="CE54" s="294"/>
      <c r="CF54" s="180">
        <v>4</v>
      </c>
      <c r="CG54" s="181">
        <f t="shared" si="233"/>
        <v>6</v>
      </c>
      <c r="CH54" s="37">
        <f t="shared" si="268"/>
        <v>72</v>
      </c>
      <c r="CI54" s="30">
        <f t="shared" si="234"/>
        <v>18</v>
      </c>
      <c r="CJ54" s="188"/>
      <c r="CK54" s="284"/>
      <c r="CL54" s="180">
        <v>4</v>
      </c>
      <c r="CM54" s="181">
        <f t="shared" si="235"/>
        <v>6</v>
      </c>
      <c r="CN54" s="37">
        <f t="shared" si="269"/>
        <v>72</v>
      </c>
      <c r="CO54" s="30">
        <f t="shared" si="236"/>
        <v>18</v>
      </c>
      <c r="CP54" s="188"/>
      <c r="CQ54" s="284"/>
      <c r="CR54" s="180">
        <v>4</v>
      </c>
      <c r="CS54" s="181">
        <f t="shared" si="237"/>
        <v>6</v>
      </c>
      <c r="CT54" s="37">
        <f t="shared" si="270"/>
        <v>72</v>
      </c>
      <c r="CU54" s="30">
        <f t="shared" si="238"/>
        <v>18</v>
      </c>
      <c r="CV54" s="188"/>
      <c r="CW54" s="284"/>
      <c r="CX54" s="180">
        <v>4</v>
      </c>
      <c r="CY54" s="181">
        <f t="shared" si="239"/>
        <v>6</v>
      </c>
      <c r="CZ54" s="37">
        <f t="shared" si="271"/>
        <v>72</v>
      </c>
      <c r="DA54" s="30">
        <f t="shared" si="240"/>
        <v>18</v>
      </c>
      <c r="DB54" s="188">
        <v>31</v>
      </c>
      <c r="DC54" s="287"/>
      <c r="DD54" s="201"/>
      <c r="DE54" s="294"/>
      <c r="DF54" s="180">
        <v>4</v>
      </c>
      <c r="DG54" s="181">
        <f t="shared" si="241"/>
        <v>6</v>
      </c>
      <c r="DH54" s="37">
        <f t="shared" si="272"/>
        <v>72</v>
      </c>
      <c r="DI54" s="30">
        <f t="shared" si="242"/>
        <v>18</v>
      </c>
      <c r="DJ54" s="188">
        <v>3</v>
      </c>
      <c r="DK54" s="284"/>
      <c r="DL54" s="180">
        <v>4</v>
      </c>
      <c r="DM54" s="181">
        <f t="shared" si="243"/>
        <v>7</v>
      </c>
      <c r="DN54" s="37">
        <f t="shared" si="273"/>
        <v>80</v>
      </c>
      <c r="DO54" s="30">
        <f t="shared" si="244"/>
        <v>26</v>
      </c>
      <c r="DP54" s="188"/>
      <c r="DQ54" s="284"/>
      <c r="DR54" s="180">
        <v>4</v>
      </c>
      <c r="DS54" s="181">
        <f t="shared" si="245"/>
        <v>7</v>
      </c>
      <c r="DT54" s="37">
        <f t="shared" si="274"/>
        <v>80</v>
      </c>
      <c r="DU54" s="30">
        <f t="shared" si="246"/>
        <v>26</v>
      </c>
      <c r="DV54" s="188"/>
      <c r="DW54" s="287"/>
      <c r="DX54" s="201"/>
      <c r="DY54" s="294"/>
      <c r="DZ54" s="180">
        <v>4</v>
      </c>
      <c r="EA54" s="181">
        <f t="shared" si="247"/>
        <v>7</v>
      </c>
      <c r="EB54" s="37">
        <f t="shared" si="275"/>
        <v>80</v>
      </c>
      <c r="EC54" s="30">
        <f t="shared" si="248"/>
        <v>26</v>
      </c>
      <c r="ED54" s="188"/>
      <c r="EE54" s="284"/>
      <c r="EF54" s="180">
        <v>4</v>
      </c>
      <c r="EG54" s="181">
        <f t="shared" si="249"/>
        <v>7</v>
      </c>
      <c r="EH54" s="37">
        <f t="shared" si="276"/>
        <v>80</v>
      </c>
      <c r="EI54" s="30">
        <f t="shared" si="250"/>
        <v>26</v>
      </c>
      <c r="EJ54" s="188"/>
      <c r="EK54" s="284"/>
      <c r="EL54" s="180">
        <v>4</v>
      </c>
      <c r="EM54" s="181">
        <f t="shared" si="251"/>
        <v>7</v>
      </c>
      <c r="EN54" s="37">
        <f t="shared" si="277"/>
        <v>80</v>
      </c>
      <c r="EO54" s="30">
        <f t="shared" si="252"/>
        <v>26</v>
      </c>
      <c r="EP54" s="188">
        <v>19</v>
      </c>
      <c r="EQ54" s="284"/>
      <c r="ER54" s="180">
        <v>4</v>
      </c>
      <c r="ES54" s="181">
        <f t="shared" si="253"/>
        <v>8</v>
      </c>
      <c r="ET54" s="37">
        <f t="shared" si="278"/>
        <v>88</v>
      </c>
      <c r="EU54" s="30">
        <f t="shared" si="254"/>
        <v>2</v>
      </c>
      <c r="EV54" s="188"/>
      <c r="EW54" s="287"/>
      <c r="EX54" s="201"/>
    </row>
    <row r="55" spans="1:154" x14ac:dyDescent="0.45">
      <c r="A55" s="294"/>
      <c r="B55" s="1">
        <v>5</v>
      </c>
      <c r="C55">
        <f t="shared" si="255"/>
        <v>0</v>
      </c>
      <c r="D55" s="37">
        <f t="shared" si="256"/>
        <v>24</v>
      </c>
      <c r="E55" s="30">
        <f t="shared" si="210"/>
        <v>12</v>
      </c>
      <c r="F55" s="150"/>
      <c r="G55" s="287"/>
      <c r="H55" s="201"/>
      <c r="I55" s="294"/>
      <c r="J55" s="1">
        <v>5</v>
      </c>
      <c r="K55">
        <f t="shared" si="211"/>
        <v>0</v>
      </c>
      <c r="L55" s="37">
        <f t="shared" si="257"/>
        <v>24</v>
      </c>
      <c r="M55" s="30">
        <f t="shared" si="212"/>
        <v>12</v>
      </c>
      <c r="N55" s="150"/>
      <c r="O55" s="284"/>
      <c r="P55" s="1">
        <v>5</v>
      </c>
      <c r="Q55">
        <f t="shared" si="213"/>
        <v>0</v>
      </c>
      <c r="R55" s="37">
        <f t="shared" si="258"/>
        <v>24</v>
      </c>
      <c r="S55" s="30">
        <f t="shared" si="214"/>
        <v>12</v>
      </c>
      <c r="T55" s="150">
        <v>14</v>
      </c>
      <c r="U55" s="287"/>
      <c r="V55" s="201"/>
      <c r="W55" s="294"/>
      <c r="X55" s="1">
        <v>5</v>
      </c>
      <c r="Y55">
        <f t="shared" si="215"/>
        <v>0</v>
      </c>
      <c r="Z55" s="37">
        <f t="shared" si="259"/>
        <v>24</v>
      </c>
      <c r="AA55" s="30">
        <f t="shared" si="216"/>
        <v>12</v>
      </c>
      <c r="AB55" s="150"/>
      <c r="AC55" s="284"/>
      <c r="AD55" s="1">
        <v>5</v>
      </c>
      <c r="AE55">
        <f t="shared" si="217"/>
        <v>0</v>
      </c>
      <c r="AF55" s="37">
        <f t="shared" si="260"/>
        <v>24</v>
      </c>
      <c r="AG55" s="30">
        <f t="shared" si="218"/>
        <v>12</v>
      </c>
      <c r="AH55" s="150"/>
      <c r="AI55" s="284"/>
      <c r="AJ55" s="1">
        <v>5</v>
      </c>
      <c r="AK55">
        <f t="shared" si="219"/>
        <v>0</v>
      </c>
      <c r="AL55" s="37">
        <f t="shared" si="261"/>
        <v>24</v>
      </c>
      <c r="AM55" s="30">
        <f t="shared" si="220"/>
        <v>12</v>
      </c>
      <c r="AN55" s="150"/>
      <c r="AO55" s="287"/>
      <c r="AP55" s="201"/>
      <c r="AQ55" s="294"/>
      <c r="AR55" s="1">
        <v>5</v>
      </c>
      <c r="AS55">
        <f t="shared" si="221"/>
        <v>0</v>
      </c>
      <c r="AT55" s="37">
        <f t="shared" si="262"/>
        <v>24</v>
      </c>
      <c r="AU55" s="30">
        <f t="shared" si="222"/>
        <v>12</v>
      </c>
      <c r="AV55" s="150"/>
      <c r="AW55" s="284"/>
      <c r="AX55" s="1">
        <v>5</v>
      </c>
      <c r="AY55">
        <f t="shared" si="223"/>
        <v>0</v>
      </c>
      <c r="AZ55" s="37">
        <f t="shared" si="263"/>
        <v>24</v>
      </c>
      <c r="BA55" s="30">
        <f t="shared" si="224"/>
        <v>12</v>
      </c>
      <c r="BB55" s="150"/>
      <c r="BC55" s="287"/>
      <c r="BD55" s="201"/>
      <c r="BE55" s="294"/>
      <c r="BF55" s="1">
        <v>5</v>
      </c>
      <c r="BG55">
        <f t="shared" si="225"/>
        <v>0</v>
      </c>
      <c r="BH55" s="37">
        <f t="shared" si="264"/>
        <v>24</v>
      </c>
      <c r="BI55" s="30">
        <f t="shared" si="226"/>
        <v>12</v>
      </c>
      <c r="BJ55" s="150"/>
      <c r="BK55" s="284"/>
      <c r="BL55" s="1">
        <v>5</v>
      </c>
      <c r="BM55">
        <f t="shared" si="227"/>
        <v>0</v>
      </c>
      <c r="BN55" s="37">
        <f t="shared" si="265"/>
        <v>24</v>
      </c>
      <c r="BO55" s="30">
        <f t="shared" si="228"/>
        <v>12</v>
      </c>
      <c r="BP55" s="150"/>
      <c r="BQ55" s="284"/>
      <c r="BR55" s="1">
        <v>5</v>
      </c>
      <c r="BS55">
        <f t="shared" si="229"/>
        <v>0</v>
      </c>
      <c r="BT55" s="37">
        <f t="shared" si="266"/>
        <v>24</v>
      </c>
      <c r="BU55" s="30">
        <f t="shared" si="230"/>
        <v>12</v>
      </c>
      <c r="BV55" s="150">
        <v>24</v>
      </c>
      <c r="BW55" s="284"/>
      <c r="BX55" s="1">
        <v>5</v>
      </c>
      <c r="BY55">
        <f t="shared" si="231"/>
        <v>0</v>
      </c>
      <c r="BZ55" s="37">
        <f t="shared" si="267"/>
        <v>24</v>
      </c>
      <c r="CA55" s="30">
        <f t="shared" si="232"/>
        <v>12</v>
      </c>
      <c r="CB55" s="150"/>
      <c r="CC55" s="287"/>
      <c r="CD55" s="201"/>
      <c r="CE55" s="294"/>
      <c r="CF55" s="1">
        <v>5</v>
      </c>
      <c r="CG55">
        <f t="shared" si="233"/>
        <v>0</v>
      </c>
      <c r="CH55" s="37">
        <f t="shared" si="268"/>
        <v>24</v>
      </c>
      <c r="CI55" s="30">
        <f t="shared" si="234"/>
        <v>12</v>
      </c>
      <c r="CJ55" s="150"/>
      <c r="CK55" s="284"/>
      <c r="CL55" s="1">
        <v>5</v>
      </c>
      <c r="CM55">
        <f t="shared" si="235"/>
        <v>0</v>
      </c>
      <c r="CN55" s="37">
        <f t="shared" si="269"/>
        <v>24</v>
      </c>
      <c r="CO55" s="30">
        <f t="shared" si="236"/>
        <v>12</v>
      </c>
      <c r="CP55" s="150"/>
      <c r="CQ55" s="284"/>
      <c r="CR55" s="1">
        <v>5</v>
      </c>
      <c r="CS55">
        <f t="shared" si="237"/>
        <v>0</v>
      </c>
      <c r="CT55" s="37">
        <f t="shared" si="270"/>
        <v>24</v>
      </c>
      <c r="CU55" s="30">
        <f t="shared" si="238"/>
        <v>12</v>
      </c>
      <c r="CV55" s="150"/>
      <c r="CW55" s="284"/>
      <c r="CX55" s="1">
        <v>5</v>
      </c>
      <c r="CY55">
        <f t="shared" si="239"/>
        <v>0</v>
      </c>
      <c r="CZ55" s="37">
        <f t="shared" si="271"/>
        <v>24</v>
      </c>
      <c r="DA55" s="30">
        <f t="shared" si="240"/>
        <v>12</v>
      </c>
      <c r="DB55" s="150"/>
      <c r="DC55" s="287"/>
      <c r="DD55" s="201"/>
      <c r="DE55" s="294"/>
      <c r="DF55" s="1">
        <v>5</v>
      </c>
      <c r="DG55">
        <f t="shared" si="241"/>
        <v>0</v>
      </c>
      <c r="DH55" s="37">
        <f t="shared" si="272"/>
        <v>24</v>
      </c>
      <c r="DI55" s="30">
        <f t="shared" si="242"/>
        <v>12</v>
      </c>
      <c r="DJ55" s="150"/>
      <c r="DK55" s="284"/>
      <c r="DL55" s="1">
        <v>5</v>
      </c>
      <c r="DM55">
        <f t="shared" si="243"/>
        <v>0</v>
      </c>
      <c r="DN55" s="37">
        <f t="shared" si="273"/>
        <v>24</v>
      </c>
      <c r="DO55" s="30">
        <f t="shared" si="244"/>
        <v>12</v>
      </c>
      <c r="DP55" s="150"/>
      <c r="DQ55" s="284"/>
      <c r="DR55" s="1">
        <v>5</v>
      </c>
      <c r="DS55">
        <f t="shared" si="245"/>
        <v>0</v>
      </c>
      <c r="DT55" s="37">
        <f t="shared" si="274"/>
        <v>24</v>
      </c>
      <c r="DU55" s="30">
        <f t="shared" si="246"/>
        <v>12</v>
      </c>
      <c r="DV55" s="150"/>
      <c r="DW55" s="287"/>
      <c r="DX55" s="201"/>
      <c r="DY55" s="294"/>
      <c r="DZ55" s="1">
        <v>5</v>
      </c>
      <c r="EA55">
        <f t="shared" si="247"/>
        <v>0</v>
      </c>
      <c r="EB55" s="37">
        <f t="shared" si="275"/>
        <v>24</v>
      </c>
      <c r="EC55" s="30">
        <f t="shared" si="248"/>
        <v>12</v>
      </c>
      <c r="ED55" s="150"/>
      <c r="EE55" s="284"/>
      <c r="EF55" s="1">
        <v>5</v>
      </c>
      <c r="EG55">
        <f t="shared" si="249"/>
        <v>0</v>
      </c>
      <c r="EH55" s="37">
        <f t="shared" si="276"/>
        <v>24</v>
      </c>
      <c r="EI55" s="30">
        <f t="shared" si="250"/>
        <v>12</v>
      </c>
      <c r="EJ55" s="150"/>
      <c r="EK55" s="284"/>
      <c r="EL55" s="1">
        <v>5</v>
      </c>
      <c r="EM55">
        <f t="shared" si="251"/>
        <v>0</v>
      </c>
      <c r="EN55" s="37">
        <f t="shared" si="277"/>
        <v>24</v>
      </c>
      <c r="EO55" s="30">
        <f t="shared" si="252"/>
        <v>12</v>
      </c>
      <c r="EP55" s="150"/>
      <c r="EQ55" s="284"/>
      <c r="ER55" s="1">
        <v>5</v>
      </c>
      <c r="ES55">
        <f t="shared" si="253"/>
        <v>0</v>
      </c>
      <c r="ET55" s="37">
        <f t="shared" si="278"/>
        <v>24</v>
      </c>
      <c r="EU55" s="30">
        <f t="shared" si="254"/>
        <v>12</v>
      </c>
      <c r="EV55" s="150"/>
      <c r="EW55" s="287"/>
      <c r="EX55" s="201"/>
    </row>
    <row r="56" spans="1:154" x14ac:dyDescent="0.45">
      <c r="A56" s="294"/>
      <c r="B56" s="1">
        <v>6</v>
      </c>
      <c r="C56">
        <f t="shared" si="255"/>
        <v>0</v>
      </c>
      <c r="D56" s="37">
        <f t="shared" si="256"/>
        <v>24</v>
      </c>
      <c r="E56" s="30">
        <f t="shared" si="210"/>
        <v>8</v>
      </c>
      <c r="F56" s="150"/>
      <c r="G56" s="287"/>
      <c r="H56" s="201"/>
      <c r="I56" s="294"/>
      <c r="J56" s="1">
        <v>6</v>
      </c>
      <c r="K56">
        <f t="shared" si="211"/>
        <v>0</v>
      </c>
      <c r="L56" s="37">
        <f t="shared" si="257"/>
        <v>24</v>
      </c>
      <c r="M56" s="30">
        <f t="shared" si="212"/>
        <v>8</v>
      </c>
      <c r="N56" s="150"/>
      <c r="O56" s="284"/>
      <c r="P56" s="1">
        <v>6</v>
      </c>
      <c r="Q56">
        <f t="shared" si="213"/>
        <v>0</v>
      </c>
      <c r="R56" s="37">
        <f t="shared" si="258"/>
        <v>24</v>
      </c>
      <c r="S56" s="30">
        <f t="shared" si="214"/>
        <v>8</v>
      </c>
      <c r="T56" s="150"/>
      <c r="U56" s="287"/>
      <c r="V56" s="201"/>
      <c r="W56" s="294"/>
      <c r="X56" s="1">
        <v>6</v>
      </c>
      <c r="Y56">
        <f t="shared" si="215"/>
        <v>0</v>
      </c>
      <c r="Z56" s="37">
        <f t="shared" si="259"/>
        <v>24</v>
      </c>
      <c r="AA56" s="30">
        <f t="shared" si="216"/>
        <v>8</v>
      </c>
      <c r="AB56" s="150"/>
      <c r="AC56" s="284"/>
      <c r="AD56" s="1">
        <v>6</v>
      </c>
      <c r="AE56">
        <f t="shared" si="217"/>
        <v>0</v>
      </c>
      <c r="AF56" s="37">
        <f t="shared" si="260"/>
        <v>24</v>
      </c>
      <c r="AG56" s="30">
        <f t="shared" si="218"/>
        <v>8</v>
      </c>
      <c r="AH56" s="150"/>
      <c r="AI56" s="284"/>
      <c r="AJ56" s="1">
        <v>6</v>
      </c>
      <c r="AK56">
        <f t="shared" si="219"/>
        <v>0</v>
      </c>
      <c r="AL56" s="37">
        <f t="shared" si="261"/>
        <v>24</v>
      </c>
      <c r="AM56" s="30">
        <f t="shared" si="220"/>
        <v>8</v>
      </c>
      <c r="AN56" s="150"/>
      <c r="AO56" s="287"/>
      <c r="AP56" s="201"/>
      <c r="AQ56" s="294"/>
      <c r="AR56" s="1">
        <v>6</v>
      </c>
      <c r="AS56">
        <f t="shared" si="221"/>
        <v>0</v>
      </c>
      <c r="AT56" s="37">
        <f t="shared" si="262"/>
        <v>24</v>
      </c>
      <c r="AU56" s="30">
        <f t="shared" si="222"/>
        <v>8</v>
      </c>
      <c r="AV56" s="150"/>
      <c r="AW56" s="284"/>
      <c r="AX56" s="1">
        <v>6</v>
      </c>
      <c r="AY56">
        <f t="shared" si="223"/>
        <v>0</v>
      </c>
      <c r="AZ56" s="37">
        <f t="shared" si="263"/>
        <v>24</v>
      </c>
      <c r="BA56" s="30">
        <f t="shared" si="224"/>
        <v>8</v>
      </c>
      <c r="BB56" s="150"/>
      <c r="BC56" s="287"/>
      <c r="BD56" s="201"/>
      <c r="BE56" s="294"/>
      <c r="BF56" s="1">
        <v>6</v>
      </c>
      <c r="BG56">
        <f t="shared" si="225"/>
        <v>0</v>
      </c>
      <c r="BH56" s="37">
        <f t="shared" si="264"/>
        <v>24</v>
      </c>
      <c r="BI56" s="30">
        <f t="shared" si="226"/>
        <v>8</v>
      </c>
      <c r="BJ56" s="150"/>
      <c r="BK56" s="284"/>
      <c r="BL56" s="1">
        <v>6</v>
      </c>
      <c r="BM56">
        <f t="shared" si="227"/>
        <v>0</v>
      </c>
      <c r="BN56" s="37">
        <f t="shared" si="265"/>
        <v>24</v>
      </c>
      <c r="BO56" s="30">
        <f t="shared" si="228"/>
        <v>8</v>
      </c>
      <c r="BP56" s="150"/>
      <c r="BQ56" s="284"/>
      <c r="BR56" s="1">
        <v>6</v>
      </c>
      <c r="BS56">
        <f t="shared" si="229"/>
        <v>0</v>
      </c>
      <c r="BT56" s="37">
        <f t="shared" si="266"/>
        <v>24</v>
      </c>
      <c r="BU56" s="30">
        <f t="shared" si="230"/>
        <v>8</v>
      </c>
      <c r="BV56" s="150"/>
      <c r="BW56" s="284"/>
      <c r="BX56" s="1">
        <v>6</v>
      </c>
      <c r="BY56">
        <f t="shared" si="231"/>
        <v>0</v>
      </c>
      <c r="BZ56" s="37">
        <f t="shared" si="267"/>
        <v>24</v>
      </c>
      <c r="CA56" s="30">
        <f t="shared" si="232"/>
        <v>8</v>
      </c>
      <c r="CB56" s="150"/>
      <c r="CC56" s="287"/>
      <c r="CD56" s="201"/>
      <c r="CE56" s="294"/>
      <c r="CF56" s="1">
        <v>6</v>
      </c>
      <c r="CG56">
        <f t="shared" si="233"/>
        <v>0</v>
      </c>
      <c r="CH56" s="37">
        <f t="shared" si="268"/>
        <v>24</v>
      </c>
      <c r="CI56" s="30">
        <f t="shared" si="234"/>
        <v>8</v>
      </c>
      <c r="CJ56" s="150"/>
      <c r="CK56" s="284"/>
      <c r="CL56" s="1">
        <v>6</v>
      </c>
      <c r="CM56">
        <f t="shared" si="235"/>
        <v>0</v>
      </c>
      <c r="CN56" s="37">
        <f t="shared" si="269"/>
        <v>24</v>
      </c>
      <c r="CO56" s="30">
        <f t="shared" si="236"/>
        <v>8</v>
      </c>
      <c r="CP56" s="150"/>
      <c r="CQ56" s="284"/>
      <c r="CR56" s="1">
        <v>6</v>
      </c>
      <c r="CS56">
        <f t="shared" si="237"/>
        <v>0</v>
      </c>
      <c r="CT56" s="37">
        <f t="shared" si="270"/>
        <v>24</v>
      </c>
      <c r="CU56" s="30">
        <f t="shared" si="238"/>
        <v>8</v>
      </c>
      <c r="CV56" s="150"/>
      <c r="CW56" s="284"/>
      <c r="CX56" s="1">
        <v>6</v>
      </c>
      <c r="CY56">
        <f t="shared" si="239"/>
        <v>0</v>
      </c>
      <c r="CZ56" s="37">
        <f t="shared" si="271"/>
        <v>24</v>
      </c>
      <c r="DA56" s="30">
        <f t="shared" si="240"/>
        <v>8</v>
      </c>
      <c r="DB56" s="150"/>
      <c r="DC56" s="287"/>
      <c r="DD56" s="201"/>
      <c r="DE56" s="294"/>
      <c r="DF56" s="1">
        <v>6</v>
      </c>
      <c r="DG56">
        <f t="shared" si="241"/>
        <v>0</v>
      </c>
      <c r="DH56" s="37">
        <f t="shared" si="272"/>
        <v>24</v>
      </c>
      <c r="DI56" s="30">
        <f t="shared" si="242"/>
        <v>8</v>
      </c>
      <c r="DJ56" s="150"/>
      <c r="DK56" s="284"/>
      <c r="DL56" s="1">
        <v>6</v>
      </c>
      <c r="DM56">
        <f t="shared" si="243"/>
        <v>0</v>
      </c>
      <c r="DN56" s="37">
        <f t="shared" si="273"/>
        <v>24</v>
      </c>
      <c r="DO56" s="30">
        <f t="shared" si="244"/>
        <v>8</v>
      </c>
      <c r="DP56" s="150"/>
      <c r="DQ56" s="284"/>
      <c r="DR56" s="1">
        <v>6</v>
      </c>
      <c r="DS56">
        <f t="shared" si="245"/>
        <v>0</v>
      </c>
      <c r="DT56" s="37">
        <f t="shared" si="274"/>
        <v>24</v>
      </c>
      <c r="DU56" s="30">
        <f t="shared" si="246"/>
        <v>8</v>
      </c>
      <c r="DV56" s="150"/>
      <c r="DW56" s="287"/>
      <c r="DX56" s="201"/>
      <c r="DY56" s="294"/>
      <c r="DZ56" s="1">
        <v>6</v>
      </c>
      <c r="EA56">
        <f t="shared" si="247"/>
        <v>0</v>
      </c>
      <c r="EB56" s="37">
        <f t="shared" si="275"/>
        <v>24</v>
      </c>
      <c r="EC56" s="30">
        <f t="shared" si="248"/>
        <v>8</v>
      </c>
      <c r="ED56" s="150"/>
      <c r="EE56" s="284"/>
      <c r="EF56" s="1">
        <v>6</v>
      </c>
      <c r="EG56">
        <f t="shared" si="249"/>
        <v>0</v>
      </c>
      <c r="EH56" s="37">
        <f t="shared" si="276"/>
        <v>24</v>
      </c>
      <c r="EI56" s="30">
        <f t="shared" si="250"/>
        <v>8</v>
      </c>
      <c r="EJ56" s="150"/>
      <c r="EK56" s="284"/>
      <c r="EL56" s="1">
        <v>6</v>
      </c>
      <c r="EM56">
        <f t="shared" si="251"/>
        <v>0</v>
      </c>
      <c r="EN56" s="37">
        <f t="shared" si="277"/>
        <v>24</v>
      </c>
      <c r="EO56" s="30">
        <f t="shared" si="252"/>
        <v>8</v>
      </c>
      <c r="EP56" s="150"/>
      <c r="EQ56" s="284"/>
      <c r="ER56" s="1">
        <v>6</v>
      </c>
      <c r="ES56">
        <f t="shared" si="253"/>
        <v>0</v>
      </c>
      <c r="ET56" s="37">
        <f t="shared" si="278"/>
        <v>24</v>
      </c>
      <c r="EU56" s="30">
        <f t="shared" si="254"/>
        <v>8</v>
      </c>
      <c r="EV56" s="150"/>
      <c r="EW56" s="287"/>
      <c r="EX56" s="201"/>
    </row>
    <row r="57" spans="1:154" x14ac:dyDescent="0.45">
      <c r="A57" s="294"/>
      <c r="B57" s="1">
        <v>7</v>
      </c>
      <c r="C57">
        <f t="shared" si="255"/>
        <v>0</v>
      </c>
      <c r="D57" s="37">
        <f t="shared" si="256"/>
        <v>24</v>
      </c>
      <c r="E57" s="30">
        <f t="shared" si="210"/>
        <v>21</v>
      </c>
      <c r="F57" s="150"/>
      <c r="G57" s="287"/>
      <c r="H57" s="201"/>
      <c r="I57" s="294"/>
      <c r="J57" s="1">
        <v>7</v>
      </c>
      <c r="K57">
        <f t="shared" si="211"/>
        <v>0</v>
      </c>
      <c r="L57" s="37">
        <f t="shared" si="257"/>
        <v>24</v>
      </c>
      <c r="M57" s="30">
        <f t="shared" si="212"/>
        <v>21</v>
      </c>
      <c r="N57" s="150"/>
      <c r="O57" s="284"/>
      <c r="P57" s="1">
        <v>7</v>
      </c>
      <c r="Q57">
        <f t="shared" si="213"/>
        <v>0</v>
      </c>
      <c r="R57" s="37">
        <f t="shared" si="258"/>
        <v>24</v>
      </c>
      <c r="S57" s="30">
        <f t="shared" si="214"/>
        <v>21</v>
      </c>
      <c r="T57" s="150"/>
      <c r="U57" s="287"/>
      <c r="V57" s="201"/>
      <c r="W57" s="294"/>
      <c r="X57" s="1">
        <v>7</v>
      </c>
      <c r="Y57">
        <f t="shared" si="215"/>
        <v>0</v>
      </c>
      <c r="Z57" s="37">
        <f t="shared" si="259"/>
        <v>24</v>
      </c>
      <c r="AA57" s="30">
        <f t="shared" si="216"/>
        <v>21</v>
      </c>
      <c r="AB57" s="150"/>
      <c r="AC57" s="284"/>
      <c r="AD57" s="1">
        <v>7</v>
      </c>
      <c r="AE57">
        <f t="shared" si="217"/>
        <v>0</v>
      </c>
      <c r="AF57" s="37">
        <f t="shared" si="260"/>
        <v>24</v>
      </c>
      <c r="AG57" s="30">
        <f t="shared" si="218"/>
        <v>21</v>
      </c>
      <c r="AH57" s="150"/>
      <c r="AI57" s="284"/>
      <c r="AJ57" s="1">
        <v>7</v>
      </c>
      <c r="AK57">
        <f t="shared" si="219"/>
        <v>0</v>
      </c>
      <c r="AL57" s="37">
        <f t="shared" si="261"/>
        <v>24</v>
      </c>
      <c r="AM57" s="30">
        <f t="shared" si="220"/>
        <v>21</v>
      </c>
      <c r="AN57" s="150">
        <v>20</v>
      </c>
      <c r="AO57" s="287"/>
      <c r="AP57" s="201"/>
      <c r="AQ57" s="294"/>
      <c r="AR57" s="1">
        <v>7</v>
      </c>
      <c r="AS57">
        <f t="shared" si="221"/>
        <v>0</v>
      </c>
      <c r="AT57" s="37">
        <f t="shared" si="262"/>
        <v>24</v>
      </c>
      <c r="AU57" s="30">
        <f t="shared" si="222"/>
        <v>21</v>
      </c>
      <c r="AV57" s="150"/>
      <c r="AW57" s="284"/>
      <c r="AX57" s="1">
        <v>7</v>
      </c>
      <c r="AY57">
        <f t="shared" si="223"/>
        <v>0</v>
      </c>
      <c r="AZ57" s="37">
        <f t="shared" si="263"/>
        <v>24</v>
      </c>
      <c r="BA57" s="30">
        <f t="shared" si="224"/>
        <v>21</v>
      </c>
      <c r="BB57" s="150"/>
      <c r="BC57" s="287"/>
      <c r="BD57" s="201"/>
      <c r="BE57" s="294"/>
      <c r="BF57" s="1">
        <v>7</v>
      </c>
      <c r="BG57">
        <f t="shared" si="225"/>
        <v>0</v>
      </c>
      <c r="BH57" s="37">
        <f t="shared" si="264"/>
        <v>24</v>
      </c>
      <c r="BI57" s="30">
        <f t="shared" si="226"/>
        <v>21</v>
      </c>
      <c r="BJ57" s="150"/>
      <c r="BK57" s="284"/>
      <c r="BL57" s="1">
        <v>7</v>
      </c>
      <c r="BM57">
        <f t="shared" si="227"/>
        <v>0</v>
      </c>
      <c r="BN57" s="37">
        <f t="shared" si="265"/>
        <v>24</v>
      </c>
      <c r="BO57" s="30">
        <f t="shared" si="228"/>
        <v>21</v>
      </c>
      <c r="BP57" s="150"/>
      <c r="BQ57" s="284"/>
      <c r="BR57" s="1">
        <v>7</v>
      </c>
      <c r="BS57">
        <f t="shared" si="229"/>
        <v>0</v>
      </c>
      <c r="BT57" s="37">
        <f t="shared" si="266"/>
        <v>24</v>
      </c>
      <c r="BU57" s="30">
        <f t="shared" si="230"/>
        <v>21</v>
      </c>
      <c r="BV57" s="150"/>
      <c r="BW57" s="284"/>
      <c r="BX57" s="1">
        <v>7</v>
      </c>
      <c r="BY57">
        <f t="shared" si="231"/>
        <v>0</v>
      </c>
      <c r="BZ57" s="37">
        <f t="shared" si="267"/>
        <v>24</v>
      </c>
      <c r="CA57" s="30">
        <f t="shared" si="232"/>
        <v>21</v>
      </c>
      <c r="CB57" s="150"/>
      <c r="CC57" s="287"/>
      <c r="CD57" s="201"/>
      <c r="CE57" s="294"/>
      <c r="CF57" s="1">
        <v>7</v>
      </c>
      <c r="CG57">
        <f t="shared" si="233"/>
        <v>0</v>
      </c>
      <c r="CH57" s="37">
        <f t="shared" si="268"/>
        <v>24</v>
      </c>
      <c r="CI57" s="30">
        <f t="shared" si="234"/>
        <v>21</v>
      </c>
      <c r="CJ57" s="150"/>
      <c r="CK57" s="284"/>
      <c r="CL57" s="1">
        <v>7</v>
      </c>
      <c r="CM57">
        <f t="shared" si="235"/>
        <v>0</v>
      </c>
      <c r="CN57" s="37">
        <f t="shared" si="269"/>
        <v>24</v>
      </c>
      <c r="CO57" s="30">
        <f t="shared" si="236"/>
        <v>21</v>
      </c>
      <c r="CP57" s="150"/>
      <c r="CQ57" s="284"/>
      <c r="CR57" s="1">
        <v>7</v>
      </c>
      <c r="CS57">
        <f t="shared" si="237"/>
        <v>0</v>
      </c>
      <c r="CT57" s="37">
        <f t="shared" si="270"/>
        <v>24</v>
      </c>
      <c r="CU57" s="30">
        <f t="shared" si="238"/>
        <v>21</v>
      </c>
      <c r="CV57" s="150"/>
      <c r="CW57" s="284"/>
      <c r="CX57" s="1">
        <v>7</v>
      </c>
      <c r="CY57">
        <f t="shared" si="239"/>
        <v>0</v>
      </c>
      <c r="CZ57" s="37">
        <f t="shared" si="271"/>
        <v>24</v>
      </c>
      <c r="DA57" s="30">
        <f t="shared" si="240"/>
        <v>21</v>
      </c>
      <c r="DB57" s="150">
        <v>32</v>
      </c>
      <c r="DC57" s="287"/>
      <c r="DD57" s="201"/>
      <c r="DE57" s="294"/>
      <c r="DF57" s="1">
        <v>7</v>
      </c>
      <c r="DG57">
        <f t="shared" si="241"/>
        <v>0</v>
      </c>
      <c r="DH57" s="37">
        <f t="shared" si="272"/>
        <v>24</v>
      </c>
      <c r="DI57" s="30">
        <f t="shared" si="242"/>
        <v>21</v>
      </c>
      <c r="DJ57" s="150">
        <v>4</v>
      </c>
      <c r="DK57" s="284"/>
      <c r="DL57" s="1">
        <v>7</v>
      </c>
      <c r="DM57">
        <f t="shared" si="243"/>
        <v>0</v>
      </c>
      <c r="DN57" s="37">
        <f t="shared" si="273"/>
        <v>24</v>
      </c>
      <c r="DO57" s="30">
        <f t="shared" si="244"/>
        <v>21</v>
      </c>
      <c r="DP57" s="150"/>
      <c r="DQ57" s="284"/>
      <c r="DR57" s="1">
        <v>7</v>
      </c>
      <c r="DS57">
        <f t="shared" si="245"/>
        <v>0</v>
      </c>
      <c r="DT57" s="37">
        <f t="shared" si="274"/>
        <v>24</v>
      </c>
      <c r="DU57" s="30">
        <f t="shared" si="246"/>
        <v>21</v>
      </c>
      <c r="DV57" s="150"/>
      <c r="DW57" s="287"/>
      <c r="DX57" s="201"/>
      <c r="DY57" s="294"/>
      <c r="DZ57" s="1">
        <v>7</v>
      </c>
      <c r="EA57">
        <f t="shared" si="247"/>
        <v>0</v>
      </c>
      <c r="EB57" s="37">
        <f t="shared" si="275"/>
        <v>24</v>
      </c>
      <c r="EC57" s="30">
        <f t="shared" si="248"/>
        <v>21</v>
      </c>
      <c r="ED57" s="150"/>
      <c r="EE57" s="284"/>
      <c r="EF57" s="1">
        <v>7</v>
      </c>
      <c r="EG57">
        <f t="shared" si="249"/>
        <v>0</v>
      </c>
      <c r="EH57" s="37">
        <f t="shared" si="276"/>
        <v>24</v>
      </c>
      <c r="EI57" s="30">
        <f t="shared" si="250"/>
        <v>21</v>
      </c>
      <c r="EJ57" s="150"/>
      <c r="EK57" s="284"/>
      <c r="EL57" s="1">
        <v>7</v>
      </c>
      <c r="EM57">
        <f t="shared" si="251"/>
        <v>0</v>
      </c>
      <c r="EN57" s="37">
        <f t="shared" si="277"/>
        <v>24</v>
      </c>
      <c r="EO57" s="30">
        <f t="shared" si="252"/>
        <v>21</v>
      </c>
      <c r="EP57" s="150"/>
      <c r="EQ57" s="284"/>
      <c r="ER57" s="1">
        <v>7</v>
      </c>
      <c r="ES57">
        <f t="shared" si="253"/>
        <v>0</v>
      </c>
      <c r="ET57" s="37">
        <f t="shared" si="278"/>
        <v>24</v>
      </c>
      <c r="EU57" s="30">
        <f t="shared" si="254"/>
        <v>21</v>
      </c>
      <c r="EV57" s="150"/>
      <c r="EW57" s="287"/>
      <c r="EX57" s="201"/>
    </row>
    <row r="58" spans="1:154" ht="21.5" thickBot="1" x14ac:dyDescent="0.5">
      <c r="A58" s="296"/>
      <c r="B58" s="51">
        <v>8</v>
      </c>
      <c r="C58" s="53">
        <f t="shared" si="255"/>
        <v>0</v>
      </c>
      <c r="D58" s="37">
        <f t="shared" si="256"/>
        <v>24</v>
      </c>
      <c r="E58" s="30">
        <f t="shared" si="210"/>
        <v>17</v>
      </c>
      <c r="F58" s="151"/>
      <c r="G58" s="287"/>
      <c r="H58" s="201"/>
      <c r="I58" s="296"/>
      <c r="J58" s="51">
        <v>8</v>
      </c>
      <c r="K58">
        <f t="shared" si="211"/>
        <v>0</v>
      </c>
      <c r="L58" s="37">
        <f t="shared" si="257"/>
        <v>24</v>
      </c>
      <c r="M58" s="30">
        <f t="shared" si="212"/>
        <v>17</v>
      </c>
      <c r="N58" s="151"/>
      <c r="O58" s="285"/>
      <c r="P58" s="51">
        <v>8</v>
      </c>
      <c r="Q58">
        <f t="shared" si="213"/>
        <v>0</v>
      </c>
      <c r="R58" s="37">
        <f t="shared" si="258"/>
        <v>24</v>
      </c>
      <c r="S58" s="30">
        <f t="shared" si="214"/>
        <v>17</v>
      </c>
      <c r="T58" s="151"/>
      <c r="U58" s="287"/>
      <c r="V58" s="201"/>
      <c r="W58" s="296"/>
      <c r="X58" s="51">
        <v>8</v>
      </c>
      <c r="Y58">
        <f t="shared" si="215"/>
        <v>0</v>
      </c>
      <c r="Z58" s="37">
        <f t="shared" si="259"/>
        <v>24</v>
      </c>
      <c r="AA58" s="30">
        <f t="shared" si="216"/>
        <v>17</v>
      </c>
      <c r="AB58" s="151"/>
      <c r="AC58" s="285"/>
      <c r="AD58" s="51">
        <v>8</v>
      </c>
      <c r="AE58">
        <f t="shared" si="217"/>
        <v>0</v>
      </c>
      <c r="AF58" s="37">
        <f t="shared" si="260"/>
        <v>24</v>
      </c>
      <c r="AG58" s="30">
        <f t="shared" si="218"/>
        <v>17</v>
      </c>
      <c r="AH58" s="151"/>
      <c r="AI58" s="285"/>
      <c r="AJ58" s="51">
        <v>8</v>
      </c>
      <c r="AK58">
        <f t="shared" si="219"/>
        <v>0</v>
      </c>
      <c r="AL58" s="37">
        <f t="shared" si="261"/>
        <v>24</v>
      </c>
      <c r="AM58" s="30">
        <f t="shared" si="220"/>
        <v>17</v>
      </c>
      <c r="AN58" s="151"/>
      <c r="AO58" s="287"/>
      <c r="AP58" s="201"/>
      <c r="AQ58" s="296"/>
      <c r="AR58" s="51">
        <v>8</v>
      </c>
      <c r="AS58">
        <f t="shared" si="221"/>
        <v>0</v>
      </c>
      <c r="AT58" s="37">
        <f t="shared" si="262"/>
        <v>24</v>
      </c>
      <c r="AU58" s="30">
        <f t="shared" si="222"/>
        <v>17</v>
      </c>
      <c r="AV58" s="151"/>
      <c r="AW58" s="285"/>
      <c r="AX58" s="51">
        <v>8</v>
      </c>
      <c r="AY58">
        <f t="shared" si="223"/>
        <v>0</v>
      </c>
      <c r="AZ58" s="37">
        <f t="shared" si="263"/>
        <v>24</v>
      </c>
      <c r="BA58" s="30">
        <f t="shared" si="224"/>
        <v>17</v>
      </c>
      <c r="BB58" s="151"/>
      <c r="BC58" s="287"/>
      <c r="BD58" s="201"/>
      <c r="BE58" s="296"/>
      <c r="BF58" s="51">
        <v>8</v>
      </c>
      <c r="BG58">
        <f t="shared" si="225"/>
        <v>0</v>
      </c>
      <c r="BH58" s="37">
        <f t="shared" si="264"/>
        <v>24</v>
      </c>
      <c r="BI58" s="30">
        <f t="shared" si="226"/>
        <v>17</v>
      </c>
      <c r="BJ58" s="151"/>
      <c r="BK58" s="285"/>
      <c r="BL58" s="51">
        <v>8</v>
      </c>
      <c r="BM58">
        <f t="shared" si="227"/>
        <v>0</v>
      </c>
      <c r="BN58" s="37">
        <f t="shared" si="265"/>
        <v>24</v>
      </c>
      <c r="BO58" s="30">
        <f t="shared" si="228"/>
        <v>17</v>
      </c>
      <c r="BP58" s="151"/>
      <c r="BQ58" s="285"/>
      <c r="BR58" s="51">
        <v>8</v>
      </c>
      <c r="BS58">
        <f t="shared" si="229"/>
        <v>0</v>
      </c>
      <c r="BT58" s="37">
        <f t="shared" si="266"/>
        <v>24</v>
      </c>
      <c r="BU58" s="30">
        <f t="shared" si="230"/>
        <v>17</v>
      </c>
      <c r="BV58" s="151"/>
      <c r="BW58" s="285"/>
      <c r="BX58" s="51">
        <v>8</v>
      </c>
      <c r="BY58">
        <f t="shared" si="231"/>
        <v>0</v>
      </c>
      <c r="BZ58" s="37">
        <f t="shared" si="267"/>
        <v>24</v>
      </c>
      <c r="CA58" s="30">
        <f t="shared" si="232"/>
        <v>17</v>
      </c>
      <c r="CB58" s="151"/>
      <c r="CC58" s="287"/>
      <c r="CD58" s="201"/>
      <c r="CE58" s="296"/>
      <c r="CF58" s="51">
        <v>8</v>
      </c>
      <c r="CG58">
        <f t="shared" si="233"/>
        <v>0</v>
      </c>
      <c r="CH58" s="37">
        <f t="shared" si="268"/>
        <v>24</v>
      </c>
      <c r="CI58" s="30">
        <f t="shared" si="234"/>
        <v>17</v>
      </c>
      <c r="CJ58" s="151"/>
      <c r="CK58" s="285"/>
      <c r="CL58" s="51">
        <v>8</v>
      </c>
      <c r="CM58">
        <f t="shared" si="235"/>
        <v>0</v>
      </c>
      <c r="CN58" s="37">
        <f t="shared" si="269"/>
        <v>24</v>
      </c>
      <c r="CO58" s="30">
        <f t="shared" si="236"/>
        <v>17</v>
      </c>
      <c r="CP58" s="151"/>
      <c r="CQ58" s="285"/>
      <c r="CR58" s="51">
        <v>8</v>
      </c>
      <c r="CS58">
        <f t="shared" si="237"/>
        <v>0</v>
      </c>
      <c r="CT58" s="37">
        <f t="shared" si="270"/>
        <v>24</v>
      </c>
      <c r="CU58" s="30">
        <f t="shared" si="238"/>
        <v>17</v>
      </c>
      <c r="CV58" s="151"/>
      <c r="CW58" s="285"/>
      <c r="CX58" s="51">
        <v>8</v>
      </c>
      <c r="CY58">
        <f t="shared" si="239"/>
        <v>0</v>
      </c>
      <c r="CZ58" s="37">
        <f t="shared" si="271"/>
        <v>24</v>
      </c>
      <c r="DA58" s="30">
        <f t="shared" si="240"/>
        <v>17</v>
      </c>
      <c r="DB58" s="151"/>
      <c r="DC58" s="287"/>
      <c r="DD58" s="201"/>
      <c r="DE58" s="296"/>
      <c r="DF58" s="51">
        <v>8</v>
      </c>
      <c r="DG58">
        <f t="shared" si="241"/>
        <v>0</v>
      </c>
      <c r="DH58" s="37">
        <f t="shared" si="272"/>
        <v>24</v>
      </c>
      <c r="DI58" s="30">
        <f t="shared" si="242"/>
        <v>17</v>
      </c>
      <c r="DJ58" s="151"/>
      <c r="DK58" s="285"/>
      <c r="DL58" s="51">
        <v>8</v>
      </c>
      <c r="DM58">
        <f t="shared" si="243"/>
        <v>0</v>
      </c>
      <c r="DN58" s="37">
        <f t="shared" si="273"/>
        <v>24</v>
      </c>
      <c r="DO58" s="30">
        <f t="shared" si="244"/>
        <v>17</v>
      </c>
      <c r="DP58" s="151"/>
      <c r="DQ58" s="285"/>
      <c r="DR58" s="51">
        <v>8</v>
      </c>
      <c r="DS58">
        <f t="shared" si="245"/>
        <v>0</v>
      </c>
      <c r="DT58" s="37">
        <f t="shared" si="274"/>
        <v>24</v>
      </c>
      <c r="DU58" s="30">
        <f t="shared" si="246"/>
        <v>17</v>
      </c>
      <c r="DV58" s="151"/>
      <c r="DW58" s="287"/>
      <c r="DX58" s="201"/>
      <c r="DY58" s="296"/>
      <c r="DZ58" s="51">
        <v>8</v>
      </c>
      <c r="EA58">
        <f t="shared" si="247"/>
        <v>0</v>
      </c>
      <c r="EB58" s="37">
        <f t="shared" si="275"/>
        <v>24</v>
      </c>
      <c r="EC58" s="30">
        <f t="shared" si="248"/>
        <v>17</v>
      </c>
      <c r="ED58" s="151"/>
      <c r="EE58" s="285"/>
      <c r="EF58" s="51">
        <v>8</v>
      </c>
      <c r="EG58">
        <f t="shared" si="249"/>
        <v>0</v>
      </c>
      <c r="EH58" s="37">
        <f t="shared" si="276"/>
        <v>24</v>
      </c>
      <c r="EI58" s="30">
        <f t="shared" si="250"/>
        <v>17</v>
      </c>
      <c r="EJ58" s="151"/>
      <c r="EK58" s="285"/>
      <c r="EL58" s="51">
        <v>8</v>
      </c>
      <c r="EM58">
        <f t="shared" si="251"/>
        <v>0</v>
      </c>
      <c r="EN58" s="37">
        <f t="shared" si="277"/>
        <v>24</v>
      </c>
      <c r="EO58" s="30">
        <f t="shared" si="252"/>
        <v>17</v>
      </c>
      <c r="EP58" s="151"/>
      <c r="EQ58" s="285"/>
      <c r="ER58" s="51">
        <v>8</v>
      </c>
      <c r="ES58">
        <f t="shared" si="253"/>
        <v>0</v>
      </c>
      <c r="ET58" s="37">
        <f t="shared" si="278"/>
        <v>24</v>
      </c>
      <c r="EU58" s="30">
        <f t="shared" si="254"/>
        <v>17</v>
      </c>
      <c r="EV58" s="151"/>
      <c r="EW58" s="287"/>
      <c r="EX58" s="201"/>
    </row>
    <row r="59" spans="1:154" s="79" customFormat="1" x14ac:dyDescent="0.45">
      <c r="A59" s="293">
        <v>5</v>
      </c>
      <c r="B59" s="48">
        <f>O10</f>
        <v>10</v>
      </c>
      <c r="C59" s="87" t="s">
        <v>154</v>
      </c>
      <c r="D59" s="10" t="s">
        <v>158</v>
      </c>
      <c r="E59" s="88" t="s">
        <v>152</v>
      </c>
      <c r="F59" s="152"/>
      <c r="G59" s="287">
        <f>IF(COUNT(F60:F68) &gt;0, COUNT(F60:F68)/2,"")</f>
        <v>1</v>
      </c>
      <c r="H59" s="201"/>
      <c r="I59" s="293">
        <v>5</v>
      </c>
      <c r="J59" s="104"/>
      <c r="K59" s="87" t="s">
        <v>154</v>
      </c>
      <c r="L59" s="10" t="s">
        <v>158</v>
      </c>
      <c r="M59" s="88" t="s">
        <v>152</v>
      </c>
      <c r="N59" s="152"/>
      <c r="O59" s="286">
        <v>5</v>
      </c>
      <c r="P59" s="104"/>
      <c r="Q59" s="87" t="s">
        <v>154</v>
      </c>
      <c r="R59" s="10" t="s">
        <v>158</v>
      </c>
      <c r="S59" s="88" t="s">
        <v>152</v>
      </c>
      <c r="T59" s="152"/>
      <c r="U59" s="287">
        <f>IF(COUNT(H60:H68,N60:N68,T60:T68) &gt;0, COUNT(H60:H68,N60:N68,T60:T68) /2,"")</f>
        <v>1</v>
      </c>
      <c r="V59" s="201"/>
      <c r="W59" s="293">
        <v>5</v>
      </c>
      <c r="X59" s="104"/>
      <c r="Y59" s="87" t="s">
        <v>154</v>
      </c>
      <c r="Z59" s="10" t="s">
        <v>158</v>
      </c>
      <c r="AA59" s="88" t="s">
        <v>152</v>
      </c>
      <c r="AB59" s="152"/>
      <c r="AC59" s="286">
        <v>5</v>
      </c>
      <c r="AD59" s="104"/>
      <c r="AE59" s="87" t="s">
        <v>154</v>
      </c>
      <c r="AF59" s="10" t="s">
        <v>158</v>
      </c>
      <c r="AG59" s="88" t="s">
        <v>152</v>
      </c>
      <c r="AH59" s="152"/>
      <c r="AI59" s="286">
        <v>5</v>
      </c>
      <c r="AJ59" s="104"/>
      <c r="AK59" t="str">
        <f t="shared" si="219"/>
        <v xml:space="preserve">CTR </v>
      </c>
      <c r="AL59" s="10" t="s">
        <v>158</v>
      </c>
      <c r="AM59" s="88" t="s">
        <v>152</v>
      </c>
      <c r="AN59" s="152"/>
      <c r="AO59" s="287">
        <f>IF(COUNT(AB60:AB68,AH60:AH68,AN60:AN68) &gt;0, COUNT(AB60:AB68,AH60:AH68,AN60:AN68) /2,"")</f>
        <v>2</v>
      </c>
      <c r="AP59" s="201"/>
      <c r="AQ59" s="293">
        <v>5</v>
      </c>
      <c r="AR59" s="104"/>
      <c r="AS59" s="87" t="s">
        <v>154</v>
      </c>
      <c r="AT59" s="10" t="s">
        <v>158</v>
      </c>
      <c r="AU59" s="88" t="s">
        <v>152</v>
      </c>
      <c r="AV59" s="152"/>
      <c r="AW59" s="286">
        <v>5</v>
      </c>
      <c r="AX59" s="104"/>
      <c r="AY59" s="87" t="s">
        <v>154</v>
      </c>
      <c r="AZ59" s="10" t="s">
        <v>158</v>
      </c>
      <c r="BA59" s="88" t="s">
        <v>152</v>
      </c>
      <c r="BB59" s="152"/>
      <c r="BC59" s="287">
        <f>IF(COUNT(AV60:AV68,BB60:BB68,#REF!) &gt;0, COUNT(AV60:AV68,BB60:BB68,#REF!) /2,"")</f>
        <v>1</v>
      </c>
      <c r="BD59" s="201"/>
      <c r="BE59" s="293">
        <v>5</v>
      </c>
      <c r="BF59" s="104"/>
      <c r="BG59" s="87" t="s">
        <v>154</v>
      </c>
      <c r="BH59" s="10" t="s">
        <v>158</v>
      </c>
      <c r="BI59" s="88" t="s">
        <v>152</v>
      </c>
      <c r="BJ59" s="152"/>
      <c r="BK59" s="286">
        <v>5</v>
      </c>
      <c r="BL59" s="104"/>
      <c r="BM59" s="87" t="s">
        <v>154</v>
      </c>
      <c r="BN59" s="10" t="s">
        <v>158</v>
      </c>
      <c r="BO59" s="88" t="s">
        <v>152</v>
      </c>
      <c r="BP59" s="152"/>
      <c r="BQ59" s="286">
        <v>5</v>
      </c>
      <c r="BR59" s="104"/>
      <c r="BS59" s="87" t="s">
        <v>154</v>
      </c>
      <c r="BT59" s="10" t="s">
        <v>158</v>
      </c>
      <c r="BU59" s="88" t="s">
        <v>152</v>
      </c>
      <c r="BV59" s="152"/>
      <c r="BW59" s="286">
        <v>5</v>
      </c>
      <c r="BX59" s="104"/>
      <c r="BY59" s="87" t="s">
        <v>154</v>
      </c>
      <c r="BZ59" s="10" t="s">
        <v>158</v>
      </c>
      <c r="CA59" s="88" t="s">
        <v>152</v>
      </c>
      <c r="CB59" s="152"/>
      <c r="CC59" s="287">
        <f>IF(COUNT(BJ60:BJ68,BP60:BP68,BV60:BV68,CB60:CB68) &gt;0, COUNT(BJ60:BJ68,BP60:BP68,BV60:BV68,CB60:CB68) /2,"")</f>
        <v>1</v>
      </c>
      <c r="CD59" s="201"/>
      <c r="CE59" s="293">
        <v>5</v>
      </c>
      <c r="CF59" s="104"/>
      <c r="CG59" s="87" t="s">
        <v>154</v>
      </c>
      <c r="CH59" s="10" t="s">
        <v>158</v>
      </c>
      <c r="CI59" s="88" t="s">
        <v>152</v>
      </c>
      <c r="CJ59" s="152"/>
      <c r="CK59" s="286">
        <v>5</v>
      </c>
      <c r="CL59" s="104"/>
      <c r="CM59" s="87" t="s">
        <v>154</v>
      </c>
      <c r="CN59" s="10" t="s">
        <v>158</v>
      </c>
      <c r="CO59" s="88" t="s">
        <v>152</v>
      </c>
      <c r="CP59" s="152"/>
      <c r="CQ59" s="286">
        <v>5</v>
      </c>
      <c r="CR59" s="104"/>
      <c r="CS59" s="87" t="s">
        <v>154</v>
      </c>
      <c r="CT59" s="10" t="s">
        <v>158</v>
      </c>
      <c r="CU59" s="88" t="s">
        <v>152</v>
      </c>
      <c r="CV59" s="152"/>
      <c r="CW59" s="286">
        <v>5</v>
      </c>
      <c r="CX59" s="104"/>
      <c r="CY59" s="87" t="s">
        <v>154</v>
      </c>
      <c r="CZ59" s="10" t="s">
        <v>158</v>
      </c>
      <c r="DA59" s="88" t="s">
        <v>152</v>
      </c>
      <c r="DB59" s="152"/>
      <c r="DC59" s="287">
        <f>IF(COUNT(CJ60:CJ68,CP60:CP68,CV60:CV68,DB60:DB68) &gt;0, COUNT(CJ60:CJ68,CP60:CP68,CV60:CV68,DB60:DB68) /2,"")</f>
        <v>2</v>
      </c>
      <c r="DD59" s="201"/>
      <c r="DE59" s="293">
        <v>5</v>
      </c>
      <c r="DF59" s="104"/>
      <c r="DG59" s="87" t="s">
        <v>154</v>
      </c>
      <c r="DH59" s="10" t="s">
        <v>158</v>
      </c>
      <c r="DI59" s="88" t="s">
        <v>152</v>
      </c>
      <c r="DJ59" s="152"/>
      <c r="DK59" s="286">
        <v>5</v>
      </c>
      <c r="DL59" s="104"/>
      <c r="DM59" s="87" t="s">
        <v>154</v>
      </c>
      <c r="DN59" s="10" t="s">
        <v>158</v>
      </c>
      <c r="DO59" s="88" t="s">
        <v>152</v>
      </c>
      <c r="DP59" s="152"/>
      <c r="DQ59" s="286">
        <v>5</v>
      </c>
      <c r="DR59" s="104"/>
      <c r="DS59" s="87" t="s">
        <v>154</v>
      </c>
      <c r="DT59" s="10" t="s">
        <v>158</v>
      </c>
      <c r="DU59" s="88" t="s">
        <v>152</v>
      </c>
      <c r="DV59" s="152"/>
      <c r="DW59" s="287">
        <f>IF(COUNT(DJ60:DJ68,DP60:DP68,DV60:DV68) &gt;0, COUNT(DJ60:DJ68,DP60:DP68,DV60:DV68) /2,"")</f>
        <v>1</v>
      </c>
      <c r="DX59" s="201"/>
      <c r="DY59" s="293">
        <v>5</v>
      </c>
      <c r="DZ59" s="104"/>
      <c r="EA59" s="87" t="s">
        <v>154</v>
      </c>
      <c r="EB59" s="10" t="s">
        <v>158</v>
      </c>
      <c r="EC59" s="88" t="s">
        <v>152</v>
      </c>
      <c r="ED59" s="152"/>
      <c r="EE59" s="286">
        <v>5</v>
      </c>
      <c r="EF59" s="104"/>
      <c r="EG59" s="87" t="s">
        <v>154</v>
      </c>
      <c r="EH59" s="10" t="s">
        <v>158</v>
      </c>
      <c r="EI59" s="88" t="s">
        <v>152</v>
      </c>
      <c r="EJ59" s="152"/>
      <c r="EK59" s="286">
        <v>5</v>
      </c>
      <c r="EL59" s="104"/>
      <c r="EM59" s="87" t="s">
        <v>154</v>
      </c>
      <c r="EN59" s="10" t="s">
        <v>158</v>
      </c>
      <c r="EO59" s="88" t="s">
        <v>152</v>
      </c>
      <c r="EP59" s="152"/>
      <c r="EQ59" s="286">
        <v>5</v>
      </c>
      <c r="ER59" s="104"/>
      <c r="ES59" s="87" t="s">
        <v>154</v>
      </c>
      <c r="ET59" s="10" t="s">
        <v>158</v>
      </c>
      <c r="EU59" s="88" t="s">
        <v>152</v>
      </c>
      <c r="EV59" s="152"/>
      <c r="EW59" s="287">
        <f>IF(COUNT(ED60:ED68,EJ60:EJ68,EP60:EP68,EV60:EV68) &gt;0, COUNT(ED60:ED68,EJ60:EJ68,EP60:EP68,EV60:EV68) /2,"")</f>
        <v>1</v>
      </c>
      <c r="EX59" s="201"/>
    </row>
    <row r="60" spans="1:154" ht="27.75" customHeight="1" x14ac:dyDescent="0.45">
      <c r="A60" s="294"/>
      <c r="B60" s="176" t="s">
        <v>162</v>
      </c>
      <c r="C60" s="102" t="s">
        <v>156</v>
      </c>
      <c r="D60" s="89" t="s">
        <v>175</v>
      </c>
      <c r="E60" s="177" t="s">
        <v>174</v>
      </c>
      <c r="F60" s="148"/>
      <c r="G60" s="287"/>
      <c r="H60" s="201"/>
      <c r="I60" s="294"/>
      <c r="J60" s="176" t="s">
        <v>162</v>
      </c>
      <c r="K60" s="90" t="s">
        <v>155</v>
      </c>
      <c r="L60" s="89" t="s">
        <v>175</v>
      </c>
      <c r="M60" s="177" t="s">
        <v>174</v>
      </c>
      <c r="N60" s="148"/>
      <c r="O60" s="284"/>
      <c r="P60" s="176" t="s">
        <v>162</v>
      </c>
      <c r="Q60" s="90" t="s">
        <v>155</v>
      </c>
      <c r="R60" s="89" t="s">
        <v>175</v>
      </c>
      <c r="S60" s="177" t="s">
        <v>174</v>
      </c>
      <c r="T60" s="148"/>
      <c r="U60" s="287"/>
      <c r="V60" s="201"/>
      <c r="W60" s="294"/>
      <c r="X60" s="176" t="s">
        <v>162</v>
      </c>
      <c r="Y60" s="90" t="s">
        <v>155</v>
      </c>
      <c r="Z60" s="89" t="s">
        <v>175</v>
      </c>
      <c r="AA60" s="177" t="s">
        <v>174</v>
      </c>
      <c r="AB60" s="148"/>
      <c r="AC60" s="284"/>
      <c r="AD60" s="176" t="s">
        <v>162</v>
      </c>
      <c r="AE60" s="90" t="s">
        <v>155</v>
      </c>
      <c r="AF60" s="89" t="s">
        <v>175</v>
      </c>
      <c r="AG60" s="177" t="s">
        <v>174</v>
      </c>
      <c r="AH60" s="148"/>
      <c r="AI60" s="284"/>
      <c r="AJ60" s="176" t="s">
        <v>162</v>
      </c>
      <c r="AK60" s="90" t="s">
        <v>155</v>
      </c>
      <c r="AL60" s="89" t="s">
        <v>175</v>
      </c>
      <c r="AM60" s="177" t="s">
        <v>174</v>
      </c>
      <c r="AN60" s="148"/>
      <c r="AO60" s="287"/>
      <c r="AP60" s="201"/>
      <c r="AQ60" s="294"/>
      <c r="AR60" s="176" t="s">
        <v>162</v>
      </c>
      <c r="AS60" s="90" t="s">
        <v>155</v>
      </c>
      <c r="AT60" s="89" t="s">
        <v>175</v>
      </c>
      <c r="AU60" s="177" t="s">
        <v>174</v>
      </c>
      <c r="AV60" s="148"/>
      <c r="AW60" s="284"/>
      <c r="AX60" s="176" t="s">
        <v>162</v>
      </c>
      <c r="AY60" s="90" t="s">
        <v>155</v>
      </c>
      <c r="AZ60" s="89" t="s">
        <v>175</v>
      </c>
      <c r="BA60" s="177" t="s">
        <v>174</v>
      </c>
      <c r="BB60" s="148"/>
      <c r="BC60" s="287"/>
      <c r="BD60" s="201"/>
      <c r="BE60" s="294"/>
      <c r="BF60" s="176" t="s">
        <v>162</v>
      </c>
      <c r="BG60" s="90" t="s">
        <v>155</v>
      </c>
      <c r="BH60" s="89" t="s">
        <v>175</v>
      </c>
      <c r="BI60" s="177" t="s">
        <v>174</v>
      </c>
      <c r="BJ60" s="148"/>
      <c r="BK60" s="284"/>
      <c r="BL60" s="176" t="s">
        <v>162</v>
      </c>
      <c r="BM60" s="90" t="s">
        <v>155</v>
      </c>
      <c r="BN60" s="89" t="s">
        <v>175</v>
      </c>
      <c r="BO60" s="177" t="s">
        <v>174</v>
      </c>
      <c r="BP60" s="148"/>
      <c r="BQ60" s="284"/>
      <c r="BR60" s="176" t="s">
        <v>162</v>
      </c>
      <c r="BS60" s="90" t="s">
        <v>155</v>
      </c>
      <c r="BT60" s="89" t="s">
        <v>175</v>
      </c>
      <c r="BU60" s="177" t="s">
        <v>174</v>
      </c>
      <c r="BV60" s="148"/>
      <c r="BW60" s="284"/>
      <c r="BX60" s="176" t="s">
        <v>162</v>
      </c>
      <c r="BY60" s="90" t="s">
        <v>155</v>
      </c>
      <c r="BZ60" s="89" t="s">
        <v>175</v>
      </c>
      <c r="CA60" s="177" t="s">
        <v>174</v>
      </c>
      <c r="CB60" s="148"/>
      <c r="CC60" s="287"/>
      <c r="CD60" s="201"/>
      <c r="CE60" s="294"/>
      <c r="CF60" s="176" t="s">
        <v>162</v>
      </c>
      <c r="CG60" s="90" t="s">
        <v>155</v>
      </c>
      <c r="CH60" s="89" t="s">
        <v>175</v>
      </c>
      <c r="CI60" s="177" t="s">
        <v>174</v>
      </c>
      <c r="CJ60" s="148"/>
      <c r="CK60" s="284"/>
      <c r="CL60" s="176" t="s">
        <v>162</v>
      </c>
      <c r="CM60" s="90" t="s">
        <v>155</v>
      </c>
      <c r="CN60" s="89" t="s">
        <v>175</v>
      </c>
      <c r="CO60" s="177" t="s">
        <v>174</v>
      </c>
      <c r="CP60" s="148"/>
      <c r="CQ60" s="284"/>
      <c r="CR60" s="176" t="s">
        <v>162</v>
      </c>
      <c r="CS60" s="90" t="s">
        <v>155</v>
      </c>
      <c r="CT60" s="89" t="s">
        <v>175</v>
      </c>
      <c r="CU60" s="177" t="s">
        <v>174</v>
      </c>
      <c r="CV60" s="148"/>
      <c r="CW60" s="284"/>
      <c r="CX60" s="176" t="s">
        <v>162</v>
      </c>
      <c r="CY60" s="90" t="s">
        <v>155</v>
      </c>
      <c r="CZ60" s="89" t="s">
        <v>175</v>
      </c>
      <c r="DA60" s="177" t="s">
        <v>174</v>
      </c>
      <c r="DB60" s="148"/>
      <c r="DC60" s="287"/>
      <c r="DD60" s="201"/>
      <c r="DE60" s="294"/>
      <c r="DF60" s="176" t="s">
        <v>162</v>
      </c>
      <c r="DG60" s="90" t="s">
        <v>155</v>
      </c>
      <c r="DH60" s="89" t="s">
        <v>175</v>
      </c>
      <c r="DI60" s="177" t="s">
        <v>174</v>
      </c>
      <c r="DJ60" s="148"/>
      <c r="DK60" s="284"/>
      <c r="DL60" s="176" t="s">
        <v>162</v>
      </c>
      <c r="DM60" s="90" t="s">
        <v>155</v>
      </c>
      <c r="DN60" s="89" t="s">
        <v>175</v>
      </c>
      <c r="DO60" s="177" t="s">
        <v>174</v>
      </c>
      <c r="DP60" s="148"/>
      <c r="DQ60" s="284"/>
      <c r="DR60" s="176" t="s">
        <v>162</v>
      </c>
      <c r="DS60" s="90" t="s">
        <v>155</v>
      </c>
      <c r="DT60" s="89" t="s">
        <v>175</v>
      </c>
      <c r="DU60" s="177" t="s">
        <v>174</v>
      </c>
      <c r="DV60" s="148"/>
      <c r="DW60" s="287"/>
      <c r="DX60" s="201"/>
      <c r="DY60" s="294"/>
      <c r="DZ60" s="176" t="s">
        <v>162</v>
      </c>
      <c r="EA60" s="90" t="s">
        <v>155</v>
      </c>
      <c r="EB60" s="89" t="s">
        <v>175</v>
      </c>
      <c r="EC60" s="177" t="s">
        <v>174</v>
      </c>
      <c r="ED60" s="148"/>
      <c r="EE60" s="284"/>
      <c r="EF60" s="176" t="s">
        <v>162</v>
      </c>
      <c r="EG60" s="90" t="s">
        <v>155</v>
      </c>
      <c r="EH60" s="89" t="s">
        <v>175</v>
      </c>
      <c r="EI60" s="177" t="s">
        <v>174</v>
      </c>
      <c r="EJ60" s="148"/>
      <c r="EK60" s="284"/>
      <c r="EL60" s="176" t="s">
        <v>162</v>
      </c>
      <c r="EM60" s="90" t="s">
        <v>155</v>
      </c>
      <c r="EN60" s="89" t="s">
        <v>175</v>
      </c>
      <c r="EO60" s="177" t="s">
        <v>174</v>
      </c>
      <c r="EP60" s="148"/>
      <c r="EQ60" s="284"/>
      <c r="ER60" s="176" t="s">
        <v>162</v>
      </c>
      <c r="ES60" s="90" t="s">
        <v>155</v>
      </c>
      <c r="ET60" s="89" t="s">
        <v>175</v>
      </c>
      <c r="EU60" s="177" t="s">
        <v>174</v>
      </c>
      <c r="EV60" s="148"/>
      <c r="EW60" s="287"/>
      <c r="EX60" s="201"/>
    </row>
    <row r="61" spans="1:154" x14ac:dyDescent="0.45">
      <c r="A61" s="294"/>
      <c r="B61" s="180">
        <v>1</v>
      </c>
      <c r="C61">
        <v>0</v>
      </c>
      <c r="D61" s="37">
        <f>(C61+$B$59)*$G$3</f>
        <v>80</v>
      </c>
      <c r="E61" s="30">
        <f t="shared" ref="E61:E68" si="279">MOD($F6+D61,$G$2)</f>
        <v>23</v>
      </c>
      <c r="F61" s="149"/>
      <c r="G61" s="287"/>
      <c r="H61" s="201"/>
      <c r="I61" s="294"/>
      <c r="J61" s="1">
        <v>1</v>
      </c>
      <c r="K61">
        <f t="shared" ref="K61:K68" si="280">IF(F61="", C61,IF(F61=MIN(F$61:F$68),C61+1,0))</f>
        <v>0</v>
      </c>
      <c r="L61" s="37">
        <f>(K61+$B$59)*$G$3</f>
        <v>80</v>
      </c>
      <c r="M61" s="30">
        <f t="shared" ref="M61:M68" si="281">MOD($F6+L61,$G$2)</f>
        <v>23</v>
      </c>
      <c r="N61" s="149"/>
      <c r="O61" s="284"/>
      <c r="P61" s="1">
        <v>1</v>
      </c>
      <c r="Q61">
        <f t="shared" ref="Q61:Q68" si="282">IF(N61="", K61,IF(N61=MIN(N$61:N$68),K61+1,0))</f>
        <v>0</v>
      </c>
      <c r="R61" s="37">
        <f>(Q61+$B$59)*$G$3</f>
        <v>80</v>
      </c>
      <c r="S61" s="30">
        <f t="shared" ref="S61:S68" si="283">MOD($F6+R61,$G$2)</f>
        <v>23</v>
      </c>
      <c r="T61" s="149"/>
      <c r="U61" s="287"/>
      <c r="V61" s="201"/>
      <c r="W61" s="294"/>
      <c r="X61" s="1">
        <v>1</v>
      </c>
      <c r="Y61">
        <f t="shared" ref="Y61:Y68" si="284">IF(T61="", Q61,IF(T61=MIN(T$61:T$68),Q61+1,0))</f>
        <v>0</v>
      </c>
      <c r="Z61" s="37">
        <f>(Y61+$B$59)*$G$3</f>
        <v>80</v>
      </c>
      <c r="AA61" s="30">
        <f t="shared" ref="AA61:AA68" si="285">MOD($F6+Z61,$G$2)</f>
        <v>23</v>
      </c>
      <c r="AB61" s="149">
        <v>6</v>
      </c>
      <c r="AC61" s="284"/>
      <c r="AD61" s="1">
        <v>1</v>
      </c>
      <c r="AE61">
        <f t="shared" ref="AE61:AE68" si="286">IF(AB61="", Y61,IF(AB61=MIN(AB$61:AB$68),Y61+1,0))</f>
        <v>0</v>
      </c>
      <c r="AF61" s="37">
        <f>(AE61+$B$59)*$G$3</f>
        <v>80</v>
      </c>
      <c r="AG61" s="30">
        <f t="shared" ref="AG61:AG68" si="287">MOD($F6+AF61,$G$2)</f>
        <v>23</v>
      </c>
      <c r="AH61" s="149"/>
      <c r="AI61" s="284"/>
      <c r="AJ61" s="1">
        <v>1</v>
      </c>
      <c r="AK61">
        <f t="shared" ref="AK61:AK69" si="288">IF(AH61="",AE61,IF(AH61=MIN(AH$21:AH$28),AE61+1,0))</f>
        <v>0</v>
      </c>
      <c r="AL61" s="37">
        <f>(AK61+$B$59)*$G$3</f>
        <v>80</v>
      </c>
      <c r="AM61" s="30">
        <f t="shared" ref="AM61:AM68" si="289">MOD($F6+AL61,$G$2)</f>
        <v>23</v>
      </c>
      <c r="AN61" s="149"/>
      <c r="AO61" s="287"/>
      <c r="AP61" s="201"/>
      <c r="AQ61" s="294"/>
      <c r="AR61" s="1">
        <v>1</v>
      </c>
      <c r="AS61">
        <f t="shared" ref="AS61:AS68" si="290">IF(AN61="", AK61,IF(AN61=MIN(AN$61:AN$68),AK61+1,0))</f>
        <v>0</v>
      </c>
      <c r="AT61" s="37">
        <f>(AS61+$B$59)*$G$3</f>
        <v>80</v>
      </c>
      <c r="AU61" s="30">
        <f t="shared" ref="AU61:AU68" si="291">MOD($F6+AT61,$G$2)</f>
        <v>23</v>
      </c>
      <c r="AV61" s="149"/>
      <c r="AW61" s="284"/>
      <c r="AX61" s="1">
        <v>1</v>
      </c>
      <c r="AY61">
        <f t="shared" ref="AY61:AY68" si="292">IF(AV61="", AS61,IF(AV61=MIN(AV$61:AV$68),AS61+1,0))</f>
        <v>0</v>
      </c>
      <c r="AZ61" s="37">
        <f>(AY61+$B$59)*$G$3</f>
        <v>80</v>
      </c>
      <c r="BA61" s="30">
        <f t="shared" ref="BA61:BA68" si="293">MOD($F6+AZ61,$G$2)</f>
        <v>23</v>
      </c>
      <c r="BB61" s="149"/>
      <c r="BC61" s="287"/>
      <c r="BD61" s="201"/>
      <c r="BE61" s="294"/>
      <c r="BF61" s="1">
        <v>1</v>
      </c>
      <c r="BG61">
        <f t="shared" ref="BG61:BG68" si="294">IF(BB61="", AY61,IF(BB61=MIN(BB$61:BB$68),AY61+1,0))</f>
        <v>0</v>
      </c>
      <c r="BH61" s="37">
        <f>(BG61+$B$59)*$G$3</f>
        <v>80</v>
      </c>
      <c r="BI61" s="30">
        <f t="shared" ref="BI61:BI68" si="295">MOD($F6+BH61,$G$2)</f>
        <v>23</v>
      </c>
      <c r="BJ61" s="149"/>
      <c r="BK61" s="284"/>
      <c r="BL61" s="1">
        <v>1</v>
      </c>
      <c r="BM61">
        <f t="shared" ref="BM61:BM68" si="296">IF(BJ61="", BG61,IF(BJ61=MIN(BJ$61:BJ$68),BG61+1,0))</f>
        <v>0</v>
      </c>
      <c r="BN61" s="37">
        <f>(BM61+$B$59)*$G$3</f>
        <v>80</v>
      </c>
      <c r="BO61" s="30">
        <f t="shared" ref="BO61:BO68" si="297">MOD($F6+BN61,$G$2)</f>
        <v>23</v>
      </c>
      <c r="BP61" s="149"/>
      <c r="BQ61" s="284"/>
      <c r="BR61" s="1">
        <v>1</v>
      </c>
      <c r="BS61">
        <f t="shared" ref="BS61:BS68" si="298">IF(BP61="", BM61,IF(BP61=MIN(BP$61:BP$68),BM61+1,0))</f>
        <v>0</v>
      </c>
      <c r="BT61" s="37">
        <f>(BS61+$B$59)*$G$3</f>
        <v>80</v>
      </c>
      <c r="BU61" s="30">
        <f t="shared" ref="BU61:BU68" si="299">MOD($F6+BT61,$G$2)</f>
        <v>23</v>
      </c>
      <c r="BV61" s="149"/>
      <c r="BW61" s="284"/>
      <c r="BX61" s="1">
        <v>1</v>
      </c>
      <c r="BY61">
        <f t="shared" ref="BY61:BY68" si="300">IF(BV61="", BS61,IF(BV61=MIN(BV$61:BV$68),BS61+1,0))</f>
        <v>0</v>
      </c>
      <c r="BZ61" s="37">
        <f>(BY61+$B$59)*$G$3</f>
        <v>80</v>
      </c>
      <c r="CA61" s="30">
        <f t="shared" ref="CA61:CA68" si="301">MOD($F6+BZ61,$G$2)</f>
        <v>23</v>
      </c>
      <c r="CB61" s="149"/>
      <c r="CC61" s="287"/>
      <c r="CD61" s="201"/>
      <c r="CE61" s="294"/>
      <c r="CF61" s="1">
        <v>1</v>
      </c>
      <c r="CG61">
        <f t="shared" ref="CG61:CG68" si="302">IF(CB61="", BY61,IF(CB61=MIN(CB$61:CB$68),BY61+1,0))</f>
        <v>0</v>
      </c>
      <c r="CH61" s="37">
        <f>(CG61+$B$59)*$G$3</f>
        <v>80</v>
      </c>
      <c r="CI61" s="30">
        <f t="shared" ref="CI61:CI68" si="303">MOD($F6+CH61,$G$2)</f>
        <v>23</v>
      </c>
      <c r="CJ61" s="149">
        <v>6</v>
      </c>
      <c r="CK61" s="284"/>
      <c r="CL61" s="1">
        <v>1</v>
      </c>
      <c r="CM61">
        <f t="shared" ref="CM61:CM68" si="304">IF(CJ61="", CG61,IF(CJ61=MIN(CJ$61:CJ$68),CG61+1,0))</f>
        <v>0</v>
      </c>
      <c r="CN61" s="37">
        <f>(CM61+$B$59)*$G$3</f>
        <v>80</v>
      </c>
      <c r="CO61" s="30">
        <f t="shared" ref="CO61:CO68" si="305">MOD($F6+CN61,$G$2)</f>
        <v>23</v>
      </c>
      <c r="CP61" s="149"/>
      <c r="CQ61" s="284"/>
      <c r="CR61" s="1">
        <v>1</v>
      </c>
      <c r="CS61">
        <f t="shared" ref="CS61:CS68" si="306">IF(CP61="", CM61,IF(CP61=MIN(CP$61:CP$68),CM61+1,0))</f>
        <v>0</v>
      </c>
      <c r="CT61" s="37">
        <f>(CS61+$B$59)*$G$3</f>
        <v>80</v>
      </c>
      <c r="CU61" s="30">
        <f t="shared" ref="CU61:CU68" si="307">MOD($F6+CT61,$G$2)</f>
        <v>23</v>
      </c>
      <c r="CV61" s="149"/>
      <c r="CW61" s="284"/>
      <c r="CX61" s="1">
        <v>1</v>
      </c>
      <c r="CY61">
        <f t="shared" ref="CY61:CY68" si="308">IF(CV61="", CS61,IF(CV61=MIN(CV$61:CV$68),CS61+1,0))</f>
        <v>0</v>
      </c>
      <c r="CZ61" s="37">
        <f>(CY61+$B$59)*$G$3</f>
        <v>80</v>
      </c>
      <c r="DA61" s="30">
        <f t="shared" ref="DA61:DA68" si="309">MOD($F6+CZ61,$G$2)</f>
        <v>23</v>
      </c>
      <c r="DB61" s="149"/>
      <c r="DC61" s="287"/>
      <c r="DD61" s="201"/>
      <c r="DE61" s="294"/>
      <c r="DF61" s="1">
        <v>1</v>
      </c>
      <c r="DG61">
        <f t="shared" ref="DG61:DG68" si="310">IF(CV61="", CS61,IF(CV61=MIN(CV$61:CV$68),CS61+1,0))</f>
        <v>0</v>
      </c>
      <c r="DH61" s="37">
        <f>(DG61+$B$59)*$G$3</f>
        <v>80</v>
      </c>
      <c r="DI61" s="30">
        <f t="shared" ref="DI61:DI68" si="311">MOD($F6+DH61,$G$2)</f>
        <v>23</v>
      </c>
      <c r="DJ61" s="149"/>
      <c r="DK61" s="284"/>
      <c r="DL61" s="1">
        <v>1</v>
      </c>
      <c r="DM61">
        <f t="shared" ref="DM61:DM68" si="312">IF(DJ61="", DG61,IF(DJ61=MIN(DJ$61:DJ$68),DG61+1,0))</f>
        <v>0</v>
      </c>
      <c r="DN61" s="37">
        <f>(DM61+$B$59)*$G$3</f>
        <v>80</v>
      </c>
      <c r="DO61" s="30">
        <f t="shared" ref="DO61:DO68" si="313">MOD($F6+DN61,$G$2)</f>
        <v>23</v>
      </c>
      <c r="DP61" s="149"/>
      <c r="DQ61" s="284"/>
      <c r="DR61" s="1">
        <v>1</v>
      </c>
      <c r="DS61">
        <f t="shared" ref="DS61:DS68" si="314">IF(DP61="", DM61,IF(DP61=MIN(DP$61:DP$68),DM61+1,0))</f>
        <v>0</v>
      </c>
      <c r="DT61" s="37">
        <f>(DS61+$B$59)*$G$3</f>
        <v>80</v>
      </c>
      <c r="DU61" s="30">
        <f t="shared" ref="DU61:DU68" si="315">MOD($F6+DT61,$G$2)</f>
        <v>23</v>
      </c>
      <c r="DV61" s="149"/>
      <c r="DW61" s="287"/>
      <c r="DX61" s="201"/>
      <c r="DY61" s="294"/>
      <c r="DZ61" s="1">
        <v>1</v>
      </c>
      <c r="EA61">
        <f t="shared" ref="EA61:EA68" si="316">IF(DV61="", DS61,IF(DV61=MIN(DV$61:DV$68),DS61+1,0))</f>
        <v>0</v>
      </c>
      <c r="EB61" s="37">
        <f>(EA61+$B$59)*$G$3</f>
        <v>80</v>
      </c>
      <c r="EC61" s="30">
        <f t="shared" ref="EC61:EC68" si="317">MOD($F6+EB61,$G$2)</f>
        <v>23</v>
      </c>
      <c r="ED61" s="149"/>
      <c r="EE61" s="284"/>
      <c r="EF61" s="1">
        <v>1</v>
      </c>
      <c r="EG61">
        <f t="shared" ref="EG61:EG68" si="318">IF(ED61="", EA61,IF(ED61=MIN(ED$61:ED$68),EA61+1,0))</f>
        <v>0</v>
      </c>
      <c r="EH61" s="37">
        <f>(EG61+$B$59)*$G$3</f>
        <v>80</v>
      </c>
      <c r="EI61" s="30">
        <f t="shared" ref="EI61:EI68" si="319">MOD($F6+EH61,$G$2)</f>
        <v>23</v>
      </c>
      <c r="EJ61" s="149"/>
      <c r="EK61" s="284"/>
      <c r="EL61" s="1">
        <v>1</v>
      </c>
      <c r="EM61">
        <f t="shared" ref="EM61:EM68" si="320">IF(EJ61="", EG61,IF(EJ61=MIN(EJ$61:EJ$68),EG61+1,0))</f>
        <v>0</v>
      </c>
      <c r="EN61" s="37">
        <f>(EM61+$B$59)*$G$3</f>
        <v>80</v>
      </c>
      <c r="EO61" s="30">
        <f t="shared" ref="EO61:EO68" si="321">MOD($F6+EN61,$G$2)</f>
        <v>23</v>
      </c>
      <c r="EP61" s="149"/>
      <c r="EQ61" s="284"/>
      <c r="ER61" s="1">
        <v>1</v>
      </c>
      <c r="ES61">
        <f t="shared" ref="ES61:ES68" si="322">IF(EP61="", EM61,IF(EP61=MIN(EP$61:EP$68),EM61+1,0))</f>
        <v>0</v>
      </c>
      <c r="ET61" s="37">
        <f>(ES61+$B$59)*$G$3</f>
        <v>80</v>
      </c>
      <c r="EU61" s="30">
        <f t="shared" ref="EU61:EU68" si="323">MOD($F6+ET61,$G$2)</f>
        <v>23</v>
      </c>
      <c r="EV61" s="149"/>
      <c r="EW61" s="287"/>
      <c r="EX61" s="201"/>
    </row>
    <row r="62" spans="1:154" x14ac:dyDescent="0.45">
      <c r="A62" s="294"/>
      <c r="B62" s="195">
        <v>2</v>
      </c>
      <c r="C62">
        <f t="shared" ref="C62:C68" si="324">IF(B62=MIN(B$21:B$28),1,0)</f>
        <v>0</v>
      </c>
      <c r="D62" s="37">
        <f t="shared" ref="D62:D68" si="325">(C62+$B$59)*$G$3</f>
        <v>80</v>
      </c>
      <c r="E62" s="30">
        <f t="shared" si="279"/>
        <v>19</v>
      </c>
      <c r="F62" s="150"/>
      <c r="G62" s="287"/>
      <c r="H62" s="201"/>
      <c r="I62" s="294"/>
      <c r="J62" s="1">
        <v>2</v>
      </c>
      <c r="K62">
        <f t="shared" si="280"/>
        <v>0</v>
      </c>
      <c r="L62" s="37">
        <f t="shared" ref="L62:L68" si="326">(K62+$B$59)*$G$3</f>
        <v>80</v>
      </c>
      <c r="M62" s="30">
        <f t="shared" si="281"/>
        <v>19</v>
      </c>
      <c r="N62" s="150"/>
      <c r="O62" s="284"/>
      <c r="P62" s="1">
        <v>2</v>
      </c>
      <c r="Q62">
        <f t="shared" si="282"/>
        <v>0</v>
      </c>
      <c r="R62" s="37">
        <f t="shared" ref="R62:R68" si="327">(Q62+$B$59)*$G$3</f>
        <v>80</v>
      </c>
      <c r="S62" s="30">
        <f t="shared" si="283"/>
        <v>19</v>
      </c>
      <c r="T62" s="150"/>
      <c r="U62" s="287"/>
      <c r="V62" s="201"/>
      <c r="W62" s="294"/>
      <c r="X62" s="1">
        <v>2</v>
      </c>
      <c r="Y62">
        <f t="shared" si="284"/>
        <v>0</v>
      </c>
      <c r="Z62" s="37">
        <f t="shared" ref="Z62:Z68" si="328">(Y62+$B$59)*$G$3</f>
        <v>80</v>
      </c>
      <c r="AA62" s="30">
        <f t="shared" si="285"/>
        <v>19</v>
      </c>
      <c r="AB62" s="150"/>
      <c r="AC62" s="284"/>
      <c r="AD62" s="1">
        <v>2</v>
      </c>
      <c r="AE62">
        <f t="shared" si="286"/>
        <v>0</v>
      </c>
      <c r="AF62" s="37">
        <f t="shared" ref="AF62:AF68" si="329">(AE62+$B$59)*$G$3</f>
        <v>80</v>
      </c>
      <c r="AG62" s="30">
        <f t="shared" si="287"/>
        <v>19</v>
      </c>
      <c r="AH62" s="150"/>
      <c r="AI62" s="284"/>
      <c r="AJ62" s="1">
        <v>2</v>
      </c>
      <c r="AK62">
        <f t="shared" si="288"/>
        <v>0</v>
      </c>
      <c r="AL62" s="37">
        <f t="shared" ref="AL62:AL68" si="330">(AK62+$B$59)*$G$3</f>
        <v>80</v>
      </c>
      <c r="AM62" s="30">
        <f t="shared" si="289"/>
        <v>19</v>
      </c>
      <c r="AN62" s="150"/>
      <c r="AO62" s="287"/>
      <c r="AP62" s="201"/>
      <c r="AQ62" s="294"/>
      <c r="AR62" s="1">
        <v>2</v>
      </c>
      <c r="AS62">
        <f t="shared" si="290"/>
        <v>0</v>
      </c>
      <c r="AT62" s="37">
        <f t="shared" ref="AT62:AT68" si="331">(AS62+$B$59)*$G$3</f>
        <v>80</v>
      </c>
      <c r="AU62" s="30">
        <f t="shared" si="291"/>
        <v>19</v>
      </c>
      <c r="AV62" s="150"/>
      <c r="AW62" s="284"/>
      <c r="AX62" s="1">
        <v>2</v>
      </c>
      <c r="AY62">
        <f t="shared" si="292"/>
        <v>0</v>
      </c>
      <c r="AZ62" s="37">
        <f t="shared" ref="AZ62:AZ68" si="332">(AY62+$B$59)*$G$3</f>
        <v>80</v>
      </c>
      <c r="BA62" s="30">
        <f t="shared" si="293"/>
        <v>19</v>
      </c>
      <c r="BB62" s="150"/>
      <c r="BC62" s="287"/>
      <c r="BD62" s="201"/>
      <c r="BE62" s="294"/>
      <c r="BF62" s="1">
        <v>2</v>
      </c>
      <c r="BG62">
        <f t="shared" si="294"/>
        <v>0</v>
      </c>
      <c r="BH62" s="37">
        <f t="shared" ref="BH62:BH68" si="333">(BG62+$B$59)*$G$3</f>
        <v>80</v>
      </c>
      <c r="BI62" s="30">
        <f t="shared" si="295"/>
        <v>19</v>
      </c>
      <c r="BJ62" s="150"/>
      <c r="BK62" s="284"/>
      <c r="BL62" s="1">
        <v>2</v>
      </c>
      <c r="BM62">
        <f t="shared" si="296"/>
        <v>0</v>
      </c>
      <c r="BN62" s="37">
        <f t="shared" ref="BN62:BN68" si="334">(BM62+$B$59)*$G$3</f>
        <v>80</v>
      </c>
      <c r="BO62" s="30">
        <f t="shared" si="297"/>
        <v>19</v>
      </c>
      <c r="BP62" s="150"/>
      <c r="BQ62" s="284"/>
      <c r="BR62" s="1">
        <v>2</v>
      </c>
      <c r="BS62">
        <f t="shared" si="298"/>
        <v>0</v>
      </c>
      <c r="BT62" s="37">
        <f t="shared" ref="BT62:BT68" si="335">(BS62+$B$59)*$G$3</f>
        <v>80</v>
      </c>
      <c r="BU62" s="30">
        <f t="shared" si="299"/>
        <v>19</v>
      </c>
      <c r="BV62" s="150"/>
      <c r="BW62" s="284"/>
      <c r="BX62" s="1">
        <v>2</v>
      </c>
      <c r="BY62">
        <f t="shared" si="300"/>
        <v>0</v>
      </c>
      <c r="BZ62" s="37">
        <f t="shared" ref="BZ62:BZ68" si="336">(BY62+$B$59)*$G$3</f>
        <v>80</v>
      </c>
      <c r="CA62" s="30">
        <f t="shared" si="301"/>
        <v>19</v>
      </c>
      <c r="CB62" s="150"/>
      <c r="CC62" s="287"/>
      <c r="CD62" s="201"/>
      <c r="CE62" s="294"/>
      <c r="CF62" s="1">
        <v>2</v>
      </c>
      <c r="CG62">
        <f t="shared" si="302"/>
        <v>0</v>
      </c>
      <c r="CH62" s="37">
        <f t="shared" ref="CH62:CH68" si="337">(CG62+$B$59)*$G$3</f>
        <v>80</v>
      </c>
      <c r="CI62" s="30">
        <f t="shared" si="303"/>
        <v>19</v>
      </c>
      <c r="CJ62" s="150"/>
      <c r="CK62" s="284"/>
      <c r="CL62" s="1">
        <v>2</v>
      </c>
      <c r="CM62">
        <f t="shared" si="304"/>
        <v>0</v>
      </c>
      <c r="CN62" s="37">
        <f t="shared" ref="CN62:CN68" si="338">(CM62+$B$59)*$G$3</f>
        <v>80</v>
      </c>
      <c r="CO62" s="30">
        <f t="shared" si="305"/>
        <v>19</v>
      </c>
      <c r="CP62" s="150"/>
      <c r="CQ62" s="284"/>
      <c r="CR62" s="1">
        <v>2</v>
      </c>
      <c r="CS62">
        <f t="shared" si="306"/>
        <v>0</v>
      </c>
      <c r="CT62" s="37">
        <f t="shared" ref="CT62:CT68" si="339">(CS62+$B$59)*$G$3</f>
        <v>80</v>
      </c>
      <c r="CU62" s="30">
        <f t="shared" si="307"/>
        <v>19</v>
      </c>
      <c r="CV62" s="150"/>
      <c r="CW62" s="284"/>
      <c r="CX62" s="1">
        <v>2</v>
      </c>
      <c r="CY62">
        <f t="shared" si="308"/>
        <v>0</v>
      </c>
      <c r="CZ62" s="37">
        <f t="shared" ref="CZ62:CZ68" si="340">(CY62+$B$59)*$G$3</f>
        <v>80</v>
      </c>
      <c r="DA62" s="30">
        <f t="shared" si="309"/>
        <v>19</v>
      </c>
      <c r="DB62" s="150"/>
      <c r="DC62" s="287"/>
      <c r="DD62" s="201"/>
      <c r="DE62" s="294"/>
      <c r="DF62" s="1">
        <v>2</v>
      </c>
      <c r="DG62">
        <f t="shared" si="310"/>
        <v>0</v>
      </c>
      <c r="DH62" s="37">
        <f t="shared" ref="DH62:DH68" si="341">(DG62+$B$59)*$G$3</f>
        <v>80</v>
      </c>
      <c r="DI62" s="30">
        <f t="shared" si="311"/>
        <v>19</v>
      </c>
      <c r="DJ62" s="150"/>
      <c r="DK62" s="284"/>
      <c r="DL62" s="1">
        <v>2</v>
      </c>
      <c r="DM62">
        <f t="shared" si="312"/>
        <v>0</v>
      </c>
      <c r="DN62" s="37">
        <f t="shared" ref="DN62:DN68" si="342">(DM62+$B$59)*$G$3</f>
        <v>80</v>
      </c>
      <c r="DO62" s="30">
        <f t="shared" si="313"/>
        <v>19</v>
      </c>
      <c r="DP62" s="150"/>
      <c r="DQ62" s="284"/>
      <c r="DR62" s="1">
        <v>2</v>
      </c>
      <c r="DS62">
        <f t="shared" si="314"/>
        <v>0</v>
      </c>
      <c r="DT62" s="37">
        <f t="shared" ref="DT62:DT68" si="343">(DS62+$B$59)*$G$3</f>
        <v>80</v>
      </c>
      <c r="DU62" s="30">
        <f t="shared" si="315"/>
        <v>19</v>
      </c>
      <c r="DV62" s="150"/>
      <c r="DW62" s="287"/>
      <c r="DX62" s="201"/>
      <c r="DY62" s="294"/>
      <c r="DZ62" s="1">
        <v>2</v>
      </c>
      <c r="EA62">
        <f t="shared" si="316"/>
        <v>0</v>
      </c>
      <c r="EB62" s="37">
        <f t="shared" ref="EB62:EB68" si="344">(EA62+$B$59)*$G$3</f>
        <v>80</v>
      </c>
      <c r="EC62" s="30">
        <f t="shared" si="317"/>
        <v>19</v>
      </c>
      <c r="ED62" s="150"/>
      <c r="EE62" s="284"/>
      <c r="EF62" s="1">
        <v>2</v>
      </c>
      <c r="EG62">
        <f t="shared" si="318"/>
        <v>0</v>
      </c>
      <c r="EH62" s="37">
        <f t="shared" ref="EH62:EH68" si="345">(EG62+$B$59)*$G$3</f>
        <v>80</v>
      </c>
      <c r="EI62" s="30">
        <f t="shared" si="319"/>
        <v>19</v>
      </c>
      <c r="EJ62" s="150"/>
      <c r="EK62" s="284"/>
      <c r="EL62" s="1">
        <v>2</v>
      </c>
      <c r="EM62">
        <f t="shared" si="320"/>
        <v>0</v>
      </c>
      <c r="EN62" s="37">
        <f t="shared" ref="EN62:EN68" si="346">(EM62+$B$59)*$G$3</f>
        <v>80</v>
      </c>
      <c r="EO62" s="30">
        <f t="shared" si="321"/>
        <v>19</v>
      </c>
      <c r="EP62" s="150"/>
      <c r="EQ62" s="284"/>
      <c r="ER62" s="1">
        <v>2</v>
      </c>
      <c r="ES62">
        <f t="shared" si="322"/>
        <v>0</v>
      </c>
      <c r="ET62" s="37">
        <f t="shared" ref="ET62:ET68" si="347">(ES62+$B$59)*$G$3</f>
        <v>80</v>
      </c>
      <c r="EU62" s="30">
        <f t="shared" si="323"/>
        <v>19</v>
      </c>
      <c r="EV62" s="150"/>
      <c r="EW62" s="287"/>
      <c r="EX62" s="201"/>
    </row>
    <row r="63" spans="1:154" x14ac:dyDescent="0.45">
      <c r="A63" s="294"/>
      <c r="B63" s="195">
        <v>3</v>
      </c>
      <c r="C63">
        <f t="shared" si="324"/>
        <v>0</v>
      </c>
      <c r="D63" s="37">
        <f t="shared" si="325"/>
        <v>80</v>
      </c>
      <c r="E63" s="30">
        <f t="shared" si="279"/>
        <v>30</v>
      </c>
      <c r="F63" s="150"/>
      <c r="G63" s="287"/>
      <c r="H63" s="201"/>
      <c r="I63" s="294"/>
      <c r="J63" s="1">
        <v>3</v>
      </c>
      <c r="K63">
        <f t="shared" si="280"/>
        <v>0</v>
      </c>
      <c r="L63" s="37">
        <f t="shared" si="326"/>
        <v>80</v>
      </c>
      <c r="M63" s="30">
        <f t="shared" si="281"/>
        <v>30</v>
      </c>
      <c r="N63" s="150"/>
      <c r="O63" s="284"/>
      <c r="P63" s="1">
        <v>3</v>
      </c>
      <c r="Q63">
        <f t="shared" si="282"/>
        <v>0</v>
      </c>
      <c r="R63" s="37">
        <f t="shared" si="327"/>
        <v>80</v>
      </c>
      <c r="S63" s="30">
        <f t="shared" si="283"/>
        <v>30</v>
      </c>
      <c r="T63" s="150"/>
      <c r="U63" s="287"/>
      <c r="V63" s="201"/>
      <c r="W63" s="294"/>
      <c r="X63" s="1">
        <v>3</v>
      </c>
      <c r="Y63">
        <f t="shared" si="284"/>
        <v>0</v>
      </c>
      <c r="Z63" s="37">
        <f t="shared" si="328"/>
        <v>80</v>
      </c>
      <c r="AA63" s="30">
        <f t="shared" si="285"/>
        <v>30</v>
      </c>
      <c r="AB63" s="150"/>
      <c r="AC63" s="284"/>
      <c r="AD63" s="1">
        <v>3</v>
      </c>
      <c r="AE63">
        <f t="shared" si="286"/>
        <v>0</v>
      </c>
      <c r="AF63" s="37">
        <f t="shared" si="329"/>
        <v>80</v>
      </c>
      <c r="AG63" s="30">
        <f t="shared" si="287"/>
        <v>30</v>
      </c>
      <c r="AH63" s="150">
        <v>12</v>
      </c>
      <c r="AI63" s="284"/>
      <c r="AJ63" s="1">
        <v>3</v>
      </c>
      <c r="AK63">
        <f t="shared" si="288"/>
        <v>0</v>
      </c>
      <c r="AL63" s="37">
        <f t="shared" si="330"/>
        <v>80</v>
      </c>
      <c r="AM63" s="30">
        <f t="shared" si="289"/>
        <v>30</v>
      </c>
      <c r="AN63" s="150"/>
      <c r="AO63" s="287"/>
      <c r="AP63" s="201"/>
      <c r="AQ63" s="294"/>
      <c r="AR63" s="1">
        <v>3</v>
      </c>
      <c r="AS63">
        <f t="shared" si="290"/>
        <v>0</v>
      </c>
      <c r="AT63" s="37">
        <f t="shared" si="331"/>
        <v>80</v>
      </c>
      <c r="AU63" s="30">
        <f t="shared" si="291"/>
        <v>30</v>
      </c>
      <c r="AV63" s="150"/>
      <c r="AW63" s="284"/>
      <c r="AX63" s="1">
        <v>3</v>
      </c>
      <c r="AY63">
        <f t="shared" si="292"/>
        <v>0</v>
      </c>
      <c r="AZ63" s="37">
        <f t="shared" si="332"/>
        <v>80</v>
      </c>
      <c r="BA63" s="30">
        <f t="shared" si="293"/>
        <v>30</v>
      </c>
      <c r="BB63" s="150"/>
      <c r="BC63" s="287"/>
      <c r="BD63" s="201"/>
      <c r="BE63" s="294"/>
      <c r="BF63" s="1">
        <v>3</v>
      </c>
      <c r="BG63">
        <f t="shared" si="294"/>
        <v>0</v>
      </c>
      <c r="BH63" s="37">
        <f t="shared" si="333"/>
        <v>80</v>
      </c>
      <c r="BI63" s="30">
        <f t="shared" si="295"/>
        <v>30</v>
      </c>
      <c r="BJ63" s="150"/>
      <c r="BK63" s="284"/>
      <c r="BL63" s="1">
        <v>3</v>
      </c>
      <c r="BM63">
        <f t="shared" si="296"/>
        <v>0</v>
      </c>
      <c r="BN63" s="37">
        <f t="shared" si="334"/>
        <v>80</v>
      </c>
      <c r="BO63" s="30">
        <f t="shared" si="297"/>
        <v>30</v>
      </c>
      <c r="BP63" s="150"/>
      <c r="BQ63" s="284"/>
      <c r="BR63" s="1">
        <v>3</v>
      </c>
      <c r="BS63">
        <f t="shared" si="298"/>
        <v>0</v>
      </c>
      <c r="BT63" s="37">
        <f t="shared" si="335"/>
        <v>80</v>
      </c>
      <c r="BU63" s="30">
        <f t="shared" si="299"/>
        <v>30</v>
      </c>
      <c r="BV63" s="150"/>
      <c r="BW63" s="284"/>
      <c r="BX63" s="1">
        <v>3</v>
      </c>
      <c r="BY63">
        <f t="shared" si="300"/>
        <v>0</v>
      </c>
      <c r="BZ63" s="37">
        <f t="shared" si="336"/>
        <v>80</v>
      </c>
      <c r="CA63" s="30">
        <f t="shared" si="301"/>
        <v>30</v>
      </c>
      <c r="CB63" s="150"/>
      <c r="CC63" s="287"/>
      <c r="CD63" s="201"/>
      <c r="CE63" s="294"/>
      <c r="CF63" s="1">
        <v>3</v>
      </c>
      <c r="CG63">
        <f t="shared" si="302"/>
        <v>0</v>
      </c>
      <c r="CH63" s="37">
        <f t="shared" si="337"/>
        <v>80</v>
      </c>
      <c r="CI63" s="30">
        <f t="shared" si="303"/>
        <v>30</v>
      </c>
      <c r="CJ63" s="150"/>
      <c r="CK63" s="284"/>
      <c r="CL63" s="1">
        <v>3</v>
      </c>
      <c r="CM63">
        <f t="shared" si="304"/>
        <v>0</v>
      </c>
      <c r="CN63" s="37">
        <f t="shared" si="338"/>
        <v>80</v>
      </c>
      <c r="CO63" s="30">
        <f t="shared" si="305"/>
        <v>30</v>
      </c>
      <c r="CP63" s="150">
        <v>12</v>
      </c>
      <c r="CQ63" s="284"/>
      <c r="CR63" s="1">
        <v>3</v>
      </c>
      <c r="CS63">
        <f t="shared" si="306"/>
        <v>0</v>
      </c>
      <c r="CT63" s="37">
        <f t="shared" si="339"/>
        <v>80</v>
      </c>
      <c r="CU63" s="30">
        <f t="shared" si="307"/>
        <v>30</v>
      </c>
      <c r="CV63" s="150"/>
      <c r="CW63" s="284"/>
      <c r="CX63" s="1">
        <v>3</v>
      </c>
      <c r="CY63">
        <f t="shared" si="308"/>
        <v>0</v>
      </c>
      <c r="CZ63" s="37">
        <f t="shared" si="340"/>
        <v>80</v>
      </c>
      <c r="DA63" s="30">
        <f t="shared" si="309"/>
        <v>30</v>
      </c>
      <c r="DB63" s="150"/>
      <c r="DC63" s="287"/>
      <c r="DD63" s="201"/>
      <c r="DE63" s="294"/>
      <c r="DF63" s="1">
        <v>3</v>
      </c>
      <c r="DG63">
        <f t="shared" si="310"/>
        <v>0</v>
      </c>
      <c r="DH63" s="37">
        <f t="shared" si="341"/>
        <v>80</v>
      </c>
      <c r="DI63" s="30">
        <f t="shared" si="311"/>
        <v>30</v>
      </c>
      <c r="DJ63" s="150"/>
      <c r="DK63" s="284"/>
      <c r="DL63" s="1">
        <v>3</v>
      </c>
      <c r="DM63">
        <f t="shared" si="312"/>
        <v>0</v>
      </c>
      <c r="DN63" s="37">
        <f t="shared" si="342"/>
        <v>80</v>
      </c>
      <c r="DO63" s="30">
        <f t="shared" si="313"/>
        <v>30</v>
      </c>
      <c r="DP63" s="150"/>
      <c r="DQ63" s="284"/>
      <c r="DR63" s="1">
        <v>3</v>
      </c>
      <c r="DS63">
        <f t="shared" si="314"/>
        <v>0</v>
      </c>
      <c r="DT63" s="37">
        <f t="shared" si="343"/>
        <v>80</v>
      </c>
      <c r="DU63" s="30">
        <f t="shared" si="315"/>
        <v>30</v>
      </c>
      <c r="DV63" s="150"/>
      <c r="DW63" s="287"/>
      <c r="DX63" s="201"/>
      <c r="DY63" s="294"/>
      <c r="DZ63" s="1">
        <v>3</v>
      </c>
      <c r="EA63">
        <f t="shared" si="316"/>
        <v>0</v>
      </c>
      <c r="EB63" s="37">
        <f t="shared" si="344"/>
        <v>80</v>
      </c>
      <c r="EC63" s="30">
        <f t="shared" si="317"/>
        <v>30</v>
      </c>
      <c r="ED63" s="150"/>
      <c r="EE63" s="284"/>
      <c r="EF63" s="1">
        <v>3</v>
      </c>
      <c r="EG63">
        <f t="shared" si="318"/>
        <v>0</v>
      </c>
      <c r="EH63" s="37">
        <f t="shared" si="345"/>
        <v>80</v>
      </c>
      <c r="EI63" s="30">
        <f t="shared" si="319"/>
        <v>30</v>
      </c>
      <c r="EJ63" s="150"/>
      <c r="EK63" s="284"/>
      <c r="EL63" s="1">
        <v>3</v>
      </c>
      <c r="EM63">
        <f t="shared" si="320"/>
        <v>0</v>
      </c>
      <c r="EN63" s="37">
        <f t="shared" si="346"/>
        <v>80</v>
      </c>
      <c r="EO63" s="30">
        <f t="shared" si="321"/>
        <v>30</v>
      </c>
      <c r="EP63" s="150"/>
      <c r="EQ63" s="284"/>
      <c r="ER63" s="1">
        <v>3</v>
      </c>
      <c r="ES63">
        <f t="shared" si="322"/>
        <v>0</v>
      </c>
      <c r="ET63" s="37">
        <f t="shared" si="347"/>
        <v>80</v>
      </c>
      <c r="EU63" s="30">
        <f t="shared" si="323"/>
        <v>30</v>
      </c>
      <c r="EV63" s="150"/>
      <c r="EW63" s="287"/>
      <c r="EX63" s="201"/>
    </row>
    <row r="64" spans="1:154" x14ac:dyDescent="0.45">
      <c r="A64" s="294"/>
      <c r="B64" s="195">
        <v>4</v>
      </c>
      <c r="C64">
        <f t="shared" si="324"/>
        <v>0</v>
      </c>
      <c r="D64" s="37">
        <f t="shared" si="325"/>
        <v>80</v>
      </c>
      <c r="E64" s="30">
        <f t="shared" si="279"/>
        <v>26</v>
      </c>
      <c r="F64" s="150"/>
      <c r="G64" s="287"/>
      <c r="H64" s="201"/>
      <c r="I64" s="294"/>
      <c r="J64" s="1">
        <v>4</v>
      </c>
      <c r="K64">
        <f t="shared" si="280"/>
        <v>0</v>
      </c>
      <c r="L64" s="37">
        <f t="shared" si="326"/>
        <v>80</v>
      </c>
      <c r="M64" s="30">
        <f t="shared" si="281"/>
        <v>26</v>
      </c>
      <c r="N64" s="150"/>
      <c r="O64" s="284"/>
      <c r="P64" s="1">
        <v>4</v>
      </c>
      <c r="Q64">
        <f t="shared" si="282"/>
        <v>0</v>
      </c>
      <c r="R64" s="37">
        <f t="shared" si="327"/>
        <v>80</v>
      </c>
      <c r="S64" s="30">
        <f t="shared" si="283"/>
        <v>26</v>
      </c>
      <c r="T64" s="150"/>
      <c r="U64" s="287"/>
      <c r="V64" s="201"/>
      <c r="W64" s="294"/>
      <c r="X64" s="1">
        <v>4</v>
      </c>
      <c r="Y64">
        <f t="shared" si="284"/>
        <v>0</v>
      </c>
      <c r="Z64" s="37">
        <f t="shared" si="328"/>
        <v>80</v>
      </c>
      <c r="AA64" s="30">
        <f t="shared" si="285"/>
        <v>26</v>
      </c>
      <c r="AB64" s="150"/>
      <c r="AC64" s="284"/>
      <c r="AD64" s="1">
        <v>4</v>
      </c>
      <c r="AE64">
        <f t="shared" si="286"/>
        <v>0</v>
      </c>
      <c r="AF64" s="37">
        <f t="shared" si="329"/>
        <v>80</v>
      </c>
      <c r="AG64" s="30">
        <f t="shared" si="287"/>
        <v>26</v>
      </c>
      <c r="AH64" s="150"/>
      <c r="AI64" s="284"/>
      <c r="AJ64" s="1">
        <v>4</v>
      </c>
      <c r="AK64">
        <f t="shared" si="288"/>
        <v>0</v>
      </c>
      <c r="AL64" s="37">
        <f t="shared" si="330"/>
        <v>80</v>
      </c>
      <c r="AM64" s="30">
        <f t="shared" si="289"/>
        <v>26</v>
      </c>
      <c r="AN64" s="150"/>
      <c r="AO64" s="287"/>
      <c r="AP64" s="201"/>
      <c r="AQ64" s="294"/>
      <c r="AR64" s="1">
        <v>4</v>
      </c>
      <c r="AS64">
        <f t="shared" si="290"/>
        <v>0</v>
      </c>
      <c r="AT64" s="37">
        <f t="shared" si="331"/>
        <v>80</v>
      </c>
      <c r="AU64" s="30">
        <f t="shared" si="291"/>
        <v>26</v>
      </c>
      <c r="AV64" s="150"/>
      <c r="AW64" s="284"/>
      <c r="AX64" s="1">
        <v>4</v>
      </c>
      <c r="AY64">
        <f t="shared" si="292"/>
        <v>0</v>
      </c>
      <c r="AZ64" s="37">
        <f t="shared" si="332"/>
        <v>80</v>
      </c>
      <c r="BA64" s="30">
        <f t="shared" si="293"/>
        <v>26</v>
      </c>
      <c r="BB64" s="150"/>
      <c r="BC64" s="287"/>
      <c r="BD64" s="201"/>
      <c r="BE64" s="294"/>
      <c r="BF64" s="1">
        <v>4</v>
      </c>
      <c r="BG64">
        <f t="shared" si="294"/>
        <v>0</v>
      </c>
      <c r="BH64" s="37">
        <f t="shared" si="333"/>
        <v>80</v>
      </c>
      <c r="BI64" s="30">
        <f t="shared" si="295"/>
        <v>26</v>
      </c>
      <c r="BJ64" s="150"/>
      <c r="BK64" s="284"/>
      <c r="BL64" s="1">
        <v>4</v>
      </c>
      <c r="BM64">
        <f t="shared" si="296"/>
        <v>0</v>
      </c>
      <c r="BN64" s="37">
        <f t="shared" si="334"/>
        <v>80</v>
      </c>
      <c r="BO64" s="30">
        <f t="shared" si="297"/>
        <v>26</v>
      </c>
      <c r="BP64" s="150"/>
      <c r="BQ64" s="284"/>
      <c r="BR64" s="1">
        <v>4</v>
      </c>
      <c r="BS64">
        <f t="shared" si="298"/>
        <v>0</v>
      </c>
      <c r="BT64" s="37">
        <f t="shared" si="335"/>
        <v>80</v>
      </c>
      <c r="BU64" s="30">
        <f t="shared" si="299"/>
        <v>26</v>
      </c>
      <c r="BV64" s="150"/>
      <c r="BW64" s="284"/>
      <c r="BX64" s="1">
        <v>4</v>
      </c>
      <c r="BY64">
        <f t="shared" si="300"/>
        <v>0</v>
      </c>
      <c r="BZ64" s="37">
        <f t="shared" si="336"/>
        <v>80</v>
      </c>
      <c r="CA64" s="30">
        <f t="shared" si="301"/>
        <v>26</v>
      </c>
      <c r="CB64" s="150"/>
      <c r="CC64" s="287"/>
      <c r="CD64" s="201"/>
      <c r="CE64" s="294"/>
      <c r="CF64" s="1">
        <v>4</v>
      </c>
      <c r="CG64">
        <f t="shared" si="302"/>
        <v>0</v>
      </c>
      <c r="CH64" s="37">
        <f t="shared" si="337"/>
        <v>80</v>
      </c>
      <c r="CI64" s="30">
        <f t="shared" si="303"/>
        <v>26</v>
      </c>
      <c r="CJ64" s="150"/>
      <c r="CK64" s="284"/>
      <c r="CL64" s="1">
        <v>4</v>
      </c>
      <c r="CM64">
        <f t="shared" si="304"/>
        <v>0</v>
      </c>
      <c r="CN64" s="37">
        <f t="shared" si="338"/>
        <v>80</v>
      </c>
      <c r="CO64" s="30">
        <f t="shared" si="305"/>
        <v>26</v>
      </c>
      <c r="CP64" s="150"/>
      <c r="CQ64" s="284"/>
      <c r="CR64" s="1">
        <v>4</v>
      </c>
      <c r="CS64">
        <f t="shared" si="306"/>
        <v>0</v>
      </c>
      <c r="CT64" s="37">
        <f t="shared" si="339"/>
        <v>80</v>
      </c>
      <c r="CU64" s="30">
        <f t="shared" si="307"/>
        <v>26</v>
      </c>
      <c r="CV64" s="150"/>
      <c r="CW64" s="284"/>
      <c r="CX64" s="1">
        <v>4</v>
      </c>
      <c r="CY64">
        <f t="shared" si="308"/>
        <v>0</v>
      </c>
      <c r="CZ64" s="37">
        <f t="shared" si="340"/>
        <v>80</v>
      </c>
      <c r="DA64" s="30">
        <f t="shared" si="309"/>
        <v>26</v>
      </c>
      <c r="DB64" s="150"/>
      <c r="DC64" s="287"/>
      <c r="DD64" s="201"/>
      <c r="DE64" s="294"/>
      <c r="DF64" s="1">
        <v>4</v>
      </c>
      <c r="DG64">
        <f t="shared" si="310"/>
        <v>0</v>
      </c>
      <c r="DH64" s="37">
        <f t="shared" si="341"/>
        <v>80</v>
      </c>
      <c r="DI64" s="30">
        <f t="shared" si="311"/>
        <v>26</v>
      </c>
      <c r="DJ64" s="150"/>
      <c r="DK64" s="284"/>
      <c r="DL64" s="1">
        <v>4</v>
      </c>
      <c r="DM64">
        <f t="shared" si="312"/>
        <v>0</v>
      </c>
      <c r="DN64" s="37">
        <f t="shared" si="342"/>
        <v>80</v>
      </c>
      <c r="DO64" s="30">
        <f t="shared" si="313"/>
        <v>26</v>
      </c>
      <c r="DP64" s="150"/>
      <c r="DQ64" s="284"/>
      <c r="DR64" s="1">
        <v>4</v>
      </c>
      <c r="DS64">
        <f t="shared" si="314"/>
        <v>0</v>
      </c>
      <c r="DT64" s="37">
        <f t="shared" si="343"/>
        <v>80</v>
      </c>
      <c r="DU64" s="30">
        <f t="shared" si="315"/>
        <v>26</v>
      </c>
      <c r="DV64" s="150"/>
      <c r="DW64" s="287"/>
      <c r="DX64" s="201"/>
      <c r="DY64" s="294"/>
      <c r="DZ64" s="1">
        <v>4</v>
      </c>
      <c r="EA64">
        <f t="shared" si="316"/>
        <v>0</v>
      </c>
      <c r="EB64" s="37">
        <f t="shared" si="344"/>
        <v>80</v>
      </c>
      <c r="EC64" s="30">
        <f t="shared" si="317"/>
        <v>26</v>
      </c>
      <c r="ED64" s="150"/>
      <c r="EE64" s="284"/>
      <c r="EF64" s="1">
        <v>4</v>
      </c>
      <c r="EG64">
        <f t="shared" si="318"/>
        <v>0</v>
      </c>
      <c r="EH64" s="37">
        <f t="shared" si="345"/>
        <v>80</v>
      </c>
      <c r="EI64" s="30">
        <f t="shared" si="319"/>
        <v>26</v>
      </c>
      <c r="EJ64" s="150"/>
      <c r="EK64" s="284"/>
      <c r="EL64" s="1">
        <v>4</v>
      </c>
      <c r="EM64">
        <f t="shared" si="320"/>
        <v>0</v>
      </c>
      <c r="EN64" s="37">
        <f t="shared" si="346"/>
        <v>80</v>
      </c>
      <c r="EO64" s="30">
        <f t="shared" si="321"/>
        <v>26</v>
      </c>
      <c r="EP64" s="150"/>
      <c r="EQ64" s="284"/>
      <c r="ER64" s="1">
        <v>4</v>
      </c>
      <c r="ES64">
        <f t="shared" si="322"/>
        <v>0</v>
      </c>
      <c r="ET64" s="37">
        <f t="shared" si="347"/>
        <v>80</v>
      </c>
      <c r="EU64" s="30">
        <f t="shared" si="323"/>
        <v>26</v>
      </c>
      <c r="EV64" s="150"/>
      <c r="EW64" s="287"/>
      <c r="EX64" s="201"/>
    </row>
    <row r="65" spans="1:154" s="181" customFormat="1" x14ac:dyDescent="0.45">
      <c r="A65" s="294"/>
      <c r="B65" s="195">
        <v>5</v>
      </c>
      <c r="C65" s="181">
        <f t="shared" si="324"/>
        <v>0</v>
      </c>
      <c r="D65" s="37">
        <f t="shared" si="325"/>
        <v>80</v>
      </c>
      <c r="E65" s="30">
        <f t="shared" si="279"/>
        <v>4</v>
      </c>
      <c r="F65" s="188">
        <v>9</v>
      </c>
      <c r="G65" s="287"/>
      <c r="H65" s="201"/>
      <c r="I65" s="294"/>
      <c r="J65" s="180">
        <v>5</v>
      </c>
      <c r="K65" s="181">
        <f t="shared" si="280"/>
        <v>1</v>
      </c>
      <c r="L65" s="37">
        <f t="shared" si="326"/>
        <v>88</v>
      </c>
      <c r="M65" s="30">
        <f t="shared" si="281"/>
        <v>12</v>
      </c>
      <c r="N65" s="188"/>
      <c r="O65" s="284"/>
      <c r="P65" s="180">
        <v>5</v>
      </c>
      <c r="Q65" s="181">
        <f t="shared" si="282"/>
        <v>1</v>
      </c>
      <c r="R65" s="37">
        <f t="shared" si="327"/>
        <v>88</v>
      </c>
      <c r="S65" s="30">
        <f t="shared" si="283"/>
        <v>12</v>
      </c>
      <c r="T65" s="188">
        <v>15</v>
      </c>
      <c r="U65" s="287"/>
      <c r="V65" s="201"/>
      <c r="W65" s="294"/>
      <c r="X65" s="180">
        <v>5</v>
      </c>
      <c r="Y65" s="181">
        <f t="shared" si="284"/>
        <v>2</v>
      </c>
      <c r="Z65" s="37">
        <f t="shared" si="328"/>
        <v>96</v>
      </c>
      <c r="AA65" s="30">
        <f t="shared" si="285"/>
        <v>20</v>
      </c>
      <c r="AB65" s="188">
        <v>5</v>
      </c>
      <c r="AC65" s="284"/>
      <c r="AD65" s="180">
        <v>5</v>
      </c>
      <c r="AE65" s="181">
        <f t="shared" si="286"/>
        <v>3</v>
      </c>
      <c r="AF65" s="37">
        <f t="shared" si="329"/>
        <v>104</v>
      </c>
      <c r="AG65" s="30">
        <f t="shared" si="287"/>
        <v>28</v>
      </c>
      <c r="AH65" s="188">
        <v>11</v>
      </c>
      <c r="AI65" s="284"/>
      <c r="AJ65" s="180">
        <v>5</v>
      </c>
      <c r="AK65" s="181">
        <f t="shared" si="288"/>
        <v>0</v>
      </c>
      <c r="AL65" s="37">
        <f t="shared" si="330"/>
        <v>80</v>
      </c>
      <c r="AM65" s="30">
        <f t="shared" si="289"/>
        <v>4</v>
      </c>
      <c r="AN65" s="188"/>
      <c r="AO65" s="287"/>
      <c r="AP65" s="201"/>
      <c r="AQ65" s="294"/>
      <c r="AR65" s="180">
        <v>5</v>
      </c>
      <c r="AS65" s="181">
        <f t="shared" si="290"/>
        <v>0</v>
      </c>
      <c r="AT65" s="37">
        <f t="shared" si="331"/>
        <v>80</v>
      </c>
      <c r="AU65" s="30">
        <f t="shared" si="291"/>
        <v>4</v>
      </c>
      <c r="AV65" s="188"/>
      <c r="AW65" s="284"/>
      <c r="AX65" s="180">
        <v>5</v>
      </c>
      <c r="AY65" s="181">
        <f t="shared" si="292"/>
        <v>0</v>
      </c>
      <c r="AZ65" s="37">
        <f t="shared" si="332"/>
        <v>80</v>
      </c>
      <c r="BA65" s="30">
        <f t="shared" si="293"/>
        <v>4</v>
      </c>
      <c r="BB65" s="188">
        <v>19</v>
      </c>
      <c r="BC65" s="287"/>
      <c r="BD65" s="201"/>
      <c r="BE65" s="294"/>
      <c r="BF65" s="180">
        <v>5</v>
      </c>
      <c r="BG65" s="181">
        <f t="shared" si="294"/>
        <v>1</v>
      </c>
      <c r="BH65" s="37">
        <f t="shared" si="333"/>
        <v>88</v>
      </c>
      <c r="BI65" s="30">
        <f t="shared" si="295"/>
        <v>12</v>
      </c>
      <c r="BJ65" s="188"/>
      <c r="BK65" s="284"/>
      <c r="BL65" s="180">
        <v>5</v>
      </c>
      <c r="BM65" s="181">
        <f t="shared" si="296"/>
        <v>1</v>
      </c>
      <c r="BN65" s="37">
        <f t="shared" si="334"/>
        <v>88</v>
      </c>
      <c r="BO65" s="30">
        <f t="shared" si="297"/>
        <v>12</v>
      </c>
      <c r="BP65" s="188"/>
      <c r="BQ65" s="284"/>
      <c r="BR65" s="180">
        <v>5</v>
      </c>
      <c r="BS65" s="181">
        <f t="shared" si="298"/>
        <v>1</v>
      </c>
      <c r="BT65" s="37">
        <f t="shared" si="335"/>
        <v>88</v>
      </c>
      <c r="BU65" s="30">
        <f t="shared" si="299"/>
        <v>12</v>
      </c>
      <c r="BV65" s="188">
        <v>25</v>
      </c>
      <c r="BW65" s="284"/>
      <c r="BX65" s="180">
        <v>5</v>
      </c>
      <c r="BY65" s="181">
        <f t="shared" si="300"/>
        <v>2</v>
      </c>
      <c r="BZ65" s="37">
        <f t="shared" si="336"/>
        <v>96</v>
      </c>
      <c r="CA65" s="30">
        <f t="shared" si="301"/>
        <v>20</v>
      </c>
      <c r="CB65" s="188"/>
      <c r="CC65" s="287"/>
      <c r="CD65" s="201"/>
      <c r="CE65" s="294"/>
      <c r="CF65" s="180">
        <v>5</v>
      </c>
      <c r="CG65" s="181">
        <f t="shared" si="302"/>
        <v>2</v>
      </c>
      <c r="CH65" s="37">
        <f t="shared" si="337"/>
        <v>96</v>
      </c>
      <c r="CI65" s="30">
        <f t="shared" si="303"/>
        <v>20</v>
      </c>
      <c r="CJ65" s="188">
        <v>5</v>
      </c>
      <c r="CK65" s="284"/>
      <c r="CL65" s="180">
        <v>5</v>
      </c>
      <c r="CM65" s="181">
        <f t="shared" si="304"/>
        <v>3</v>
      </c>
      <c r="CN65" s="37">
        <f t="shared" si="338"/>
        <v>104</v>
      </c>
      <c r="CO65" s="30">
        <f t="shared" si="305"/>
        <v>28</v>
      </c>
      <c r="CP65" s="188">
        <v>11</v>
      </c>
      <c r="CQ65" s="284"/>
      <c r="CR65" s="180">
        <v>5</v>
      </c>
      <c r="CS65" s="181">
        <f t="shared" si="306"/>
        <v>4</v>
      </c>
      <c r="CT65" s="37">
        <f t="shared" si="339"/>
        <v>112</v>
      </c>
      <c r="CU65" s="30">
        <f t="shared" si="307"/>
        <v>4</v>
      </c>
      <c r="CV65" s="188"/>
      <c r="CW65" s="284"/>
      <c r="CX65" s="180">
        <v>5</v>
      </c>
      <c r="CY65" s="181">
        <f t="shared" si="308"/>
        <v>4</v>
      </c>
      <c r="CZ65" s="37">
        <f t="shared" si="340"/>
        <v>112</v>
      </c>
      <c r="DA65" s="30">
        <f t="shared" si="309"/>
        <v>4</v>
      </c>
      <c r="DB65" s="188"/>
      <c r="DC65" s="287"/>
      <c r="DD65" s="201"/>
      <c r="DE65" s="294"/>
      <c r="DF65" s="180">
        <v>5</v>
      </c>
      <c r="DG65" s="181">
        <f t="shared" si="310"/>
        <v>4</v>
      </c>
      <c r="DH65" s="37">
        <f t="shared" si="341"/>
        <v>112</v>
      </c>
      <c r="DI65" s="30">
        <f t="shared" si="311"/>
        <v>4</v>
      </c>
      <c r="DJ65" s="188"/>
      <c r="DK65" s="284"/>
      <c r="DL65" s="180">
        <v>5</v>
      </c>
      <c r="DM65" s="181">
        <f t="shared" si="312"/>
        <v>4</v>
      </c>
      <c r="DN65" s="37">
        <f t="shared" si="342"/>
        <v>112</v>
      </c>
      <c r="DO65" s="30">
        <f t="shared" si="313"/>
        <v>4</v>
      </c>
      <c r="DP65" s="188"/>
      <c r="DQ65" s="284"/>
      <c r="DR65" s="180">
        <v>5</v>
      </c>
      <c r="DS65" s="181">
        <f t="shared" si="314"/>
        <v>4</v>
      </c>
      <c r="DT65" s="37">
        <f t="shared" si="343"/>
        <v>112</v>
      </c>
      <c r="DU65" s="30">
        <f t="shared" si="315"/>
        <v>4</v>
      </c>
      <c r="DV65" s="188">
        <v>19</v>
      </c>
      <c r="DW65" s="287"/>
      <c r="DX65" s="201"/>
      <c r="DY65" s="294"/>
      <c r="DZ65" s="180">
        <v>5</v>
      </c>
      <c r="EA65" s="181">
        <f t="shared" si="316"/>
        <v>5</v>
      </c>
      <c r="EB65" s="37">
        <f t="shared" si="344"/>
        <v>120</v>
      </c>
      <c r="EC65" s="30">
        <f t="shared" si="317"/>
        <v>12</v>
      </c>
      <c r="ED65" s="188">
        <v>5</v>
      </c>
      <c r="EE65" s="284"/>
      <c r="EF65" s="180">
        <v>5</v>
      </c>
      <c r="EG65" s="181">
        <f t="shared" si="318"/>
        <v>6</v>
      </c>
      <c r="EH65" s="37">
        <f t="shared" si="345"/>
        <v>128</v>
      </c>
      <c r="EI65" s="30">
        <f t="shared" si="319"/>
        <v>20</v>
      </c>
      <c r="EJ65" s="188"/>
      <c r="EK65" s="284"/>
      <c r="EL65" s="180">
        <v>5</v>
      </c>
      <c r="EM65" s="181">
        <f t="shared" si="320"/>
        <v>6</v>
      </c>
      <c r="EN65" s="37">
        <f t="shared" si="346"/>
        <v>128</v>
      </c>
      <c r="EO65" s="30">
        <f t="shared" si="321"/>
        <v>20</v>
      </c>
      <c r="EP65" s="188"/>
      <c r="EQ65" s="284"/>
      <c r="ER65" s="180">
        <v>5</v>
      </c>
      <c r="ES65" s="181">
        <f t="shared" si="322"/>
        <v>6</v>
      </c>
      <c r="ET65" s="37">
        <f t="shared" si="347"/>
        <v>128</v>
      </c>
      <c r="EU65" s="30">
        <f t="shared" si="323"/>
        <v>20</v>
      </c>
      <c r="EV65" s="188"/>
      <c r="EW65" s="287"/>
      <c r="EX65" s="201"/>
    </row>
    <row r="66" spans="1:154" x14ac:dyDescent="0.45">
      <c r="A66" s="294"/>
      <c r="B66" s="195">
        <v>6</v>
      </c>
      <c r="C66">
        <f t="shared" si="324"/>
        <v>0</v>
      </c>
      <c r="D66" s="37">
        <f t="shared" si="325"/>
        <v>80</v>
      </c>
      <c r="E66" s="30">
        <f t="shared" si="279"/>
        <v>0</v>
      </c>
      <c r="F66" s="150"/>
      <c r="G66" s="287"/>
      <c r="H66" s="201"/>
      <c r="I66" s="294"/>
      <c r="J66" s="1">
        <v>6</v>
      </c>
      <c r="K66">
        <f t="shared" si="280"/>
        <v>0</v>
      </c>
      <c r="L66" s="37">
        <f t="shared" si="326"/>
        <v>80</v>
      </c>
      <c r="M66" s="30">
        <f t="shared" si="281"/>
        <v>0</v>
      </c>
      <c r="N66" s="150"/>
      <c r="O66" s="284"/>
      <c r="P66" s="1">
        <v>6</v>
      </c>
      <c r="Q66">
        <f t="shared" si="282"/>
        <v>0</v>
      </c>
      <c r="R66" s="37">
        <f t="shared" si="327"/>
        <v>80</v>
      </c>
      <c r="S66" s="30">
        <f t="shared" si="283"/>
        <v>0</v>
      </c>
      <c r="T66" s="150"/>
      <c r="U66" s="287"/>
      <c r="V66" s="201"/>
      <c r="W66" s="294"/>
      <c r="X66" s="1">
        <v>6</v>
      </c>
      <c r="Y66">
        <f t="shared" si="284"/>
        <v>0</v>
      </c>
      <c r="Z66" s="37">
        <f t="shared" si="328"/>
        <v>80</v>
      </c>
      <c r="AA66" s="30">
        <f t="shared" si="285"/>
        <v>0</v>
      </c>
      <c r="AB66" s="150"/>
      <c r="AC66" s="284"/>
      <c r="AD66" s="1">
        <v>6</v>
      </c>
      <c r="AE66">
        <f t="shared" si="286"/>
        <v>0</v>
      </c>
      <c r="AF66" s="37">
        <f t="shared" si="329"/>
        <v>80</v>
      </c>
      <c r="AG66" s="30">
        <f t="shared" si="287"/>
        <v>0</v>
      </c>
      <c r="AH66" s="150"/>
      <c r="AI66" s="284"/>
      <c r="AJ66" s="1">
        <v>6</v>
      </c>
      <c r="AK66">
        <f t="shared" si="288"/>
        <v>0</v>
      </c>
      <c r="AL66" s="37">
        <f t="shared" si="330"/>
        <v>80</v>
      </c>
      <c r="AM66" s="30">
        <f t="shared" si="289"/>
        <v>0</v>
      </c>
      <c r="AN66" s="150"/>
      <c r="AO66" s="287"/>
      <c r="AP66" s="201"/>
      <c r="AQ66" s="294"/>
      <c r="AR66" s="1">
        <v>6</v>
      </c>
      <c r="AS66">
        <f t="shared" si="290"/>
        <v>0</v>
      </c>
      <c r="AT66" s="37">
        <f t="shared" si="331"/>
        <v>80</v>
      </c>
      <c r="AU66" s="30">
        <f t="shared" si="291"/>
        <v>0</v>
      </c>
      <c r="AV66" s="150"/>
      <c r="AW66" s="284"/>
      <c r="AX66" s="1">
        <v>6</v>
      </c>
      <c r="AY66">
        <f t="shared" si="292"/>
        <v>0</v>
      </c>
      <c r="AZ66" s="37">
        <f t="shared" si="332"/>
        <v>80</v>
      </c>
      <c r="BA66" s="30">
        <f t="shared" si="293"/>
        <v>0</v>
      </c>
      <c r="BB66" s="150"/>
      <c r="BC66" s="287"/>
      <c r="BD66" s="201"/>
      <c r="BE66" s="294"/>
      <c r="BF66" s="1">
        <v>6</v>
      </c>
      <c r="BG66">
        <f t="shared" si="294"/>
        <v>0</v>
      </c>
      <c r="BH66" s="37">
        <f t="shared" si="333"/>
        <v>80</v>
      </c>
      <c r="BI66" s="30">
        <f t="shared" si="295"/>
        <v>0</v>
      </c>
      <c r="BJ66" s="150"/>
      <c r="BK66" s="284"/>
      <c r="BL66" s="1">
        <v>6</v>
      </c>
      <c r="BM66">
        <f t="shared" si="296"/>
        <v>0</v>
      </c>
      <c r="BN66" s="37">
        <f t="shared" si="334"/>
        <v>80</v>
      </c>
      <c r="BO66" s="30">
        <f t="shared" si="297"/>
        <v>0</v>
      </c>
      <c r="BP66" s="150"/>
      <c r="BQ66" s="284"/>
      <c r="BR66" s="1">
        <v>6</v>
      </c>
      <c r="BS66">
        <f t="shared" si="298"/>
        <v>0</v>
      </c>
      <c r="BT66" s="37">
        <f t="shared" si="335"/>
        <v>80</v>
      </c>
      <c r="BU66" s="30">
        <f t="shared" si="299"/>
        <v>0</v>
      </c>
      <c r="BV66" s="150"/>
      <c r="BW66" s="284"/>
      <c r="BX66" s="1">
        <v>6</v>
      </c>
      <c r="BY66">
        <f t="shared" si="300"/>
        <v>0</v>
      </c>
      <c r="BZ66" s="37">
        <f t="shared" si="336"/>
        <v>80</v>
      </c>
      <c r="CA66" s="30">
        <f t="shared" si="301"/>
        <v>0</v>
      </c>
      <c r="CB66" s="150"/>
      <c r="CC66" s="287"/>
      <c r="CD66" s="201"/>
      <c r="CE66" s="294"/>
      <c r="CF66" s="1">
        <v>6</v>
      </c>
      <c r="CG66">
        <f t="shared" si="302"/>
        <v>0</v>
      </c>
      <c r="CH66" s="37">
        <f t="shared" si="337"/>
        <v>80</v>
      </c>
      <c r="CI66" s="30">
        <f t="shared" si="303"/>
        <v>0</v>
      </c>
      <c r="CJ66" s="150"/>
      <c r="CK66" s="284"/>
      <c r="CL66" s="1">
        <v>6</v>
      </c>
      <c r="CM66">
        <f t="shared" si="304"/>
        <v>0</v>
      </c>
      <c r="CN66" s="37">
        <f t="shared" si="338"/>
        <v>80</v>
      </c>
      <c r="CO66" s="30">
        <f t="shared" si="305"/>
        <v>0</v>
      </c>
      <c r="CP66" s="150"/>
      <c r="CQ66" s="284"/>
      <c r="CR66" s="1">
        <v>6</v>
      </c>
      <c r="CS66">
        <f t="shared" si="306"/>
        <v>0</v>
      </c>
      <c r="CT66" s="37">
        <f t="shared" si="339"/>
        <v>80</v>
      </c>
      <c r="CU66" s="30">
        <f t="shared" si="307"/>
        <v>0</v>
      </c>
      <c r="CV66" s="150"/>
      <c r="CW66" s="284"/>
      <c r="CX66" s="1">
        <v>6</v>
      </c>
      <c r="CY66">
        <f t="shared" si="308"/>
        <v>0</v>
      </c>
      <c r="CZ66" s="37">
        <f t="shared" si="340"/>
        <v>80</v>
      </c>
      <c r="DA66" s="30">
        <f t="shared" si="309"/>
        <v>0</v>
      </c>
      <c r="DB66" s="150"/>
      <c r="DC66" s="287"/>
      <c r="DD66" s="201"/>
      <c r="DE66" s="294"/>
      <c r="DF66" s="1">
        <v>6</v>
      </c>
      <c r="DG66">
        <f t="shared" si="310"/>
        <v>0</v>
      </c>
      <c r="DH66" s="37">
        <f t="shared" si="341"/>
        <v>80</v>
      </c>
      <c r="DI66" s="30">
        <f t="shared" si="311"/>
        <v>0</v>
      </c>
      <c r="DJ66" s="150"/>
      <c r="DK66" s="284"/>
      <c r="DL66" s="1">
        <v>6</v>
      </c>
      <c r="DM66">
        <f t="shared" si="312"/>
        <v>0</v>
      </c>
      <c r="DN66" s="37">
        <f t="shared" si="342"/>
        <v>80</v>
      </c>
      <c r="DO66" s="30">
        <f t="shared" si="313"/>
        <v>0</v>
      </c>
      <c r="DP66" s="150"/>
      <c r="DQ66" s="284"/>
      <c r="DR66" s="1">
        <v>6</v>
      </c>
      <c r="DS66">
        <f t="shared" si="314"/>
        <v>0</v>
      </c>
      <c r="DT66" s="37">
        <f t="shared" si="343"/>
        <v>80</v>
      </c>
      <c r="DU66" s="30">
        <f t="shared" si="315"/>
        <v>0</v>
      </c>
      <c r="DV66" s="150"/>
      <c r="DW66" s="287"/>
      <c r="DX66" s="201"/>
      <c r="DY66" s="294"/>
      <c r="DZ66" s="1">
        <v>6</v>
      </c>
      <c r="EA66">
        <f t="shared" si="316"/>
        <v>0</v>
      </c>
      <c r="EB66" s="37">
        <f t="shared" si="344"/>
        <v>80</v>
      </c>
      <c r="EC66" s="30">
        <f t="shared" si="317"/>
        <v>0</v>
      </c>
      <c r="ED66" s="150"/>
      <c r="EE66" s="284"/>
      <c r="EF66" s="1">
        <v>6</v>
      </c>
      <c r="EG66">
        <f t="shared" si="318"/>
        <v>0</v>
      </c>
      <c r="EH66" s="37">
        <f t="shared" si="345"/>
        <v>80</v>
      </c>
      <c r="EI66" s="30">
        <f t="shared" si="319"/>
        <v>0</v>
      </c>
      <c r="EJ66" s="150"/>
      <c r="EK66" s="284"/>
      <c r="EL66" s="1">
        <v>6</v>
      </c>
      <c r="EM66">
        <f t="shared" si="320"/>
        <v>0</v>
      </c>
      <c r="EN66" s="37">
        <f t="shared" si="346"/>
        <v>80</v>
      </c>
      <c r="EO66" s="30">
        <f t="shared" si="321"/>
        <v>0</v>
      </c>
      <c r="EP66" s="150"/>
      <c r="EQ66" s="284"/>
      <c r="ER66" s="1">
        <v>6</v>
      </c>
      <c r="ES66">
        <f t="shared" si="322"/>
        <v>0</v>
      </c>
      <c r="ET66" s="37">
        <f t="shared" si="347"/>
        <v>80</v>
      </c>
      <c r="EU66" s="30">
        <f t="shared" si="323"/>
        <v>0</v>
      </c>
      <c r="EV66" s="150"/>
      <c r="EW66" s="287"/>
      <c r="EX66" s="201"/>
    </row>
    <row r="67" spans="1:154" x14ac:dyDescent="0.45">
      <c r="A67" s="294"/>
      <c r="B67" s="195">
        <v>7</v>
      </c>
      <c r="C67">
        <f t="shared" si="324"/>
        <v>0</v>
      </c>
      <c r="D67" s="37">
        <f t="shared" si="325"/>
        <v>80</v>
      </c>
      <c r="E67" s="30">
        <f t="shared" si="279"/>
        <v>13</v>
      </c>
      <c r="F67" s="150"/>
      <c r="G67" s="287"/>
      <c r="H67" s="201"/>
      <c r="I67" s="294"/>
      <c r="J67" s="1">
        <v>7</v>
      </c>
      <c r="K67">
        <f t="shared" si="280"/>
        <v>0</v>
      </c>
      <c r="L67" s="37">
        <f t="shared" si="326"/>
        <v>80</v>
      </c>
      <c r="M67" s="30">
        <f t="shared" si="281"/>
        <v>13</v>
      </c>
      <c r="N67" s="150"/>
      <c r="O67" s="284"/>
      <c r="P67" s="1">
        <v>7</v>
      </c>
      <c r="Q67">
        <f t="shared" si="282"/>
        <v>0</v>
      </c>
      <c r="R67" s="37">
        <f t="shared" si="327"/>
        <v>80</v>
      </c>
      <c r="S67" s="30">
        <f t="shared" si="283"/>
        <v>13</v>
      </c>
      <c r="T67" s="150">
        <v>16</v>
      </c>
      <c r="U67" s="287"/>
      <c r="V67" s="201"/>
      <c r="W67" s="294"/>
      <c r="X67" s="1">
        <v>7</v>
      </c>
      <c r="Y67">
        <f t="shared" si="284"/>
        <v>0</v>
      </c>
      <c r="Z67" s="37">
        <f t="shared" si="328"/>
        <v>80</v>
      </c>
      <c r="AA67" s="30">
        <f t="shared" si="285"/>
        <v>13</v>
      </c>
      <c r="AB67" s="150"/>
      <c r="AC67" s="284"/>
      <c r="AD67" s="1">
        <v>7</v>
      </c>
      <c r="AE67">
        <f t="shared" si="286"/>
        <v>0</v>
      </c>
      <c r="AF67" s="37">
        <f t="shared" si="329"/>
        <v>80</v>
      </c>
      <c r="AG67" s="30">
        <f t="shared" si="287"/>
        <v>13</v>
      </c>
      <c r="AH67" s="150"/>
      <c r="AI67" s="284"/>
      <c r="AJ67" s="1">
        <v>7</v>
      </c>
      <c r="AK67">
        <f t="shared" si="288"/>
        <v>0</v>
      </c>
      <c r="AL67" s="37">
        <f t="shared" si="330"/>
        <v>80</v>
      </c>
      <c r="AM67" s="30">
        <f t="shared" si="289"/>
        <v>13</v>
      </c>
      <c r="AN67" s="150"/>
      <c r="AO67" s="287"/>
      <c r="AP67" s="201"/>
      <c r="AQ67" s="294"/>
      <c r="AR67" s="1">
        <v>7</v>
      </c>
      <c r="AS67">
        <f t="shared" si="290"/>
        <v>0</v>
      </c>
      <c r="AT67" s="37">
        <f t="shared" si="331"/>
        <v>80</v>
      </c>
      <c r="AU67" s="30">
        <f t="shared" si="291"/>
        <v>13</v>
      </c>
      <c r="AV67" s="150"/>
      <c r="AW67" s="284"/>
      <c r="AX67" s="1">
        <v>7</v>
      </c>
      <c r="AY67">
        <f t="shared" si="292"/>
        <v>0</v>
      </c>
      <c r="AZ67" s="37">
        <f t="shared" si="332"/>
        <v>80</v>
      </c>
      <c r="BA67" s="30">
        <f t="shared" si="293"/>
        <v>13</v>
      </c>
      <c r="BB67" s="150"/>
      <c r="BC67" s="287"/>
      <c r="BD67" s="201"/>
      <c r="BE67" s="294"/>
      <c r="BF67" s="1">
        <v>7</v>
      </c>
      <c r="BG67">
        <f t="shared" si="294"/>
        <v>0</v>
      </c>
      <c r="BH67" s="37">
        <f t="shared" si="333"/>
        <v>80</v>
      </c>
      <c r="BI67" s="30">
        <f t="shared" si="295"/>
        <v>13</v>
      </c>
      <c r="BJ67" s="150"/>
      <c r="BK67" s="284"/>
      <c r="BL67" s="1">
        <v>7</v>
      </c>
      <c r="BM67">
        <f t="shared" si="296"/>
        <v>0</v>
      </c>
      <c r="BN67" s="37">
        <f t="shared" si="334"/>
        <v>80</v>
      </c>
      <c r="BO67" s="30">
        <f t="shared" si="297"/>
        <v>13</v>
      </c>
      <c r="BP67" s="150"/>
      <c r="BQ67" s="284"/>
      <c r="BR67" s="1">
        <v>7</v>
      </c>
      <c r="BS67">
        <f t="shared" si="298"/>
        <v>0</v>
      </c>
      <c r="BT67" s="37">
        <f t="shared" si="335"/>
        <v>80</v>
      </c>
      <c r="BU67" s="30">
        <f t="shared" si="299"/>
        <v>13</v>
      </c>
      <c r="BV67" s="150">
        <v>26</v>
      </c>
      <c r="BW67" s="284"/>
      <c r="BX67" s="1">
        <v>7</v>
      </c>
      <c r="BY67">
        <f t="shared" si="300"/>
        <v>0</v>
      </c>
      <c r="BZ67" s="37">
        <f t="shared" si="336"/>
        <v>80</v>
      </c>
      <c r="CA67" s="30">
        <f t="shared" si="301"/>
        <v>13</v>
      </c>
      <c r="CB67" s="150"/>
      <c r="CC67" s="287"/>
      <c r="CD67" s="201"/>
      <c r="CE67" s="294"/>
      <c r="CF67" s="1">
        <v>7</v>
      </c>
      <c r="CG67">
        <f t="shared" si="302"/>
        <v>0</v>
      </c>
      <c r="CH67" s="37">
        <f t="shared" si="337"/>
        <v>80</v>
      </c>
      <c r="CI67" s="30">
        <f t="shared" si="303"/>
        <v>13</v>
      </c>
      <c r="CJ67" s="150"/>
      <c r="CK67" s="284"/>
      <c r="CL67" s="1">
        <v>7</v>
      </c>
      <c r="CM67">
        <f t="shared" si="304"/>
        <v>0</v>
      </c>
      <c r="CN67" s="37">
        <f t="shared" si="338"/>
        <v>80</v>
      </c>
      <c r="CO67" s="30">
        <f t="shared" si="305"/>
        <v>13</v>
      </c>
      <c r="CP67" s="150"/>
      <c r="CQ67" s="284"/>
      <c r="CR67" s="1">
        <v>7</v>
      </c>
      <c r="CS67">
        <f t="shared" si="306"/>
        <v>0</v>
      </c>
      <c r="CT67" s="37">
        <f t="shared" si="339"/>
        <v>80</v>
      </c>
      <c r="CU67" s="30">
        <f t="shared" si="307"/>
        <v>13</v>
      </c>
      <c r="CV67" s="150"/>
      <c r="CW67" s="284"/>
      <c r="CX67" s="1">
        <v>7</v>
      </c>
      <c r="CY67">
        <f t="shared" si="308"/>
        <v>0</v>
      </c>
      <c r="CZ67" s="37">
        <f t="shared" si="340"/>
        <v>80</v>
      </c>
      <c r="DA67" s="30">
        <f t="shared" si="309"/>
        <v>13</v>
      </c>
      <c r="DB67" s="150"/>
      <c r="DC67" s="287"/>
      <c r="DD67" s="201"/>
      <c r="DE67" s="294"/>
      <c r="DF67" s="1">
        <v>7</v>
      </c>
      <c r="DG67">
        <f t="shared" si="310"/>
        <v>0</v>
      </c>
      <c r="DH67" s="37">
        <f t="shared" si="341"/>
        <v>80</v>
      </c>
      <c r="DI67" s="30">
        <f t="shared" si="311"/>
        <v>13</v>
      </c>
      <c r="DJ67" s="150"/>
      <c r="DK67" s="284"/>
      <c r="DL67" s="1">
        <v>7</v>
      </c>
      <c r="DM67">
        <f t="shared" si="312"/>
        <v>0</v>
      </c>
      <c r="DN67" s="37">
        <f t="shared" si="342"/>
        <v>80</v>
      </c>
      <c r="DO67" s="30">
        <f t="shared" si="313"/>
        <v>13</v>
      </c>
      <c r="DP67" s="150"/>
      <c r="DQ67" s="284"/>
      <c r="DR67" s="1">
        <v>7</v>
      </c>
      <c r="DS67">
        <f t="shared" si="314"/>
        <v>0</v>
      </c>
      <c r="DT67" s="37">
        <f t="shared" si="343"/>
        <v>80</v>
      </c>
      <c r="DU67" s="30">
        <f t="shared" si="315"/>
        <v>13</v>
      </c>
      <c r="DV67" s="150"/>
      <c r="DW67" s="287"/>
      <c r="DX67" s="201"/>
      <c r="DY67" s="294"/>
      <c r="DZ67" s="1">
        <v>7</v>
      </c>
      <c r="EA67">
        <f t="shared" si="316"/>
        <v>0</v>
      </c>
      <c r="EB67" s="37">
        <f t="shared" si="344"/>
        <v>80</v>
      </c>
      <c r="EC67" s="30">
        <f t="shared" si="317"/>
        <v>13</v>
      </c>
      <c r="ED67" s="150">
        <v>6</v>
      </c>
      <c r="EE67" s="284"/>
      <c r="EF67" s="1">
        <v>7</v>
      </c>
      <c r="EG67">
        <f t="shared" si="318"/>
        <v>0</v>
      </c>
      <c r="EH67" s="37">
        <f t="shared" si="345"/>
        <v>80</v>
      </c>
      <c r="EI67" s="30">
        <f t="shared" si="319"/>
        <v>13</v>
      </c>
      <c r="EJ67" s="150"/>
      <c r="EK67" s="284"/>
      <c r="EL67" s="1">
        <v>7</v>
      </c>
      <c r="EM67">
        <f t="shared" si="320"/>
        <v>0</v>
      </c>
      <c r="EN67" s="37">
        <f t="shared" si="346"/>
        <v>80</v>
      </c>
      <c r="EO67" s="30">
        <f t="shared" si="321"/>
        <v>13</v>
      </c>
      <c r="EP67" s="150"/>
      <c r="EQ67" s="284"/>
      <c r="ER67" s="1">
        <v>7</v>
      </c>
      <c r="ES67">
        <f t="shared" si="322"/>
        <v>0</v>
      </c>
      <c r="ET67" s="37">
        <f t="shared" si="347"/>
        <v>80</v>
      </c>
      <c r="EU67" s="30">
        <f t="shared" si="323"/>
        <v>13</v>
      </c>
      <c r="EV67" s="150"/>
      <c r="EW67" s="287"/>
      <c r="EX67" s="201"/>
    </row>
    <row r="68" spans="1:154" ht="21.5" thickBot="1" x14ac:dyDescent="0.5">
      <c r="A68" s="296"/>
      <c r="B68" s="197">
        <v>8</v>
      </c>
      <c r="C68" s="53">
        <f t="shared" si="324"/>
        <v>0</v>
      </c>
      <c r="D68" s="37">
        <f t="shared" si="325"/>
        <v>80</v>
      </c>
      <c r="E68" s="30">
        <f t="shared" si="279"/>
        <v>9</v>
      </c>
      <c r="F68" s="151">
        <v>10</v>
      </c>
      <c r="G68" s="287"/>
      <c r="H68" s="201"/>
      <c r="I68" s="296"/>
      <c r="J68" s="51">
        <v>8</v>
      </c>
      <c r="K68">
        <f t="shared" si="280"/>
        <v>0</v>
      </c>
      <c r="L68" s="37">
        <f t="shared" si="326"/>
        <v>80</v>
      </c>
      <c r="M68" s="30">
        <f t="shared" si="281"/>
        <v>9</v>
      </c>
      <c r="N68" s="151"/>
      <c r="O68" s="285"/>
      <c r="P68" s="51">
        <v>8</v>
      </c>
      <c r="Q68">
        <f t="shared" si="282"/>
        <v>0</v>
      </c>
      <c r="R68" s="37">
        <f t="shared" si="327"/>
        <v>80</v>
      </c>
      <c r="S68" s="30">
        <f t="shared" si="283"/>
        <v>9</v>
      </c>
      <c r="T68" s="151"/>
      <c r="U68" s="287"/>
      <c r="V68" s="201"/>
      <c r="W68" s="296"/>
      <c r="X68" s="51">
        <v>8</v>
      </c>
      <c r="Y68">
        <f t="shared" si="284"/>
        <v>0</v>
      </c>
      <c r="Z68" s="37">
        <f t="shared" si="328"/>
        <v>80</v>
      </c>
      <c r="AA68" s="30">
        <f t="shared" si="285"/>
        <v>9</v>
      </c>
      <c r="AB68" s="151"/>
      <c r="AC68" s="285"/>
      <c r="AD68" s="51">
        <v>8</v>
      </c>
      <c r="AE68">
        <f t="shared" si="286"/>
        <v>0</v>
      </c>
      <c r="AF68" s="37">
        <f t="shared" si="329"/>
        <v>80</v>
      </c>
      <c r="AG68" s="30">
        <f t="shared" si="287"/>
        <v>9</v>
      </c>
      <c r="AH68" s="151"/>
      <c r="AI68" s="285"/>
      <c r="AJ68" s="51">
        <v>8</v>
      </c>
      <c r="AK68">
        <f t="shared" si="288"/>
        <v>0</v>
      </c>
      <c r="AL68" s="37">
        <f t="shared" si="330"/>
        <v>80</v>
      </c>
      <c r="AM68" s="30">
        <f t="shared" si="289"/>
        <v>9</v>
      </c>
      <c r="AN68" s="151"/>
      <c r="AO68" s="287"/>
      <c r="AP68" s="201"/>
      <c r="AQ68" s="296"/>
      <c r="AR68" s="51">
        <v>8</v>
      </c>
      <c r="AS68">
        <f t="shared" si="290"/>
        <v>0</v>
      </c>
      <c r="AT68" s="37">
        <f t="shared" si="331"/>
        <v>80</v>
      </c>
      <c r="AU68" s="30">
        <f t="shared" si="291"/>
        <v>9</v>
      </c>
      <c r="AV68" s="151"/>
      <c r="AW68" s="285"/>
      <c r="AX68" s="51">
        <v>8</v>
      </c>
      <c r="AY68">
        <f t="shared" si="292"/>
        <v>0</v>
      </c>
      <c r="AZ68" s="37">
        <f t="shared" si="332"/>
        <v>80</v>
      </c>
      <c r="BA68" s="30">
        <f t="shared" si="293"/>
        <v>9</v>
      </c>
      <c r="BB68" s="151">
        <v>20</v>
      </c>
      <c r="BC68" s="287"/>
      <c r="BD68" s="201"/>
      <c r="BE68" s="296"/>
      <c r="BF68" s="51">
        <v>8</v>
      </c>
      <c r="BG68">
        <f t="shared" si="294"/>
        <v>0</v>
      </c>
      <c r="BH68" s="37">
        <f t="shared" si="333"/>
        <v>80</v>
      </c>
      <c r="BI68" s="30">
        <f t="shared" si="295"/>
        <v>9</v>
      </c>
      <c r="BJ68" s="151"/>
      <c r="BK68" s="285"/>
      <c r="BL68" s="51">
        <v>8</v>
      </c>
      <c r="BM68">
        <f t="shared" si="296"/>
        <v>0</v>
      </c>
      <c r="BN68" s="37">
        <f t="shared" si="334"/>
        <v>80</v>
      </c>
      <c r="BO68" s="30">
        <f t="shared" si="297"/>
        <v>9</v>
      </c>
      <c r="BP68" s="151"/>
      <c r="BQ68" s="285"/>
      <c r="BR68" s="51">
        <v>8</v>
      </c>
      <c r="BS68">
        <f t="shared" si="298"/>
        <v>0</v>
      </c>
      <c r="BT68" s="37">
        <f t="shared" si="335"/>
        <v>80</v>
      </c>
      <c r="BU68" s="30">
        <f t="shared" si="299"/>
        <v>9</v>
      </c>
      <c r="BV68" s="151"/>
      <c r="BW68" s="285"/>
      <c r="BX68" s="51">
        <v>8</v>
      </c>
      <c r="BY68">
        <f t="shared" si="300"/>
        <v>0</v>
      </c>
      <c r="BZ68" s="37">
        <f t="shared" si="336"/>
        <v>80</v>
      </c>
      <c r="CA68" s="30">
        <f t="shared" si="301"/>
        <v>9</v>
      </c>
      <c r="CB68" s="151"/>
      <c r="CC68" s="287"/>
      <c r="CD68" s="201"/>
      <c r="CE68" s="296"/>
      <c r="CF68" s="51">
        <v>8</v>
      </c>
      <c r="CG68">
        <f t="shared" si="302"/>
        <v>0</v>
      </c>
      <c r="CH68" s="37">
        <f t="shared" si="337"/>
        <v>80</v>
      </c>
      <c r="CI68" s="30">
        <f t="shared" si="303"/>
        <v>9</v>
      </c>
      <c r="CJ68" s="151"/>
      <c r="CK68" s="285"/>
      <c r="CL68" s="51">
        <v>8</v>
      </c>
      <c r="CM68">
        <f t="shared" si="304"/>
        <v>0</v>
      </c>
      <c r="CN68" s="37">
        <f t="shared" si="338"/>
        <v>80</v>
      </c>
      <c r="CO68" s="30">
        <f t="shared" si="305"/>
        <v>9</v>
      </c>
      <c r="CP68" s="151"/>
      <c r="CQ68" s="285"/>
      <c r="CR68" s="51">
        <v>8</v>
      </c>
      <c r="CS68">
        <f t="shared" si="306"/>
        <v>0</v>
      </c>
      <c r="CT68" s="37">
        <f t="shared" si="339"/>
        <v>80</v>
      </c>
      <c r="CU68" s="30">
        <f t="shared" si="307"/>
        <v>9</v>
      </c>
      <c r="CV68" s="151"/>
      <c r="CW68" s="285"/>
      <c r="CX68" s="51">
        <v>8</v>
      </c>
      <c r="CY68">
        <f t="shared" si="308"/>
        <v>0</v>
      </c>
      <c r="CZ68" s="37">
        <f t="shared" si="340"/>
        <v>80</v>
      </c>
      <c r="DA68" s="30">
        <f t="shared" si="309"/>
        <v>9</v>
      </c>
      <c r="DB68" s="151"/>
      <c r="DC68" s="287"/>
      <c r="DD68" s="201"/>
      <c r="DE68" s="296"/>
      <c r="DF68" s="51">
        <v>8</v>
      </c>
      <c r="DG68">
        <f t="shared" si="310"/>
        <v>0</v>
      </c>
      <c r="DH68" s="37">
        <f t="shared" si="341"/>
        <v>80</v>
      </c>
      <c r="DI68" s="30">
        <f t="shared" si="311"/>
        <v>9</v>
      </c>
      <c r="DJ68" s="151"/>
      <c r="DK68" s="285"/>
      <c r="DL68" s="51">
        <v>8</v>
      </c>
      <c r="DM68">
        <f t="shared" si="312"/>
        <v>0</v>
      </c>
      <c r="DN68" s="37">
        <f t="shared" si="342"/>
        <v>80</v>
      </c>
      <c r="DO68" s="30">
        <f t="shared" si="313"/>
        <v>9</v>
      </c>
      <c r="DP68" s="151"/>
      <c r="DQ68" s="285"/>
      <c r="DR68" s="51">
        <v>8</v>
      </c>
      <c r="DS68">
        <f t="shared" si="314"/>
        <v>0</v>
      </c>
      <c r="DT68" s="37">
        <f t="shared" si="343"/>
        <v>80</v>
      </c>
      <c r="DU68" s="30">
        <f t="shared" si="315"/>
        <v>9</v>
      </c>
      <c r="DV68" s="151">
        <v>20</v>
      </c>
      <c r="DW68" s="287"/>
      <c r="DX68" s="201"/>
      <c r="DY68" s="296"/>
      <c r="DZ68" s="51">
        <v>8</v>
      </c>
      <c r="EA68">
        <f t="shared" si="316"/>
        <v>0</v>
      </c>
      <c r="EB68" s="37">
        <f t="shared" si="344"/>
        <v>80</v>
      </c>
      <c r="EC68" s="30">
        <f t="shared" si="317"/>
        <v>9</v>
      </c>
      <c r="ED68" s="151"/>
      <c r="EE68" s="285"/>
      <c r="EF68" s="51">
        <v>8</v>
      </c>
      <c r="EG68">
        <f t="shared" si="318"/>
        <v>0</v>
      </c>
      <c r="EH68" s="37">
        <f t="shared" si="345"/>
        <v>80</v>
      </c>
      <c r="EI68" s="30">
        <f t="shared" si="319"/>
        <v>9</v>
      </c>
      <c r="EJ68" s="151"/>
      <c r="EK68" s="285"/>
      <c r="EL68" s="51">
        <v>8</v>
      </c>
      <c r="EM68">
        <f t="shared" si="320"/>
        <v>0</v>
      </c>
      <c r="EN68" s="37">
        <f t="shared" si="346"/>
        <v>80</v>
      </c>
      <c r="EO68" s="30">
        <f t="shared" si="321"/>
        <v>9</v>
      </c>
      <c r="EP68" s="151"/>
      <c r="EQ68" s="285"/>
      <c r="ER68" s="51">
        <v>8</v>
      </c>
      <c r="ES68">
        <f t="shared" si="322"/>
        <v>0</v>
      </c>
      <c r="ET68" s="37">
        <f t="shared" si="347"/>
        <v>80</v>
      </c>
      <c r="EU68" s="30">
        <f t="shared" si="323"/>
        <v>9</v>
      </c>
      <c r="EV68" s="151"/>
      <c r="EW68" s="287"/>
      <c r="EX68" s="201"/>
    </row>
    <row r="69" spans="1:154" x14ac:dyDescent="0.45">
      <c r="A69" s="293">
        <v>6</v>
      </c>
      <c r="B69" s="48">
        <f>O11</f>
        <v>6</v>
      </c>
      <c r="C69" s="87" t="s">
        <v>154</v>
      </c>
      <c r="D69" s="10" t="s">
        <v>158</v>
      </c>
      <c r="E69" s="88" t="s">
        <v>152</v>
      </c>
      <c r="F69" s="152"/>
      <c r="G69" s="287">
        <f>IF(COUNT(F70:F78) &gt;0, COUNT(F70:F78)/2,"")</f>
        <v>1</v>
      </c>
      <c r="H69" s="201"/>
      <c r="I69" s="293">
        <v>6</v>
      </c>
      <c r="J69" s="104"/>
      <c r="K69" s="87" t="s">
        <v>154</v>
      </c>
      <c r="L69" s="10" t="s">
        <v>158</v>
      </c>
      <c r="M69" s="88" t="s">
        <v>152</v>
      </c>
      <c r="N69" s="152"/>
      <c r="O69" s="286">
        <v>6</v>
      </c>
      <c r="P69" s="104"/>
      <c r="Q69" s="87" t="s">
        <v>154</v>
      </c>
      <c r="R69" s="10" t="s">
        <v>158</v>
      </c>
      <c r="S69" s="88" t="s">
        <v>152</v>
      </c>
      <c r="T69" s="152"/>
      <c r="U69" s="287">
        <f>IF(COUNT(H70:H78,N70:N78,T70:T78) &gt;0, COUNT(H70:H78,N70:N78,T70:T78) /2,"")</f>
        <v>1</v>
      </c>
      <c r="V69" s="201"/>
      <c r="W69" s="293">
        <v>6</v>
      </c>
      <c r="X69" s="104"/>
      <c r="Y69" s="87" t="s">
        <v>154</v>
      </c>
      <c r="Z69" s="10" t="s">
        <v>158</v>
      </c>
      <c r="AA69" s="88" t="s">
        <v>152</v>
      </c>
      <c r="AB69" s="152"/>
      <c r="AC69" s="286">
        <v>6</v>
      </c>
      <c r="AD69" s="104"/>
      <c r="AE69" s="87" t="s">
        <v>154</v>
      </c>
      <c r="AF69" s="10" t="s">
        <v>158</v>
      </c>
      <c r="AG69" s="88" t="s">
        <v>152</v>
      </c>
      <c r="AH69" s="152"/>
      <c r="AI69" s="286">
        <v>6</v>
      </c>
      <c r="AJ69" s="104"/>
      <c r="AK69" t="str">
        <f t="shared" si="288"/>
        <v xml:space="preserve">CTR </v>
      </c>
      <c r="AL69" s="10" t="s">
        <v>158</v>
      </c>
      <c r="AM69" s="88" t="s">
        <v>152</v>
      </c>
      <c r="AN69" s="152"/>
      <c r="AO69" s="287">
        <f>IF(COUNT(AB70:AB78,AH70:AH78,AN70:AN78) &gt;0, COUNT(AB70:AB78,AH70:AH78,AN70:AN78) /2,"")</f>
        <v>1</v>
      </c>
      <c r="AP69" s="201"/>
      <c r="AQ69" s="293">
        <v>6</v>
      </c>
      <c r="AR69" s="104"/>
      <c r="AS69" s="87" t="s">
        <v>154</v>
      </c>
      <c r="AT69" s="10" t="s">
        <v>158</v>
      </c>
      <c r="AU69" s="88" t="s">
        <v>152</v>
      </c>
      <c r="AV69" s="152"/>
      <c r="AW69" s="286">
        <v>6</v>
      </c>
      <c r="AX69" s="104"/>
      <c r="AY69" s="87" t="s">
        <v>154</v>
      </c>
      <c r="AZ69" s="10" t="s">
        <v>158</v>
      </c>
      <c r="BA69" s="88" t="s">
        <v>152</v>
      </c>
      <c r="BB69" s="152"/>
      <c r="BC69" s="287">
        <f>IF(COUNT(AV70:AV78,BB70:BB78,#REF!) &gt;0, COUNT(AV70:AV78,BB70:BB78,#REF!) /2,"")</f>
        <v>1</v>
      </c>
      <c r="BD69" s="201"/>
      <c r="BE69" s="293">
        <v>6</v>
      </c>
      <c r="BF69" s="104"/>
      <c r="BG69" s="87" t="s">
        <v>154</v>
      </c>
      <c r="BH69" s="10" t="s">
        <v>158</v>
      </c>
      <c r="BI69" s="88" t="s">
        <v>152</v>
      </c>
      <c r="BJ69" s="152"/>
      <c r="BK69" s="286">
        <v>6</v>
      </c>
      <c r="BL69" s="104"/>
      <c r="BM69" s="87" t="s">
        <v>154</v>
      </c>
      <c r="BN69" s="10" t="s">
        <v>158</v>
      </c>
      <c r="BO69" s="88" t="s">
        <v>152</v>
      </c>
      <c r="BP69" s="152"/>
      <c r="BQ69" s="286">
        <v>6</v>
      </c>
      <c r="BR69" s="104"/>
      <c r="BS69" s="87" t="s">
        <v>154</v>
      </c>
      <c r="BT69" s="10" t="s">
        <v>158</v>
      </c>
      <c r="BU69" s="88" t="s">
        <v>152</v>
      </c>
      <c r="BV69" s="152"/>
      <c r="BW69" s="286">
        <v>6</v>
      </c>
      <c r="BX69" s="104"/>
      <c r="BY69" s="87" t="s">
        <v>154</v>
      </c>
      <c r="BZ69" s="10" t="s">
        <v>158</v>
      </c>
      <c r="CA69" s="88" t="s">
        <v>152</v>
      </c>
      <c r="CB69" s="152"/>
      <c r="CC69" s="287">
        <f>IF(COUNT(BJ70:BJ78,BP70:BP78,BV70:BV78,CB70:CB78) &gt;0, COUNT(BJ70:BJ78,BP70:BP78,BV70:BV78,CB70:CB78) /2,"")</f>
        <v>1</v>
      </c>
      <c r="CD69" s="201"/>
      <c r="CE69" s="293">
        <v>6</v>
      </c>
      <c r="CF69" s="104"/>
      <c r="CG69" s="87" t="s">
        <v>154</v>
      </c>
      <c r="CH69" s="10" t="s">
        <v>158</v>
      </c>
      <c r="CI69" s="88" t="s">
        <v>152</v>
      </c>
      <c r="CJ69" s="152"/>
      <c r="CK69" s="286">
        <v>6</v>
      </c>
      <c r="CL69" s="104"/>
      <c r="CM69" s="87" t="s">
        <v>154</v>
      </c>
      <c r="CN69" s="10" t="s">
        <v>158</v>
      </c>
      <c r="CO69" s="88" t="s">
        <v>152</v>
      </c>
      <c r="CP69" s="152"/>
      <c r="CQ69" s="286">
        <v>6</v>
      </c>
      <c r="CR69" s="104"/>
      <c r="CS69" s="87" t="s">
        <v>154</v>
      </c>
      <c r="CT69" s="10" t="s">
        <v>158</v>
      </c>
      <c r="CU69" s="88" t="s">
        <v>152</v>
      </c>
      <c r="CV69" s="152"/>
      <c r="CW69" s="286">
        <v>6</v>
      </c>
      <c r="CX69" s="104"/>
      <c r="CY69" s="87" t="s">
        <v>154</v>
      </c>
      <c r="CZ69" s="10" t="s">
        <v>158</v>
      </c>
      <c r="DA69" s="88" t="s">
        <v>152</v>
      </c>
      <c r="DB69" s="152"/>
      <c r="DC69" s="287">
        <f>IF(COUNT(CJ70:CJ78,CP70:CP78,CV70:CV78,DB70:DB78) &gt;0, COUNT(CJ70:CJ78,CP70:CP78,CV70:CV78,DB70:DB78) /2,"")</f>
        <v>1</v>
      </c>
      <c r="DD69" s="201"/>
      <c r="DE69" s="293">
        <v>6</v>
      </c>
      <c r="DF69" s="104"/>
      <c r="DG69" s="87" t="s">
        <v>154</v>
      </c>
      <c r="DH69" s="10" t="s">
        <v>158</v>
      </c>
      <c r="DI69" s="88" t="s">
        <v>152</v>
      </c>
      <c r="DJ69" s="152"/>
      <c r="DK69" s="286">
        <v>6</v>
      </c>
      <c r="DL69" s="104"/>
      <c r="DM69" s="87" t="s">
        <v>154</v>
      </c>
      <c r="DN69" s="10" t="s">
        <v>158</v>
      </c>
      <c r="DO69" s="88" t="s">
        <v>152</v>
      </c>
      <c r="DP69" s="152"/>
      <c r="DQ69" s="286">
        <v>6</v>
      </c>
      <c r="DR69" s="104"/>
      <c r="DS69" s="87" t="s">
        <v>154</v>
      </c>
      <c r="DT69" s="10" t="s">
        <v>158</v>
      </c>
      <c r="DU69" s="88" t="s">
        <v>152</v>
      </c>
      <c r="DV69" s="152"/>
      <c r="DW69" s="287">
        <f>IF(COUNT(DJ70:DJ78,DP70:DP78,DV70:DV78) &gt;0, COUNT(DJ70:DJ78,DP70:DP78,DV70:DV78) /2,"")</f>
        <v>1</v>
      </c>
      <c r="DX69" s="201"/>
      <c r="DY69" s="293">
        <v>6</v>
      </c>
      <c r="DZ69" s="104"/>
      <c r="EA69" s="87" t="s">
        <v>154</v>
      </c>
      <c r="EB69" s="10" t="s">
        <v>158</v>
      </c>
      <c r="EC69" s="88" t="s">
        <v>152</v>
      </c>
      <c r="ED69" s="152"/>
      <c r="EE69" s="286">
        <v>6</v>
      </c>
      <c r="EF69" s="104"/>
      <c r="EG69" s="87" t="s">
        <v>154</v>
      </c>
      <c r="EH69" s="10" t="s">
        <v>158</v>
      </c>
      <c r="EI69" s="88" t="s">
        <v>152</v>
      </c>
      <c r="EJ69" s="152"/>
      <c r="EK69" s="286">
        <v>6</v>
      </c>
      <c r="EL69" s="104"/>
      <c r="EM69" s="87" t="s">
        <v>154</v>
      </c>
      <c r="EN69" s="10" t="s">
        <v>158</v>
      </c>
      <c r="EO69" s="88" t="s">
        <v>152</v>
      </c>
      <c r="EP69" s="152"/>
      <c r="EQ69" s="286">
        <v>6</v>
      </c>
      <c r="ER69" s="104"/>
      <c r="ES69" s="87" t="s">
        <v>154</v>
      </c>
      <c r="ET69" s="10" t="s">
        <v>158</v>
      </c>
      <c r="EU69" s="88" t="s">
        <v>152</v>
      </c>
      <c r="EV69" s="152"/>
      <c r="EW69" s="287">
        <f>IF(COUNT(ED70:ED78,EJ70:EJ78,EP70:EP78,EV70:EV78) &gt;0, COUNT(ED70:ED78,EJ70:EJ78,EP70:EP78,EV70:EV78) /2,"")</f>
        <v>1</v>
      </c>
      <c r="EX69" s="201"/>
    </row>
    <row r="70" spans="1:154" ht="27.75" customHeight="1" x14ac:dyDescent="0.45">
      <c r="A70" s="294"/>
      <c r="B70" s="176" t="s">
        <v>162</v>
      </c>
      <c r="C70" s="102" t="s">
        <v>156</v>
      </c>
      <c r="D70" s="89" t="s">
        <v>175</v>
      </c>
      <c r="E70" s="177" t="s">
        <v>174</v>
      </c>
      <c r="F70" s="148"/>
      <c r="G70" s="287"/>
      <c r="H70" s="201"/>
      <c r="I70" s="294"/>
      <c r="J70" s="176" t="s">
        <v>162</v>
      </c>
      <c r="K70" s="90" t="s">
        <v>155</v>
      </c>
      <c r="L70" s="89" t="s">
        <v>175</v>
      </c>
      <c r="M70" s="177" t="s">
        <v>174</v>
      </c>
      <c r="N70" s="148"/>
      <c r="O70" s="284"/>
      <c r="P70" s="176" t="s">
        <v>162</v>
      </c>
      <c r="Q70" s="90" t="s">
        <v>155</v>
      </c>
      <c r="R70" s="89" t="s">
        <v>175</v>
      </c>
      <c r="S70" s="177" t="s">
        <v>174</v>
      </c>
      <c r="T70" s="148"/>
      <c r="U70" s="287"/>
      <c r="V70" s="201"/>
      <c r="W70" s="294"/>
      <c r="X70" s="176" t="s">
        <v>162</v>
      </c>
      <c r="Y70" s="90" t="s">
        <v>155</v>
      </c>
      <c r="Z70" s="89" t="s">
        <v>175</v>
      </c>
      <c r="AA70" s="177" t="s">
        <v>174</v>
      </c>
      <c r="AB70" s="148"/>
      <c r="AC70" s="284"/>
      <c r="AD70" s="176" t="s">
        <v>162</v>
      </c>
      <c r="AE70" s="90" t="s">
        <v>155</v>
      </c>
      <c r="AF70" s="89" t="s">
        <v>175</v>
      </c>
      <c r="AG70" s="177" t="s">
        <v>174</v>
      </c>
      <c r="AH70" s="148"/>
      <c r="AI70" s="284"/>
      <c r="AJ70" s="176" t="s">
        <v>162</v>
      </c>
      <c r="AK70" s="90" t="s">
        <v>155</v>
      </c>
      <c r="AL70" s="89" t="s">
        <v>175</v>
      </c>
      <c r="AM70" s="177" t="s">
        <v>174</v>
      </c>
      <c r="AN70" s="148"/>
      <c r="AO70" s="287"/>
      <c r="AP70" s="201"/>
      <c r="AQ70" s="294"/>
      <c r="AR70" s="176" t="s">
        <v>162</v>
      </c>
      <c r="AS70" s="90" t="s">
        <v>155</v>
      </c>
      <c r="AT70" s="89" t="s">
        <v>175</v>
      </c>
      <c r="AU70" s="177" t="s">
        <v>174</v>
      </c>
      <c r="AV70" s="148"/>
      <c r="AW70" s="284"/>
      <c r="AX70" s="176" t="s">
        <v>162</v>
      </c>
      <c r="AY70" s="90" t="s">
        <v>155</v>
      </c>
      <c r="AZ70" s="89" t="s">
        <v>175</v>
      </c>
      <c r="BA70" s="177" t="s">
        <v>174</v>
      </c>
      <c r="BB70" s="148"/>
      <c r="BC70" s="287"/>
      <c r="BD70" s="201"/>
      <c r="BE70" s="294"/>
      <c r="BF70" s="176" t="s">
        <v>162</v>
      </c>
      <c r="BG70" s="90" t="s">
        <v>155</v>
      </c>
      <c r="BH70" s="89" t="s">
        <v>175</v>
      </c>
      <c r="BI70" s="177" t="s">
        <v>174</v>
      </c>
      <c r="BJ70" s="148"/>
      <c r="BK70" s="284"/>
      <c r="BL70" s="176" t="s">
        <v>162</v>
      </c>
      <c r="BM70" s="90" t="s">
        <v>155</v>
      </c>
      <c r="BN70" s="89" t="s">
        <v>175</v>
      </c>
      <c r="BO70" s="177" t="s">
        <v>174</v>
      </c>
      <c r="BP70" s="148"/>
      <c r="BQ70" s="284"/>
      <c r="BR70" s="176" t="s">
        <v>162</v>
      </c>
      <c r="BS70" s="90" t="s">
        <v>155</v>
      </c>
      <c r="BT70" s="89" t="s">
        <v>175</v>
      </c>
      <c r="BU70" s="177" t="s">
        <v>174</v>
      </c>
      <c r="BV70" s="148"/>
      <c r="BW70" s="284"/>
      <c r="BX70" s="176" t="s">
        <v>162</v>
      </c>
      <c r="BY70" s="90" t="s">
        <v>155</v>
      </c>
      <c r="BZ70" s="89" t="s">
        <v>175</v>
      </c>
      <c r="CA70" s="177" t="s">
        <v>174</v>
      </c>
      <c r="CB70" s="148"/>
      <c r="CC70" s="287"/>
      <c r="CD70" s="201"/>
      <c r="CE70" s="294"/>
      <c r="CF70" s="176" t="s">
        <v>162</v>
      </c>
      <c r="CG70" s="90" t="s">
        <v>155</v>
      </c>
      <c r="CH70" s="89" t="s">
        <v>175</v>
      </c>
      <c r="CI70" s="177" t="s">
        <v>174</v>
      </c>
      <c r="CJ70" s="148"/>
      <c r="CK70" s="284"/>
      <c r="CL70" s="176" t="s">
        <v>162</v>
      </c>
      <c r="CM70" s="90" t="s">
        <v>155</v>
      </c>
      <c r="CN70" s="89" t="s">
        <v>175</v>
      </c>
      <c r="CO70" s="177" t="s">
        <v>174</v>
      </c>
      <c r="CP70" s="148"/>
      <c r="CQ70" s="284"/>
      <c r="CR70" s="176" t="s">
        <v>162</v>
      </c>
      <c r="CS70" s="90" t="s">
        <v>155</v>
      </c>
      <c r="CT70" s="89" t="s">
        <v>175</v>
      </c>
      <c r="CU70" s="177" t="s">
        <v>174</v>
      </c>
      <c r="CV70" s="148"/>
      <c r="CW70" s="284"/>
      <c r="CX70" s="176" t="s">
        <v>162</v>
      </c>
      <c r="CY70" s="90" t="s">
        <v>155</v>
      </c>
      <c r="CZ70" s="89" t="s">
        <v>175</v>
      </c>
      <c r="DA70" s="177" t="s">
        <v>174</v>
      </c>
      <c r="DB70" s="148"/>
      <c r="DC70" s="287"/>
      <c r="DD70" s="201"/>
      <c r="DE70" s="294"/>
      <c r="DF70" s="176" t="s">
        <v>162</v>
      </c>
      <c r="DG70" s="90" t="s">
        <v>155</v>
      </c>
      <c r="DH70" s="89" t="s">
        <v>175</v>
      </c>
      <c r="DI70" s="177" t="s">
        <v>174</v>
      </c>
      <c r="DJ70" s="148"/>
      <c r="DK70" s="284"/>
      <c r="DL70" s="176" t="s">
        <v>162</v>
      </c>
      <c r="DM70" s="90" t="s">
        <v>155</v>
      </c>
      <c r="DN70" s="89" t="s">
        <v>175</v>
      </c>
      <c r="DO70" s="177" t="s">
        <v>174</v>
      </c>
      <c r="DP70" s="148"/>
      <c r="DQ70" s="284"/>
      <c r="DR70" s="176" t="s">
        <v>162</v>
      </c>
      <c r="DS70" s="90" t="s">
        <v>155</v>
      </c>
      <c r="DT70" s="89" t="s">
        <v>175</v>
      </c>
      <c r="DU70" s="177" t="s">
        <v>174</v>
      </c>
      <c r="DV70" s="148"/>
      <c r="DW70" s="287"/>
      <c r="DX70" s="201"/>
      <c r="DY70" s="294"/>
      <c r="DZ70" s="176" t="s">
        <v>162</v>
      </c>
      <c r="EA70" s="90" t="s">
        <v>155</v>
      </c>
      <c r="EB70" s="89" t="s">
        <v>175</v>
      </c>
      <c r="EC70" s="177" t="s">
        <v>174</v>
      </c>
      <c r="ED70" s="148"/>
      <c r="EE70" s="284"/>
      <c r="EF70" s="176" t="s">
        <v>162</v>
      </c>
      <c r="EG70" s="90" t="s">
        <v>155</v>
      </c>
      <c r="EH70" s="89" t="s">
        <v>175</v>
      </c>
      <c r="EI70" s="177" t="s">
        <v>174</v>
      </c>
      <c r="EJ70" s="148"/>
      <c r="EK70" s="284"/>
      <c r="EL70" s="176" t="s">
        <v>162</v>
      </c>
      <c r="EM70" s="90" t="s">
        <v>155</v>
      </c>
      <c r="EN70" s="89" t="s">
        <v>175</v>
      </c>
      <c r="EO70" s="177" t="s">
        <v>174</v>
      </c>
      <c r="EP70" s="148"/>
      <c r="EQ70" s="284"/>
      <c r="ER70" s="176" t="s">
        <v>162</v>
      </c>
      <c r="ES70" s="90" t="s">
        <v>155</v>
      </c>
      <c r="ET70" s="89" t="s">
        <v>175</v>
      </c>
      <c r="EU70" s="177" t="s">
        <v>174</v>
      </c>
      <c r="EV70" s="148"/>
      <c r="EW70" s="287"/>
      <c r="EX70" s="201"/>
    </row>
    <row r="71" spans="1:154" x14ac:dyDescent="0.45">
      <c r="A71" s="294"/>
      <c r="B71" s="1">
        <v>1</v>
      </c>
      <c r="C71">
        <v>0</v>
      </c>
      <c r="D71" s="37">
        <f>(C71+$B$69)*$G$3</f>
        <v>48</v>
      </c>
      <c r="E71" s="30">
        <f t="shared" ref="E71:E78" si="348">MOD($F6+D71,$G$2)</f>
        <v>23</v>
      </c>
      <c r="F71" s="149"/>
      <c r="G71" s="287"/>
      <c r="H71" s="201"/>
      <c r="I71" s="294"/>
      <c r="J71" s="62">
        <v>1</v>
      </c>
      <c r="K71">
        <f t="shared" ref="K71:K78" si="349">IF(F71="", C71,IF(F71=MIN(F$71:F$78),C71+1,0))</f>
        <v>0</v>
      </c>
      <c r="L71" s="37">
        <f>(K71+$B$69)*$G$3</f>
        <v>48</v>
      </c>
      <c r="M71" s="30">
        <f t="shared" ref="M71:M78" si="350">MOD($F6+L71,$G$2)</f>
        <v>23</v>
      </c>
      <c r="N71" s="149"/>
      <c r="O71" s="284"/>
      <c r="P71" s="62">
        <v>1</v>
      </c>
      <c r="Q71">
        <f t="shared" ref="Q71:Q78" si="351">IF(N71="", K71,IF(N71=MIN(N$71:N$78),K71+1,0))</f>
        <v>0</v>
      </c>
      <c r="R71" s="37">
        <f>(Q71+$B$69)*$G$3</f>
        <v>48</v>
      </c>
      <c r="S71" s="30">
        <f t="shared" ref="S71:S78" si="352">MOD($F6+R71,$G$2)</f>
        <v>23</v>
      </c>
      <c r="T71" s="149"/>
      <c r="U71" s="287"/>
      <c r="V71" s="201"/>
      <c r="W71" s="294"/>
      <c r="X71" s="62">
        <v>1</v>
      </c>
      <c r="Y71">
        <f t="shared" ref="Y71:Y78" si="353">IF(T71="", Q71,IF(T71=MIN(T$71:T$78),Q71+1,0))</f>
        <v>0</v>
      </c>
      <c r="Z71" s="37">
        <f>(Y71+$B$69)*$G$3</f>
        <v>48</v>
      </c>
      <c r="AA71" s="30">
        <f t="shared" ref="AA71:AA78" si="354">MOD($F6+Z71,$G$2)</f>
        <v>23</v>
      </c>
      <c r="AB71" s="149"/>
      <c r="AC71" s="284"/>
      <c r="AD71" s="62">
        <v>1</v>
      </c>
      <c r="AE71">
        <f t="shared" ref="AE71:AE78" si="355">IF(AB71="", Y71,IF(AB71=MIN(AB$71:AB$78),Y71+1,0))</f>
        <v>0</v>
      </c>
      <c r="AF71" s="37">
        <f>(AE71+$B$69)*$G$3</f>
        <v>48</v>
      </c>
      <c r="AG71" s="30">
        <f t="shared" ref="AG71:AG78" si="356">MOD($F6+AF71,$G$2)</f>
        <v>23</v>
      </c>
      <c r="AH71" s="149"/>
      <c r="AI71" s="284"/>
      <c r="AJ71" s="62">
        <v>1</v>
      </c>
      <c r="AK71">
        <f t="shared" ref="AK71:AK79" si="357">IF(AH71="",AE71,IF(AH71=MIN(AH$21:AH$28),AE71+1,0))</f>
        <v>0</v>
      </c>
      <c r="AL71" s="37">
        <f>(AK71+$B$69)*$G$3</f>
        <v>48</v>
      </c>
      <c r="AM71" s="30">
        <f t="shared" ref="AM71:AM78" si="358">MOD($F6+AL71,$G$2)</f>
        <v>23</v>
      </c>
      <c r="AN71" s="149"/>
      <c r="AO71" s="287"/>
      <c r="AP71" s="201"/>
      <c r="AQ71" s="294"/>
      <c r="AR71" s="62">
        <v>1</v>
      </c>
      <c r="AS71">
        <f t="shared" ref="AS71:AS78" si="359">IF(AN71="", AK71,IF(AN71=MIN(AN$71:AN$78),AK71+1,0))</f>
        <v>0</v>
      </c>
      <c r="AT71" s="37">
        <f>(AS71+$B$69)*$G$3</f>
        <v>48</v>
      </c>
      <c r="AU71" s="30">
        <f t="shared" ref="AU71:AU78" si="360">MOD($F6+AT71,$G$2)</f>
        <v>23</v>
      </c>
      <c r="AV71" s="149"/>
      <c r="AW71" s="284"/>
      <c r="AX71" s="62">
        <v>1</v>
      </c>
      <c r="AY71">
        <f t="shared" ref="AY71:AY78" si="361">IF(AV71="", AS71,IF(AV71=MIN(AV$71:AV$78),AS71+1,0))</f>
        <v>0</v>
      </c>
      <c r="AZ71" s="37">
        <f>(AY71+$B$69)*$G$3</f>
        <v>48</v>
      </c>
      <c r="BA71" s="30">
        <f t="shared" ref="BA71:BA78" si="362">MOD($F6+AZ71,$G$2)</f>
        <v>23</v>
      </c>
      <c r="BB71" s="149"/>
      <c r="BC71" s="287"/>
      <c r="BD71" s="201"/>
      <c r="BE71" s="294"/>
      <c r="BF71" s="62">
        <v>1</v>
      </c>
      <c r="BG71">
        <f t="shared" ref="BG71:BG78" si="363">IF(BB71="", AY71,IF(BB71=MIN(BB$71:BB$78),AY71+1,0))</f>
        <v>0</v>
      </c>
      <c r="BH71" s="37">
        <f>(BG71+$B$69)*$G$3</f>
        <v>48</v>
      </c>
      <c r="BI71" s="30">
        <f t="shared" ref="BI71:BI78" si="364">MOD($F6+BH71,$G$2)</f>
        <v>23</v>
      </c>
      <c r="BJ71" s="149"/>
      <c r="BK71" s="284"/>
      <c r="BL71" s="62">
        <v>1</v>
      </c>
      <c r="BM71">
        <f t="shared" ref="BM71:BM78" si="365">IF(BJ71="", BG71,IF(BJ71=MIN(BJ$71:BJ$78),BG71+1,0))</f>
        <v>0</v>
      </c>
      <c r="BN71" s="37">
        <f>(BM71+$B$69)*$G$3</f>
        <v>48</v>
      </c>
      <c r="BO71" s="30">
        <f t="shared" ref="BO71:BO78" si="366">MOD($F6+BN71,$G$2)</f>
        <v>23</v>
      </c>
      <c r="BP71" s="149"/>
      <c r="BQ71" s="284"/>
      <c r="BR71" s="62">
        <v>1</v>
      </c>
      <c r="BS71">
        <f t="shared" ref="BS71:BS78" si="367">IF(BP71="", BM71,IF(BP71=MIN(BP$71:BP$78),BM71+1,0))</f>
        <v>0</v>
      </c>
      <c r="BT71" s="37">
        <f>(BS71+$B$69)*$G$3</f>
        <v>48</v>
      </c>
      <c r="BU71" s="30">
        <f t="shared" ref="BU71:BU78" si="368">MOD($F6+BT71,$G$2)</f>
        <v>23</v>
      </c>
      <c r="BV71" s="149"/>
      <c r="BW71" s="284"/>
      <c r="BX71" s="62">
        <v>1</v>
      </c>
      <c r="BY71">
        <f t="shared" ref="BY71:BY78" si="369">IF(BV71="", BS71,IF(BV71=MIN(BV$71:BV$78),BS71+1,0))</f>
        <v>0</v>
      </c>
      <c r="BZ71" s="37">
        <f>(BY71+$B$69)*$G$3</f>
        <v>48</v>
      </c>
      <c r="CA71" s="30">
        <f t="shared" ref="CA71:CA78" si="370">MOD($F6+BZ71,$G$2)</f>
        <v>23</v>
      </c>
      <c r="CB71" s="149"/>
      <c r="CC71" s="287"/>
      <c r="CD71" s="201"/>
      <c r="CE71" s="294"/>
      <c r="CF71" s="62">
        <v>1</v>
      </c>
      <c r="CG71">
        <f t="shared" ref="CG71:CG78" si="371">IF(CB71="", BY71,IF(CB71=MIN(CB$71:CB$78),BY71+1,0))</f>
        <v>0</v>
      </c>
      <c r="CH71" s="37">
        <f>(CG71+$B$69)*$G$3</f>
        <v>48</v>
      </c>
      <c r="CI71" s="30">
        <f t="shared" ref="CI71:CI78" si="372">MOD($F6+CH71,$G$2)</f>
        <v>23</v>
      </c>
      <c r="CJ71" s="149"/>
      <c r="CK71" s="284"/>
      <c r="CL71" s="62">
        <v>1</v>
      </c>
      <c r="CM71">
        <f t="shared" ref="CM71:CM78" si="373">IF(CJ71="", CG71,IF(CJ71=MIN(CJ$71:CJ$78),CG71+1,0))</f>
        <v>0</v>
      </c>
      <c r="CN71" s="37">
        <f>(CM71+$B$69)*$G$3</f>
        <v>48</v>
      </c>
      <c r="CO71" s="30">
        <f t="shared" ref="CO71:CO78" si="374">MOD($F6+CN71,$G$2)</f>
        <v>23</v>
      </c>
      <c r="CP71" s="149"/>
      <c r="CQ71" s="284"/>
      <c r="CR71" s="62">
        <v>1</v>
      </c>
      <c r="CS71">
        <f t="shared" ref="CS71:CS78" si="375">IF(CP71="", CM71,IF(CP71=MIN(CP$71:CP$78),CM71+1,0))</f>
        <v>0</v>
      </c>
      <c r="CT71" s="37">
        <f>(CS71+$B$69)*$G$3</f>
        <v>48</v>
      </c>
      <c r="CU71" s="30">
        <f t="shared" ref="CU71:CU78" si="376">MOD($F6+CT71,$G$2)</f>
        <v>23</v>
      </c>
      <c r="CV71" s="149"/>
      <c r="CW71" s="284"/>
      <c r="CX71" s="62">
        <v>1</v>
      </c>
      <c r="CY71">
        <f t="shared" ref="CY71:CY78" si="377">IF(CV71="", CS71,IF(CV71=MIN(CV$71:CV$78),CS71+1,0))</f>
        <v>0</v>
      </c>
      <c r="CZ71" s="37">
        <f>(CY71+$B$69)*$G$3</f>
        <v>48</v>
      </c>
      <c r="DA71" s="30">
        <f t="shared" ref="DA71:DA78" si="378">MOD($F6+CZ71,$G$2)</f>
        <v>23</v>
      </c>
      <c r="DB71" s="149"/>
      <c r="DC71" s="287"/>
      <c r="DD71" s="201"/>
      <c r="DE71" s="294"/>
      <c r="DF71" s="62">
        <v>1</v>
      </c>
      <c r="DG71">
        <f t="shared" ref="DG71:DG78" si="379">IF(CV71="", CS71,IF(CV71=MIN(CV$71:CV$78),CS71+1,0))</f>
        <v>0</v>
      </c>
      <c r="DH71" s="37">
        <f>(DG71+$B$69)*$G$3</f>
        <v>48</v>
      </c>
      <c r="DI71" s="30">
        <f t="shared" ref="DI71:DI78" si="380">MOD($F6+DH71,$G$2)</f>
        <v>23</v>
      </c>
      <c r="DJ71" s="149"/>
      <c r="DK71" s="284"/>
      <c r="DL71" s="62">
        <v>1</v>
      </c>
      <c r="DM71">
        <f t="shared" ref="DM71:DM78" si="381">IF(DJ71="", DG71,IF(DJ71=MIN(DJ$71:DJ$78),DG71+1,0))</f>
        <v>0</v>
      </c>
      <c r="DN71" s="37">
        <f>(DM71+$B$69)*$G$3</f>
        <v>48</v>
      </c>
      <c r="DO71" s="30">
        <f t="shared" ref="DO71:DO78" si="382">MOD($F6+DN71,$G$2)</f>
        <v>23</v>
      </c>
      <c r="DP71" s="149"/>
      <c r="DQ71" s="284"/>
      <c r="DR71" s="62">
        <v>1</v>
      </c>
      <c r="DS71">
        <f t="shared" ref="DS71:DS78" si="383">IF(DP71="", DM71,IF(DP71=MIN(DP$71:DP$78),DM71+1,0))</f>
        <v>0</v>
      </c>
      <c r="DT71" s="37">
        <f>(DS71+$B$69)*$G$3</f>
        <v>48</v>
      </c>
      <c r="DU71" s="30">
        <f t="shared" ref="DU71:DU78" si="384">MOD($F6+DT71,$G$2)</f>
        <v>23</v>
      </c>
      <c r="DV71" s="149"/>
      <c r="DW71" s="287"/>
      <c r="DX71" s="201"/>
      <c r="DY71" s="294"/>
      <c r="DZ71" s="62">
        <v>1</v>
      </c>
      <c r="EA71">
        <f t="shared" ref="EA71:EA78" si="385">IF(DV71="", DS71,IF(DV71=MIN(DV$71:DV$78),DS71+1,0))</f>
        <v>0</v>
      </c>
      <c r="EB71" s="37">
        <f>(EA71+$B$69)*$G$3</f>
        <v>48</v>
      </c>
      <c r="EC71" s="30">
        <f t="shared" ref="EC71:EC78" si="386">MOD($F6+EB71,$G$2)</f>
        <v>23</v>
      </c>
      <c r="ED71" s="149"/>
      <c r="EE71" s="284"/>
      <c r="EF71" s="62">
        <v>1</v>
      </c>
      <c r="EG71">
        <f t="shared" ref="EG71:EG78" si="387">IF(ED71="", EA71,IF(ED71=MIN(ED$71:ED$78),EA71+1,0))</f>
        <v>0</v>
      </c>
      <c r="EH71" s="37">
        <f>(EG71+$B$69)*$G$3</f>
        <v>48</v>
      </c>
      <c r="EI71" s="30">
        <f t="shared" ref="EI71:EI78" si="388">MOD($F6+EH71,$G$2)</f>
        <v>23</v>
      </c>
      <c r="EJ71" s="149"/>
      <c r="EK71" s="284"/>
      <c r="EL71" s="62">
        <v>1</v>
      </c>
      <c r="EM71">
        <f t="shared" ref="EM71:EM78" si="389">IF(EJ71="", EG71,IF(EJ71=MIN(EJ$71:EJ$78),EG71+1,0))</f>
        <v>0</v>
      </c>
      <c r="EN71" s="37">
        <f>(EM71+$B$69)*$G$3</f>
        <v>48</v>
      </c>
      <c r="EO71" s="30">
        <f t="shared" ref="EO71:EO78" si="390">MOD($F6+EN71,$G$2)</f>
        <v>23</v>
      </c>
      <c r="EP71" s="149"/>
      <c r="EQ71" s="284"/>
      <c r="ER71" s="62">
        <v>1</v>
      </c>
      <c r="ES71">
        <f t="shared" ref="ES71:ES78" si="391">IF(EP71="", EM71,IF(EP71=MIN(EP$71:EP$78),EM71+1,0))</f>
        <v>0</v>
      </c>
      <c r="ET71" s="37">
        <f>(ES71+$B$69)*$G$3</f>
        <v>48</v>
      </c>
      <c r="EU71" s="30">
        <f t="shared" ref="EU71:EU78" si="392">MOD($F6+ET71,$G$2)</f>
        <v>23</v>
      </c>
      <c r="EV71" s="149"/>
      <c r="EW71" s="287"/>
      <c r="EX71" s="201"/>
    </row>
    <row r="72" spans="1:154" x14ac:dyDescent="0.45">
      <c r="A72" s="294"/>
      <c r="B72" s="180">
        <v>2</v>
      </c>
      <c r="C72">
        <f t="shared" ref="C72:C78" si="393">IF(B72=MIN(B$21:B$28),1,0)</f>
        <v>0</v>
      </c>
      <c r="D72" s="37">
        <f t="shared" ref="D72:D78" si="394">(C72+$B$69)*$G$3</f>
        <v>48</v>
      </c>
      <c r="E72" s="30">
        <f t="shared" si="348"/>
        <v>19</v>
      </c>
      <c r="F72" s="150"/>
      <c r="G72" s="287"/>
      <c r="H72" s="201"/>
      <c r="I72" s="294"/>
      <c r="J72" s="1">
        <v>2</v>
      </c>
      <c r="K72">
        <f t="shared" si="349"/>
        <v>0</v>
      </c>
      <c r="L72" s="37">
        <f t="shared" ref="L72:L78" si="395">(K72+$B$69)*$G$3</f>
        <v>48</v>
      </c>
      <c r="M72" s="30">
        <f t="shared" si="350"/>
        <v>19</v>
      </c>
      <c r="N72" s="150"/>
      <c r="O72" s="284"/>
      <c r="P72" s="1">
        <v>2</v>
      </c>
      <c r="Q72">
        <f t="shared" si="351"/>
        <v>0</v>
      </c>
      <c r="R72" s="37">
        <f t="shared" ref="R72:R78" si="396">(Q72+$B$69)*$G$3</f>
        <v>48</v>
      </c>
      <c r="S72" s="30">
        <f t="shared" si="352"/>
        <v>19</v>
      </c>
      <c r="T72" s="150"/>
      <c r="U72" s="287"/>
      <c r="V72" s="201"/>
      <c r="W72" s="294"/>
      <c r="X72" s="1">
        <v>2</v>
      </c>
      <c r="Y72">
        <f t="shared" si="353"/>
        <v>0</v>
      </c>
      <c r="Z72" s="37">
        <f t="shared" ref="Z72:Z78" si="397">(Y72+$B$69)*$G$3</f>
        <v>48</v>
      </c>
      <c r="AA72" s="30">
        <f t="shared" si="354"/>
        <v>19</v>
      </c>
      <c r="AB72" s="150"/>
      <c r="AC72" s="284"/>
      <c r="AD72" s="1">
        <v>2</v>
      </c>
      <c r="AE72">
        <f t="shared" si="355"/>
        <v>0</v>
      </c>
      <c r="AF72" s="37">
        <f t="shared" ref="AF72:AF78" si="398">(AE72+$B$69)*$G$3</f>
        <v>48</v>
      </c>
      <c r="AG72" s="30">
        <f t="shared" si="356"/>
        <v>19</v>
      </c>
      <c r="AH72" s="150"/>
      <c r="AI72" s="284"/>
      <c r="AJ72" s="1">
        <v>2</v>
      </c>
      <c r="AK72">
        <f t="shared" si="357"/>
        <v>0</v>
      </c>
      <c r="AL72" s="37">
        <f t="shared" ref="AL72:AL78" si="399">(AK72+$B$69)*$G$3</f>
        <v>48</v>
      </c>
      <c r="AM72" s="30">
        <f t="shared" si="358"/>
        <v>19</v>
      </c>
      <c r="AN72" s="150">
        <v>26</v>
      </c>
      <c r="AO72" s="287"/>
      <c r="AP72" s="201"/>
      <c r="AQ72" s="294"/>
      <c r="AR72" s="1">
        <v>2</v>
      </c>
      <c r="AS72">
        <f t="shared" si="359"/>
        <v>0</v>
      </c>
      <c r="AT72" s="37">
        <f t="shared" ref="AT72:AT78" si="400">(AS72+$B$69)*$G$3</f>
        <v>48</v>
      </c>
      <c r="AU72" s="30">
        <f t="shared" si="360"/>
        <v>19</v>
      </c>
      <c r="AV72" s="150"/>
      <c r="AW72" s="284"/>
      <c r="AX72" s="1">
        <v>2</v>
      </c>
      <c r="AY72">
        <f t="shared" si="361"/>
        <v>0</v>
      </c>
      <c r="AZ72" s="37">
        <f t="shared" ref="AZ72:AZ78" si="401">(AY72+$B$69)*$G$3</f>
        <v>48</v>
      </c>
      <c r="BA72" s="30">
        <f t="shared" si="362"/>
        <v>19</v>
      </c>
      <c r="BB72" s="150"/>
      <c r="BC72" s="287"/>
      <c r="BD72" s="201"/>
      <c r="BE72" s="294"/>
      <c r="BF72" s="1">
        <v>2</v>
      </c>
      <c r="BG72">
        <f t="shared" si="363"/>
        <v>0</v>
      </c>
      <c r="BH72" s="37">
        <f t="shared" ref="BH72:BH78" si="402">(BG72+$B$69)*$G$3</f>
        <v>48</v>
      </c>
      <c r="BI72" s="30">
        <f t="shared" si="364"/>
        <v>19</v>
      </c>
      <c r="BJ72" s="150"/>
      <c r="BK72" s="284"/>
      <c r="BL72" s="1">
        <v>2</v>
      </c>
      <c r="BM72">
        <f t="shared" si="365"/>
        <v>0</v>
      </c>
      <c r="BN72" s="37">
        <f t="shared" ref="BN72:BN78" si="403">(BM72+$B$69)*$G$3</f>
        <v>48</v>
      </c>
      <c r="BO72" s="30">
        <f t="shared" si="366"/>
        <v>19</v>
      </c>
      <c r="BP72" s="150"/>
      <c r="BQ72" s="284"/>
      <c r="BR72" s="1">
        <v>2</v>
      </c>
      <c r="BS72">
        <f t="shared" si="367"/>
        <v>0</v>
      </c>
      <c r="BT72" s="37">
        <f t="shared" ref="BT72:BT78" si="404">(BS72+$B$69)*$G$3</f>
        <v>48</v>
      </c>
      <c r="BU72" s="30">
        <f t="shared" si="368"/>
        <v>19</v>
      </c>
      <c r="BV72" s="150"/>
      <c r="BW72" s="284"/>
      <c r="BX72" s="1">
        <v>2</v>
      </c>
      <c r="BY72">
        <f t="shared" si="369"/>
        <v>0</v>
      </c>
      <c r="BZ72" s="37">
        <f t="shared" ref="BZ72:BZ78" si="405">(BY72+$B$69)*$G$3</f>
        <v>48</v>
      </c>
      <c r="CA72" s="30">
        <f t="shared" si="370"/>
        <v>19</v>
      </c>
      <c r="CB72" s="150"/>
      <c r="CC72" s="287"/>
      <c r="CD72" s="201"/>
      <c r="CE72" s="294"/>
      <c r="CF72" s="1">
        <v>2</v>
      </c>
      <c r="CG72">
        <f t="shared" si="371"/>
        <v>0</v>
      </c>
      <c r="CH72" s="37">
        <f t="shared" ref="CH72:CH78" si="406">(CG72+$B$69)*$G$3</f>
        <v>48</v>
      </c>
      <c r="CI72" s="30">
        <f t="shared" si="372"/>
        <v>19</v>
      </c>
      <c r="CJ72" s="150"/>
      <c r="CK72" s="284"/>
      <c r="CL72" s="1">
        <v>2</v>
      </c>
      <c r="CM72">
        <f t="shared" si="373"/>
        <v>0</v>
      </c>
      <c r="CN72" s="37">
        <f t="shared" ref="CN72:CN78" si="407">(CM72+$B$69)*$G$3</f>
        <v>48</v>
      </c>
      <c r="CO72" s="30">
        <f t="shared" si="374"/>
        <v>19</v>
      </c>
      <c r="CP72" s="150"/>
      <c r="CQ72" s="284"/>
      <c r="CR72" s="1">
        <v>2</v>
      </c>
      <c r="CS72">
        <f t="shared" si="375"/>
        <v>0</v>
      </c>
      <c r="CT72" s="37">
        <f t="shared" ref="CT72:CT78" si="408">(CS72+$B$69)*$G$3</f>
        <v>48</v>
      </c>
      <c r="CU72" s="30">
        <f t="shared" si="376"/>
        <v>19</v>
      </c>
      <c r="CV72" s="150"/>
      <c r="CW72" s="284"/>
      <c r="CX72" s="1">
        <v>2</v>
      </c>
      <c r="CY72">
        <f t="shared" si="377"/>
        <v>0</v>
      </c>
      <c r="CZ72" s="37">
        <f t="shared" ref="CZ72:CZ78" si="409">(CY72+$B$69)*$G$3</f>
        <v>48</v>
      </c>
      <c r="DA72" s="30">
        <f t="shared" si="378"/>
        <v>19</v>
      </c>
      <c r="DB72" s="150"/>
      <c r="DC72" s="287"/>
      <c r="DD72" s="201"/>
      <c r="DE72" s="294"/>
      <c r="DF72" s="1">
        <v>2</v>
      </c>
      <c r="DG72">
        <f t="shared" si="379"/>
        <v>0</v>
      </c>
      <c r="DH72" s="37">
        <f t="shared" ref="DH72:DH78" si="410">(DG72+$B$69)*$G$3</f>
        <v>48</v>
      </c>
      <c r="DI72" s="30">
        <f t="shared" si="380"/>
        <v>19</v>
      </c>
      <c r="DJ72" s="150"/>
      <c r="DK72" s="284"/>
      <c r="DL72" s="1">
        <v>2</v>
      </c>
      <c r="DM72">
        <f t="shared" si="381"/>
        <v>0</v>
      </c>
      <c r="DN72" s="37">
        <f t="shared" ref="DN72:DN78" si="411">(DM72+$B$69)*$G$3</f>
        <v>48</v>
      </c>
      <c r="DO72" s="30">
        <f t="shared" si="382"/>
        <v>19</v>
      </c>
      <c r="DP72" s="150">
        <v>12</v>
      </c>
      <c r="DQ72" s="284"/>
      <c r="DR72" s="1">
        <v>2</v>
      </c>
      <c r="DS72">
        <f t="shared" si="383"/>
        <v>0</v>
      </c>
      <c r="DT72" s="37">
        <f t="shared" ref="DT72:DT78" si="412">(DS72+$B$69)*$G$3</f>
        <v>48</v>
      </c>
      <c r="DU72" s="30">
        <f t="shared" si="384"/>
        <v>19</v>
      </c>
      <c r="DV72" s="150"/>
      <c r="DW72" s="287"/>
      <c r="DX72" s="201"/>
      <c r="DY72" s="294"/>
      <c r="DZ72" s="1">
        <v>2</v>
      </c>
      <c r="EA72">
        <f t="shared" si="385"/>
        <v>0</v>
      </c>
      <c r="EB72" s="37">
        <f t="shared" ref="EB72:EB78" si="413">(EA72+$B$69)*$G$3</f>
        <v>48</v>
      </c>
      <c r="EC72" s="30">
        <f t="shared" si="386"/>
        <v>19</v>
      </c>
      <c r="ED72" s="150"/>
      <c r="EE72" s="284"/>
      <c r="EF72" s="1">
        <v>2</v>
      </c>
      <c r="EG72">
        <f t="shared" si="387"/>
        <v>0</v>
      </c>
      <c r="EH72" s="37">
        <f t="shared" ref="EH72:EH78" si="414">(EG72+$B$69)*$G$3</f>
        <v>48</v>
      </c>
      <c r="EI72" s="30">
        <f t="shared" si="388"/>
        <v>19</v>
      </c>
      <c r="EJ72" s="150"/>
      <c r="EK72" s="284"/>
      <c r="EL72" s="1">
        <v>2</v>
      </c>
      <c r="EM72">
        <f t="shared" si="389"/>
        <v>0</v>
      </c>
      <c r="EN72" s="37">
        <f t="shared" ref="EN72:EN78" si="415">(EM72+$B$69)*$G$3</f>
        <v>48</v>
      </c>
      <c r="EO72" s="30">
        <f t="shared" si="390"/>
        <v>19</v>
      </c>
      <c r="EP72" s="150"/>
      <c r="EQ72" s="284"/>
      <c r="ER72" s="1">
        <v>2</v>
      </c>
      <c r="ES72">
        <f t="shared" si="391"/>
        <v>0</v>
      </c>
      <c r="ET72" s="37">
        <f t="shared" ref="ET72:ET78" si="416">(ES72+$B$69)*$G$3</f>
        <v>48</v>
      </c>
      <c r="EU72" s="30">
        <f t="shared" si="392"/>
        <v>19</v>
      </c>
      <c r="EV72" s="150"/>
      <c r="EW72" s="287"/>
      <c r="EX72" s="201"/>
    </row>
    <row r="73" spans="1:154" x14ac:dyDescent="0.45">
      <c r="A73" s="294"/>
      <c r="B73" s="1">
        <v>3</v>
      </c>
      <c r="C73">
        <f t="shared" si="393"/>
        <v>0</v>
      </c>
      <c r="D73" s="37">
        <f t="shared" si="394"/>
        <v>48</v>
      </c>
      <c r="E73" s="30">
        <f t="shared" si="348"/>
        <v>30</v>
      </c>
      <c r="F73" s="150"/>
      <c r="G73" s="287"/>
      <c r="H73" s="201"/>
      <c r="I73" s="294"/>
      <c r="J73" s="1">
        <v>3</v>
      </c>
      <c r="K73">
        <f t="shared" si="349"/>
        <v>0</v>
      </c>
      <c r="L73" s="37">
        <f t="shared" si="395"/>
        <v>48</v>
      </c>
      <c r="M73" s="30">
        <f t="shared" si="350"/>
        <v>30</v>
      </c>
      <c r="N73" s="150"/>
      <c r="O73" s="284"/>
      <c r="P73" s="1">
        <v>3</v>
      </c>
      <c r="Q73">
        <f t="shared" si="351"/>
        <v>0</v>
      </c>
      <c r="R73" s="37">
        <f t="shared" si="396"/>
        <v>48</v>
      </c>
      <c r="S73" s="30">
        <f t="shared" si="352"/>
        <v>30</v>
      </c>
      <c r="T73" s="150"/>
      <c r="U73" s="287"/>
      <c r="V73" s="201"/>
      <c r="W73" s="294"/>
      <c r="X73" s="1">
        <v>3</v>
      </c>
      <c r="Y73">
        <f t="shared" si="353"/>
        <v>0</v>
      </c>
      <c r="Z73" s="37">
        <f t="shared" si="397"/>
        <v>48</v>
      </c>
      <c r="AA73" s="30">
        <f t="shared" si="354"/>
        <v>30</v>
      </c>
      <c r="AB73" s="150"/>
      <c r="AC73" s="284"/>
      <c r="AD73" s="1">
        <v>3</v>
      </c>
      <c r="AE73">
        <f t="shared" si="355"/>
        <v>0</v>
      </c>
      <c r="AF73" s="37">
        <f t="shared" si="398"/>
        <v>48</v>
      </c>
      <c r="AG73" s="30">
        <f t="shared" si="356"/>
        <v>30</v>
      </c>
      <c r="AH73" s="150"/>
      <c r="AI73" s="284"/>
      <c r="AJ73" s="1">
        <v>3</v>
      </c>
      <c r="AK73">
        <f t="shared" si="357"/>
        <v>0</v>
      </c>
      <c r="AL73" s="37">
        <f t="shared" si="399"/>
        <v>48</v>
      </c>
      <c r="AM73" s="30">
        <f t="shared" si="358"/>
        <v>30</v>
      </c>
      <c r="AN73" s="150"/>
      <c r="AO73" s="287"/>
      <c r="AP73" s="201"/>
      <c r="AQ73" s="294"/>
      <c r="AR73" s="1">
        <v>3</v>
      </c>
      <c r="AS73">
        <f t="shared" si="359"/>
        <v>0</v>
      </c>
      <c r="AT73" s="37">
        <f t="shared" si="400"/>
        <v>48</v>
      </c>
      <c r="AU73" s="30">
        <f t="shared" si="360"/>
        <v>30</v>
      </c>
      <c r="AV73" s="150"/>
      <c r="AW73" s="284"/>
      <c r="AX73" s="1">
        <v>3</v>
      </c>
      <c r="AY73">
        <f t="shared" si="361"/>
        <v>0</v>
      </c>
      <c r="AZ73" s="37">
        <f t="shared" si="401"/>
        <v>48</v>
      </c>
      <c r="BA73" s="30">
        <f t="shared" si="362"/>
        <v>30</v>
      </c>
      <c r="BB73" s="150"/>
      <c r="BC73" s="287"/>
      <c r="BD73" s="201"/>
      <c r="BE73" s="294"/>
      <c r="BF73" s="1">
        <v>3</v>
      </c>
      <c r="BG73">
        <f t="shared" si="363"/>
        <v>0</v>
      </c>
      <c r="BH73" s="37">
        <f t="shared" si="402"/>
        <v>48</v>
      </c>
      <c r="BI73" s="30">
        <f t="shared" si="364"/>
        <v>30</v>
      </c>
      <c r="BJ73" s="150"/>
      <c r="BK73" s="284"/>
      <c r="BL73" s="1">
        <v>3</v>
      </c>
      <c r="BM73">
        <f t="shared" si="365"/>
        <v>0</v>
      </c>
      <c r="BN73" s="37">
        <f t="shared" si="403"/>
        <v>48</v>
      </c>
      <c r="BO73" s="30">
        <f t="shared" si="366"/>
        <v>30</v>
      </c>
      <c r="BP73" s="150"/>
      <c r="BQ73" s="284"/>
      <c r="BR73" s="1">
        <v>3</v>
      </c>
      <c r="BS73">
        <f t="shared" si="367"/>
        <v>0</v>
      </c>
      <c r="BT73" s="37">
        <f t="shared" si="404"/>
        <v>48</v>
      </c>
      <c r="BU73" s="30">
        <f t="shared" si="368"/>
        <v>30</v>
      </c>
      <c r="BV73" s="150"/>
      <c r="BW73" s="284"/>
      <c r="BX73" s="1">
        <v>3</v>
      </c>
      <c r="BY73">
        <f t="shared" si="369"/>
        <v>0</v>
      </c>
      <c r="BZ73" s="37">
        <f t="shared" si="405"/>
        <v>48</v>
      </c>
      <c r="CA73" s="30">
        <f t="shared" si="370"/>
        <v>30</v>
      </c>
      <c r="CB73" s="150"/>
      <c r="CC73" s="287"/>
      <c r="CD73" s="201"/>
      <c r="CE73" s="294"/>
      <c r="CF73" s="1">
        <v>3</v>
      </c>
      <c r="CG73">
        <f t="shared" si="371"/>
        <v>0</v>
      </c>
      <c r="CH73" s="37">
        <f t="shared" si="406"/>
        <v>48</v>
      </c>
      <c r="CI73" s="30">
        <f t="shared" si="372"/>
        <v>30</v>
      </c>
      <c r="CJ73" s="150"/>
      <c r="CK73" s="284"/>
      <c r="CL73" s="1">
        <v>3</v>
      </c>
      <c r="CM73">
        <f t="shared" si="373"/>
        <v>0</v>
      </c>
      <c r="CN73" s="37">
        <f t="shared" si="407"/>
        <v>48</v>
      </c>
      <c r="CO73" s="30">
        <f t="shared" si="374"/>
        <v>30</v>
      </c>
      <c r="CP73" s="150"/>
      <c r="CQ73" s="284"/>
      <c r="CR73" s="1">
        <v>3</v>
      </c>
      <c r="CS73">
        <f t="shared" si="375"/>
        <v>0</v>
      </c>
      <c r="CT73" s="37">
        <f t="shared" si="408"/>
        <v>48</v>
      </c>
      <c r="CU73" s="30">
        <f t="shared" si="376"/>
        <v>30</v>
      </c>
      <c r="CV73" s="150"/>
      <c r="CW73" s="284"/>
      <c r="CX73" s="1">
        <v>3</v>
      </c>
      <c r="CY73">
        <f t="shared" si="377"/>
        <v>0</v>
      </c>
      <c r="CZ73" s="37">
        <f t="shared" si="409"/>
        <v>48</v>
      </c>
      <c r="DA73" s="30">
        <f t="shared" si="378"/>
        <v>30</v>
      </c>
      <c r="DB73" s="150"/>
      <c r="DC73" s="287"/>
      <c r="DD73" s="201"/>
      <c r="DE73" s="294"/>
      <c r="DF73" s="1">
        <v>3</v>
      </c>
      <c r="DG73">
        <f t="shared" si="379"/>
        <v>0</v>
      </c>
      <c r="DH73" s="37">
        <f t="shared" si="410"/>
        <v>48</v>
      </c>
      <c r="DI73" s="30">
        <f t="shared" si="380"/>
        <v>30</v>
      </c>
      <c r="DJ73" s="150"/>
      <c r="DK73" s="284"/>
      <c r="DL73" s="1">
        <v>3</v>
      </c>
      <c r="DM73">
        <f t="shared" si="381"/>
        <v>0</v>
      </c>
      <c r="DN73" s="37">
        <f t="shared" si="411"/>
        <v>48</v>
      </c>
      <c r="DO73" s="30">
        <f t="shared" si="382"/>
        <v>30</v>
      </c>
      <c r="DP73" s="150"/>
      <c r="DQ73" s="284"/>
      <c r="DR73" s="1">
        <v>3</v>
      </c>
      <c r="DS73">
        <f t="shared" si="383"/>
        <v>0</v>
      </c>
      <c r="DT73" s="37">
        <f t="shared" si="412"/>
        <v>48</v>
      </c>
      <c r="DU73" s="30">
        <f t="shared" si="384"/>
        <v>30</v>
      </c>
      <c r="DV73" s="150"/>
      <c r="DW73" s="287"/>
      <c r="DX73" s="201"/>
      <c r="DY73" s="294"/>
      <c r="DZ73" s="1">
        <v>3</v>
      </c>
      <c r="EA73">
        <f t="shared" si="385"/>
        <v>0</v>
      </c>
      <c r="EB73" s="37">
        <f t="shared" si="413"/>
        <v>48</v>
      </c>
      <c r="EC73" s="30">
        <f t="shared" si="386"/>
        <v>30</v>
      </c>
      <c r="ED73" s="150"/>
      <c r="EE73" s="284"/>
      <c r="EF73" s="1">
        <v>3</v>
      </c>
      <c r="EG73">
        <f t="shared" si="387"/>
        <v>0</v>
      </c>
      <c r="EH73" s="37">
        <f t="shared" si="414"/>
        <v>48</v>
      </c>
      <c r="EI73" s="30">
        <f t="shared" si="388"/>
        <v>30</v>
      </c>
      <c r="EJ73" s="150"/>
      <c r="EK73" s="284"/>
      <c r="EL73" s="1">
        <v>3</v>
      </c>
      <c r="EM73">
        <f t="shared" si="389"/>
        <v>0</v>
      </c>
      <c r="EN73" s="37">
        <f t="shared" si="415"/>
        <v>48</v>
      </c>
      <c r="EO73" s="30">
        <f t="shared" si="390"/>
        <v>30</v>
      </c>
      <c r="EP73" s="150"/>
      <c r="EQ73" s="284"/>
      <c r="ER73" s="1">
        <v>3</v>
      </c>
      <c r="ES73">
        <f t="shared" si="391"/>
        <v>0</v>
      </c>
      <c r="ET73" s="37">
        <f t="shared" si="416"/>
        <v>48</v>
      </c>
      <c r="EU73" s="30">
        <f t="shared" si="392"/>
        <v>30</v>
      </c>
      <c r="EV73" s="150"/>
      <c r="EW73" s="287"/>
      <c r="EX73" s="201"/>
    </row>
    <row r="74" spans="1:154" x14ac:dyDescent="0.45">
      <c r="A74" s="294"/>
      <c r="B74" s="1">
        <v>4</v>
      </c>
      <c r="C74">
        <f t="shared" si="393"/>
        <v>0</v>
      </c>
      <c r="D74" s="37">
        <f t="shared" si="394"/>
        <v>48</v>
      </c>
      <c r="E74" s="30">
        <f t="shared" si="348"/>
        <v>26</v>
      </c>
      <c r="F74" s="150"/>
      <c r="G74" s="287"/>
      <c r="H74" s="201"/>
      <c r="I74" s="294"/>
      <c r="J74" s="1">
        <v>4</v>
      </c>
      <c r="K74">
        <f t="shared" si="349"/>
        <v>0</v>
      </c>
      <c r="L74" s="37">
        <f t="shared" si="395"/>
        <v>48</v>
      </c>
      <c r="M74" s="30">
        <f t="shared" si="350"/>
        <v>26</v>
      </c>
      <c r="N74" s="150"/>
      <c r="O74" s="284"/>
      <c r="P74" s="1">
        <v>4</v>
      </c>
      <c r="Q74">
        <f t="shared" si="351"/>
        <v>0</v>
      </c>
      <c r="R74" s="37">
        <f t="shared" si="396"/>
        <v>48</v>
      </c>
      <c r="S74" s="30">
        <f t="shared" si="352"/>
        <v>26</v>
      </c>
      <c r="T74" s="150"/>
      <c r="U74" s="287"/>
      <c r="V74" s="201"/>
      <c r="W74" s="294"/>
      <c r="X74" s="1">
        <v>4</v>
      </c>
      <c r="Y74">
        <f t="shared" si="353"/>
        <v>0</v>
      </c>
      <c r="Z74" s="37">
        <f t="shared" si="397"/>
        <v>48</v>
      </c>
      <c r="AA74" s="30">
        <f t="shared" si="354"/>
        <v>26</v>
      </c>
      <c r="AB74" s="150"/>
      <c r="AC74" s="284"/>
      <c r="AD74" s="1">
        <v>4</v>
      </c>
      <c r="AE74">
        <f t="shared" si="355"/>
        <v>0</v>
      </c>
      <c r="AF74" s="37">
        <f t="shared" si="398"/>
        <v>48</v>
      </c>
      <c r="AG74" s="30">
        <f t="shared" si="356"/>
        <v>26</v>
      </c>
      <c r="AH74" s="150"/>
      <c r="AI74" s="284"/>
      <c r="AJ74" s="1">
        <v>4</v>
      </c>
      <c r="AK74">
        <f t="shared" si="357"/>
        <v>0</v>
      </c>
      <c r="AL74" s="37">
        <f t="shared" si="399"/>
        <v>48</v>
      </c>
      <c r="AM74" s="30">
        <f t="shared" si="358"/>
        <v>26</v>
      </c>
      <c r="AN74" s="150"/>
      <c r="AO74" s="287"/>
      <c r="AP74" s="201"/>
      <c r="AQ74" s="294"/>
      <c r="AR74" s="1">
        <v>4</v>
      </c>
      <c r="AS74">
        <f t="shared" si="359"/>
        <v>0</v>
      </c>
      <c r="AT74" s="37">
        <f t="shared" si="400"/>
        <v>48</v>
      </c>
      <c r="AU74" s="30">
        <f t="shared" si="360"/>
        <v>26</v>
      </c>
      <c r="AV74" s="150">
        <v>4</v>
      </c>
      <c r="AW74" s="284"/>
      <c r="AX74" s="1">
        <v>4</v>
      </c>
      <c r="AY74">
        <f t="shared" si="361"/>
        <v>0</v>
      </c>
      <c r="AZ74" s="37">
        <f t="shared" si="401"/>
        <v>48</v>
      </c>
      <c r="BA74" s="30">
        <f t="shared" si="362"/>
        <v>26</v>
      </c>
      <c r="BB74" s="150"/>
      <c r="BC74" s="287"/>
      <c r="BD74" s="201"/>
      <c r="BE74" s="294"/>
      <c r="BF74" s="1">
        <v>4</v>
      </c>
      <c r="BG74">
        <f t="shared" si="363"/>
        <v>0</v>
      </c>
      <c r="BH74" s="37">
        <f t="shared" si="402"/>
        <v>48</v>
      </c>
      <c r="BI74" s="30">
        <f t="shared" si="364"/>
        <v>26</v>
      </c>
      <c r="BJ74" s="150"/>
      <c r="BK74" s="284"/>
      <c r="BL74" s="1">
        <v>4</v>
      </c>
      <c r="BM74">
        <f t="shared" si="365"/>
        <v>0</v>
      </c>
      <c r="BN74" s="37">
        <f t="shared" si="403"/>
        <v>48</v>
      </c>
      <c r="BO74" s="30">
        <f t="shared" si="366"/>
        <v>26</v>
      </c>
      <c r="BP74" s="150"/>
      <c r="BQ74" s="284"/>
      <c r="BR74" s="1">
        <v>4</v>
      </c>
      <c r="BS74">
        <f t="shared" si="367"/>
        <v>0</v>
      </c>
      <c r="BT74" s="37">
        <f t="shared" si="404"/>
        <v>48</v>
      </c>
      <c r="BU74" s="30">
        <f t="shared" si="368"/>
        <v>26</v>
      </c>
      <c r="BV74" s="150"/>
      <c r="BW74" s="284"/>
      <c r="BX74" s="1">
        <v>4</v>
      </c>
      <c r="BY74">
        <f t="shared" si="369"/>
        <v>0</v>
      </c>
      <c r="BZ74" s="37">
        <f t="shared" si="405"/>
        <v>48</v>
      </c>
      <c r="CA74" s="30">
        <f t="shared" si="370"/>
        <v>26</v>
      </c>
      <c r="CB74" s="150"/>
      <c r="CC74" s="287"/>
      <c r="CD74" s="201"/>
      <c r="CE74" s="294"/>
      <c r="CF74" s="1">
        <v>4</v>
      </c>
      <c r="CG74">
        <f t="shared" si="371"/>
        <v>0</v>
      </c>
      <c r="CH74" s="37">
        <f t="shared" si="406"/>
        <v>48</v>
      </c>
      <c r="CI74" s="30">
        <f t="shared" si="372"/>
        <v>26</v>
      </c>
      <c r="CJ74" s="150"/>
      <c r="CK74" s="284"/>
      <c r="CL74" s="1">
        <v>4</v>
      </c>
      <c r="CM74">
        <f t="shared" si="373"/>
        <v>0</v>
      </c>
      <c r="CN74" s="37">
        <f t="shared" si="407"/>
        <v>48</v>
      </c>
      <c r="CO74" s="30">
        <f t="shared" si="374"/>
        <v>26</v>
      </c>
      <c r="CP74" s="150"/>
      <c r="CQ74" s="284"/>
      <c r="CR74" s="1">
        <v>4</v>
      </c>
      <c r="CS74">
        <f t="shared" si="375"/>
        <v>0</v>
      </c>
      <c r="CT74" s="37">
        <f t="shared" si="408"/>
        <v>48</v>
      </c>
      <c r="CU74" s="30">
        <f t="shared" si="376"/>
        <v>26</v>
      </c>
      <c r="CV74" s="150"/>
      <c r="CW74" s="284"/>
      <c r="CX74" s="1">
        <v>4</v>
      </c>
      <c r="CY74">
        <f t="shared" si="377"/>
        <v>0</v>
      </c>
      <c r="CZ74" s="37">
        <f t="shared" si="409"/>
        <v>48</v>
      </c>
      <c r="DA74" s="30">
        <f t="shared" si="378"/>
        <v>26</v>
      </c>
      <c r="DB74" s="150"/>
      <c r="DC74" s="287"/>
      <c r="DD74" s="201"/>
      <c r="DE74" s="294"/>
      <c r="DF74" s="1">
        <v>4</v>
      </c>
      <c r="DG74">
        <f t="shared" si="379"/>
        <v>0</v>
      </c>
      <c r="DH74" s="37">
        <f t="shared" si="410"/>
        <v>48</v>
      </c>
      <c r="DI74" s="30">
        <f t="shared" si="380"/>
        <v>26</v>
      </c>
      <c r="DJ74" s="150"/>
      <c r="DK74" s="284"/>
      <c r="DL74" s="1">
        <v>4</v>
      </c>
      <c r="DM74">
        <f t="shared" si="381"/>
        <v>0</v>
      </c>
      <c r="DN74" s="37">
        <f t="shared" si="411"/>
        <v>48</v>
      </c>
      <c r="DO74" s="30">
        <f t="shared" si="382"/>
        <v>26</v>
      </c>
      <c r="DP74" s="150"/>
      <c r="DQ74" s="284"/>
      <c r="DR74" s="1">
        <v>4</v>
      </c>
      <c r="DS74">
        <f t="shared" si="383"/>
        <v>0</v>
      </c>
      <c r="DT74" s="37">
        <f t="shared" si="412"/>
        <v>48</v>
      </c>
      <c r="DU74" s="30">
        <f t="shared" si="384"/>
        <v>26</v>
      </c>
      <c r="DV74" s="150"/>
      <c r="DW74" s="287"/>
      <c r="DX74" s="201"/>
      <c r="DY74" s="294"/>
      <c r="DZ74" s="1">
        <v>4</v>
      </c>
      <c r="EA74">
        <f t="shared" si="385"/>
        <v>0</v>
      </c>
      <c r="EB74" s="37">
        <f t="shared" si="413"/>
        <v>48</v>
      </c>
      <c r="EC74" s="30">
        <f t="shared" si="386"/>
        <v>26</v>
      </c>
      <c r="ED74" s="150"/>
      <c r="EE74" s="284"/>
      <c r="EF74" s="1">
        <v>4</v>
      </c>
      <c r="EG74">
        <f t="shared" si="387"/>
        <v>0</v>
      </c>
      <c r="EH74" s="37">
        <f t="shared" si="414"/>
        <v>48</v>
      </c>
      <c r="EI74" s="30">
        <f t="shared" si="388"/>
        <v>26</v>
      </c>
      <c r="EJ74" s="150"/>
      <c r="EK74" s="284"/>
      <c r="EL74" s="1">
        <v>4</v>
      </c>
      <c r="EM74">
        <f t="shared" si="389"/>
        <v>0</v>
      </c>
      <c r="EN74" s="37">
        <f t="shared" si="415"/>
        <v>48</v>
      </c>
      <c r="EO74" s="30">
        <f t="shared" si="390"/>
        <v>26</v>
      </c>
      <c r="EP74" s="150"/>
      <c r="EQ74" s="284"/>
      <c r="ER74" s="1">
        <v>4</v>
      </c>
      <c r="ES74">
        <f t="shared" si="391"/>
        <v>0</v>
      </c>
      <c r="ET74" s="37">
        <f t="shared" si="416"/>
        <v>48</v>
      </c>
      <c r="EU74" s="30">
        <f t="shared" si="392"/>
        <v>26</v>
      </c>
      <c r="EV74" s="150">
        <v>26</v>
      </c>
      <c r="EW74" s="287"/>
      <c r="EX74" s="201"/>
    </row>
    <row r="75" spans="1:154" x14ac:dyDescent="0.45">
      <c r="A75" s="294"/>
      <c r="B75" s="1">
        <v>5</v>
      </c>
      <c r="C75">
        <f t="shared" si="393"/>
        <v>0</v>
      </c>
      <c r="D75" s="37">
        <f t="shared" si="394"/>
        <v>48</v>
      </c>
      <c r="E75" s="30">
        <f t="shared" si="348"/>
        <v>4</v>
      </c>
      <c r="F75" s="150">
        <v>8</v>
      </c>
      <c r="G75" s="287"/>
      <c r="H75" s="201"/>
      <c r="I75" s="294"/>
      <c r="J75" s="1">
        <v>5</v>
      </c>
      <c r="K75">
        <f t="shared" si="349"/>
        <v>0</v>
      </c>
      <c r="L75" s="37">
        <f t="shared" si="395"/>
        <v>48</v>
      </c>
      <c r="M75" s="30">
        <f t="shared" si="350"/>
        <v>4</v>
      </c>
      <c r="N75" s="150"/>
      <c r="O75" s="284"/>
      <c r="P75" s="1">
        <v>5</v>
      </c>
      <c r="Q75">
        <f t="shared" si="351"/>
        <v>0</v>
      </c>
      <c r="R75" s="37">
        <f t="shared" si="396"/>
        <v>48</v>
      </c>
      <c r="S75" s="30">
        <f t="shared" si="352"/>
        <v>4</v>
      </c>
      <c r="T75" s="150"/>
      <c r="U75" s="287"/>
      <c r="V75" s="201"/>
      <c r="W75" s="294"/>
      <c r="X75" s="1">
        <v>5</v>
      </c>
      <c r="Y75">
        <f t="shared" si="353"/>
        <v>0</v>
      </c>
      <c r="Z75" s="37">
        <f t="shared" si="397"/>
        <v>48</v>
      </c>
      <c r="AA75" s="30">
        <f t="shared" si="354"/>
        <v>4</v>
      </c>
      <c r="AB75" s="150"/>
      <c r="AC75" s="284"/>
      <c r="AD75" s="1">
        <v>5</v>
      </c>
      <c r="AE75">
        <f t="shared" si="355"/>
        <v>0</v>
      </c>
      <c r="AF75" s="37">
        <f t="shared" si="398"/>
        <v>48</v>
      </c>
      <c r="AG75" s="30">
        <f t="shared" si="356"/>
        <v>4</v>
      </c>
      <c r="AH75" s="150"/>
      <c r="AI75" s="284"/>
      <c r="AJ75" s="1">
        <v>5</v>
      </c>
      <c r="AK75">
        <f t="shared" si="357"/>
        <v>0</v>
      </c>
      <c r="AL75" s="37">
        <f t="shared" si="399"/>
        <v>48</v>
      </c>
      <c r="AM75" s="30">
        <f t="shared" si="358"/>
        <v>4</v>
      </c>
      <c r="AN75" s="150"/>
      <c r="AO75" s="287"/>
      <c r="AP75" s="201"/>
      <c r="AQ75" s="294"/>
      <c r="AR75" s="1">
        <v>5</v>
      </c>
      <c r="AS75">
        <f t="shared" si="359"/>
        <v>0</v>
      </c>
      <c r="AT75" s="37">
        <f t="shared" si="400"/>
        <v>48</v>
      </c>
      <c r="AU75" s="30">
        <f t="shared" si="360"/>
        <v>4</v>
      </c>
      <c r="AV75" s="150"/>
      <c r="AW75" s="284"/>
      <c r="AX75" s="1">
        <v>5</v>
      </c>
      <c r="AY75">
        <f t="shared" si="361"/>
        <v>0</v>
      </c>
      <c r="AZ75" s="37">
        <f t="shared" si="401"/>
        <v>48</v>
      </c>
      <c r="BA75" s="30">
        <f t="shared" si="362"/>
        <v>4</v>
      </c>
      <c r="BB75" s="150"/>
      <c r="BC75" s="287"/>
      <c r="BD75" s="201"/>
      <c r="BE75" s="294"/>
      <c r="BF75" s="1">
        <v>5</v>
      </c>
      <c r="BG75">
        <f t="shared" si="363"/>
        <v>0</v>
      </c>
      <c r="BH75" s="37">
        <f t="shared" si="402"/>
        <v>48</v>
      </c>
      <c r="BI75" s="30">
        <f t="shared" si="364"/>
        <v>4</v>
      </c>
      <c r="BJ75" s="150"/>
      <c r="BK75" s="284"/>
      <c r="BL75" s="1">
        <v>5</v>
      </c>
      <c r="BM75">
        <f t="shared" si="365"/>
        <v>0</v>
      </c>
      <c r="BN75" s="37">
        <f t="shared" si="403"/>
        <v>48</v>
      </c>
      <c r="BO75" s="30">
        <f t="shared" si="366"/>
        <v>4</v>
      </c>
      <c r="BP75" s="150"/>
      <c r="BQ75" s="284"/>
      <c r="BR75" s="1">
        <v>5</v>
      </c>
      <c r="BS75">
        <f t="shared" si="367"/>
        <v>0</v>
      </c>
      <c r="BT75" s="37">
        <f t="shared" si="404"/>
        <v>48</v>
      </c>
      <c r="BU75" s="30">
        <f t="shared" si="368"/>
        <v>4</v>
      </c>
      <c r="BV75" s="150"/>
      <c r="BW75" s="284"/>
      <c r="BX75" s="1">
        <v>5</v>
      </c>
      <c r="BY75">
        <f t="shared" si="369"/>
        <v>0</v>
      </c>
      <c r="BZ75" s="37">
        <f t="shared" si="405"/>
        <v>48</v>
      </c>
      <c r="CA75" s="30">
        <f t="shared" si="370"/>
        <v>4</v>
      </c>
      <c r="CB75" s="150">
        <v>32</v>
      </c>
      <c r="CC75" s="287"/>
      <c r="CD75" s="201"/>
      <c r="CE75" s="294"/>
      <c r="CF75" s="1">
        <v>5</v>
      </c>
      <c r="CG75">
        <f t="shared" si="371"/>
        <v>0</v>
      </c>
      <c r="CH75" s="37">
        <f t="shared" si="406"/>
        <v>48</v>
      </c>
      <c r="CI75" s="30">
        <f t="shared" si="372"/>
        <v>4</v>
      </c>
      <c r="CJ75" s="150"/>
      <c r="CK75" s="284"/>
      <c r="CL75" s="1">
        <v>5</v>
      </c>
      <c r="CM75">
        <f t="shared" si="373"/>
        <v>0</v>
      </c>
      <c r="CN75" s="37">
        <f t="shared" si="407"/>
        <v>48</v>
      </c>
      <c r="CO75" s="30">
        <f t="shared" si="374"/>
        <v>4</v>
      </c>
      <c r="CP75" s="150"/>
      <c r="CQ75" s="284"/>
      <c r="CR75" s="1">
        <v>5</v>
      </c>
      <c r="CS75">
        <f t="shared" si="375"/>
        <v>0</v>
      </c>
      <c r="CT75" s="37">
        <f t="shared" si="408"/>
        <v>48</v>
      </c>
      <c r="CU75" s="30">
        <f t="shared" si="376"/>
        <v>4</v>
      </c>
      <c r="CV75" s="150"/>
      <c r="CW75" s="284"/>
      <c r="CX75" s="1">
        <v>5</v>
      </c>
      <c r="CY75">
        <f t="shared" si="377"/>
        <v>0</v>
      </c>
      <c r="CZ75" s="37">
        <f t="shared" si="409"/>
        <v>48</v>
      </c>
      <c r="DA75" s="30">
        <f t="shared" si="378"/>
        <v>4</v>
      </c>
      <c r="DB75" s="150"/>
      <c r="DC75" s="287"/>
      <c r="DD75" s="201"/>
      <c r="DE75" s="294"/>
      <c r="DF75" s="1">
        <v>5</v>
      </c>
      <c r="DG75">
        <f t="shared" si="379"/>
        <v>0</v>
      </c>
      <c r="DH75" s="37">
        <f t="shared" si="410"/>
        <v>48</v>
      </c>
      <c r="DI75" s="30">
        <f t="shared" si="380"/>
        <v>4</v>
      </c>
      <c r="DJ75" s="150"/>
      <c r="DK75" s="284"/>
      <c r="DL75" s="1">
        <v>5</v>
      </c>
      <c r="DM75">
        <f t="shared" si="381"/>
        <v>0</v>
      </c>
      <c r="DN75" s="37">
        <f t="shared" si="411"/>
        <v>48</v>
      </c>
      <c r="DO75" s="30">
        <f t="shared" si="382"/>
        <v>4</v>
      </c>
      <c r="DP75" s="150"/>
      <c r="DQ75" s="284"/>
      <c r="DR75" s="1">
        <v>5</v>
      </c>
      <c r="DS75">
        <f t="shared" si="383"/>
        <v>0</v>
      </c>
      <c r="DT75" s="37">
        <f t="shared" si="412"/>
        <v>48</v>
      </c>
      <c r="DU75" s="30">
        <f t="shared" si="384"/>
        <v>4</v>
      </c>
      <c r="DV75" s="150"/>
      <c r="DW75" s="287"/>
      <c r="DX75" s="201"/>
      <c r="DY75" s="294"/>
      <c r="DZ75" s="1">
        <v>5</v>
      </c>
      <c r="EA75">
        <f t="shared" si="385"/>
        <v>0</v>
      </c>
      <c r="EB75" s="37">
        <f t="shared" si="413"/>
        <v>48</v>
      </c>
      <c r="EC75" s="30">
        <f t="shared" si="386"/>
        <v>4</v>
      </c>
      <c r="ED75" s="150"/>
      <c r="EE75" s="284"/>
      <c r="EF75" s="1">
        <v>5</v>
      </c>
      <c r="EG75">
        <f t="shared" si="387"/>
        <v>0</v>
      </c>
      <c r="EH75" s="37">
        <f t="shared" si="414"/>
        <v>48</v>
      </c>
      <c r="EI75" s="30">
        <f t="shared" si="388"/>
        <v>4</v>
      </c>
      <c r="EJ75" s="150"/>
      <c r="EK75" s="284"/>
      <c r="EL75" s="1">
        <v>5</v>
      </c>
      <c r="EM75">
        <f t="shared" si="389"/>
        <v>0</v>
      </c>
      <c r="EN75" s="37">
        <f t="shared" si="415"/>
        <v>48</v>
      </c>
      <c r="EO75" s="30">
        <f t="shared" si="390"/>
        <v>4</v>
      </c>
      <c r="EP75" s="150"/>
      <c r="EQ75" s="284"/>
      <c r="ER75" s="1">
        <v>5</v>
      </c>
      <c r="ES75">
        <f t="shared" si="391"/>
        <v>0</v>
      </c>
      <c r="ET75" s="37">
        <f t="shared" si="416"/>
        <v>48</v>
      </c>
      <c r="EU75" s="30">
        <f t="shared" si="392"/>
        <v>4</v>
      </c>
      <c r="EV75" s="150"/>
      <c r="EW75" s="287"/>
      <c r="EX75" s="201"/>
    </row>
    <row r="76" spans="1:154" s="181" customFormat="1" x14ac:dyDescent="0.45">
      <c r="A76" s="294"/>
      <c r="B76" s="1">
        <v>6</v>
      </c>
      <c r="C76" s="181">
        <f t="shared" si="393"/>
        <v>0</v>
      </c>
      <c r="D76" s="37">
        <f t="shared" si="394"/>
        <v>48</v>
      </c>
      <c r="E76" s="30">
        <f t="shared" si="348"/>
        <v>0</v>
      </c>
      <c r="F76" s="188">
        <v>7</v>
      </c>
      <c r="G76" s="287"/>
      <c r="H76" s="201"/>
      <c r="I76" s="294"/>
      <c r="J76" s="180">
        <v>6</v>
      </c>
      <c r="K76" s="181">
        <f t="shared" si="349"/>
        <v>1</v>
      </c>
      <c r="L76" s="37">
        <f t="shared" si="395"/>
        <v>56</v>
      </c>
      <c r="M76" s="30">
        <f t="shared" si="350"/>
        <v>8</v>
      </c>
      <c r="N76" s="188">
        <v>3</v>
      </c>
      <c r="O76" s="284"/>
      <c r="P76" s="180">
        <v>6</v>
      </c>
      <c r="Q76" s="181">
        <f t="shared" si="351"/>
        <v>2</v>
      </c>
      <c r="R76" s="37">
        <f t="shared" si="396"/>
        <v>64</v>
      </c>
      <c r="S76" s="30">
        <f t="shared" si="352"/>
        <v>16</v>
      </c>
      <c r="T76" s="188"/>
      <c r="U76" s="287"/>
      <c r="V76" s="201"/>
      <c r="W76" s="294"/>
      <c r="X76" s="180">
        <v>6</v>
      </c>
      <c r="Y76" s="181">
        <f t="shared" si="353"/>
        <v>2</v>
      </c>
      <c r="Z76" s="37">
        <f t="shared" si="397"/>
        <v>64</v>
      </c>
      <c r="AA76" s="30">
        <f t="shared" si="354"/>
        <v>16</v>
      </c>
      <c r="AB76" s="188"/>
      <c r="AC76" s="284"/>
      <c r="AD76" s="180">
        <v>6</v>
      </c>
      <c r="AE76" s="181">
        <f t="shared" si="355"/>
        <v>2</v>
      </c>
      <c r="AF76" s="37">
        <f t="shared" si="398"/>
        <v>64</v>
      </c>
      <c r="AG76" s="30">
        <f t="shared" si="356"/>
        <v>16</v>
      </c>
      <c r="AH76" s="188"/>
      <c r="AI76" s="284"/>
      <c r="AJ76" s="180">
        <v>6</v>
      </c>
      <c r="AK76" s="181">
        <f t="shared" si="357"/>
        <v>2</v>
      </c>
      <c r="AL76" s="37">
        <f t="shared" si="399"/>
        <v>64</v>
      </c>
      <c r="AM76" s="30">
        <f t="shared" si="358"/>
        <v>16</v>
      </c>
      <c r="AN76" s="188">
        <v>25</v>
      </c>
      <c r="AO76" s="287"/>
      <c r="AP76" s="201"/>
      <c r="AQ76" s="294"/>
      <c r="AR76" s="180">
        <v>6</v>
      </c>
      <c r="AS76" s="181">
        <f t="shared" si="359"/>
        <v>3</v>
      </c>
      <c r="AT76" s="37">
        <f t="shared" si="400"/>
        <v>72</v>
      </c>
      <c r="AU76" s="30">
        <f t="shared" si="360"/>
        <v>24</v>
      </c>
      <c r="AV76" s="188">
        <v>3</v>
      </c>
      <c r="AW76" s="284"/>
      <c r="AX76" s="180">
        <v>6</v>
      </c>
      <c r="AY76" s="181">
        <f t="shared" si="361"/>
        <v>4</v>
      </c>
      <c r="AZ76" s="37">
        <f t="shared" si="401"/>
        <v>80</v>
      </c>
      <c r="BA76" s="30">
        <f t="shared" si="362"/>
        <v>0</v>
      </c>
      <c r="BB76" s="188"/>
      <c r="BC76" s="287"/>
      <c r="BD76" s="201"/>
      <c r="BE76" s="294"/>
      <c r="BF76" s="180">
        <v>6</v>
      </c>
      <c r="BG76" s="181">
        <f t="shared" si="363"/>
        <v>4</v>
      </c>
      <c r="BH76" s="37">
        <f t="shared" si="402"/>
        <v>80</v>
      </c>
      <c r="BI76" s="30">
        <f t="shared" si="364"/>
        <v>0</v>
      </c>
      <c r="BJ76" s="188"/>
      <c r="BK76" s="284"/>
      <c r="BL76" s="180">
        <v>6</v>
      </c>
      <c r="BM76" s="181">
        <f t="shared" si="365"/>
        <v>4</v>
      </c>
      <c r="BN76" s="37">
        <f t="shared" si="403"/>
        <v>80</v>
      </c>
      <c r="BO76" s="30">
        <f t="shared" si="366"/>
        <v>0</v>
      </c>
      <c r="BP76" s="188"/>
      <c r="BQ76" s="284"/>
      <c r="BR76" s="180">
        <v>6</v>
      </c>
      <c r="BS76" s="181">
        <f t="shared" si="367"/>
        <v>4</v>
      </c>
      <c r="BT76" s="37">
        <f t="shared" si="404"/>
        <v>80</v>
      </c>
      <c r="BU76" s="30">
        <f t="shared" si="368"/>
        <v>0</v>
      </c>
      <c r="BV76" s="188"/>
      <c r="BW76" s="284"/>
      <c r="BX76" s="180">
        <v>6</v>
      </c>
      <c r="BY76" s="181">
        <f t="shared" si="369"/>
        <v>4</v>
      </c>
      <c r="BZ76" s="37">
        <f t="shared" si="405"/>
        <v>80</v>
      </c>
      <c r="CA76" s="30">
        <f t="shared" si="370"/>
        <v>0</v>
      </c>
      <c r="CB76" s="188">
        <v>31</v>
      </c>
      <c r="CC76" s="287"/>
      <c r="CD76" s="201"/>
      <c r="CE76" s="294"/>
      <c r="CF76" s="180">
        <v>6</v>
      </c>
      <c r="CG76" s="181">
        <f t="shared" si="371"/>
        <v>5</v>
      </c>
      <c r="CH76" s="37">
        <f t="shared" si="406"/>
        <v>88</v>
      </c>
      <c r="CI76" s="30">
        <f t="shared" si="372"/>
        <v>8</v>
      </c>
      <c r="CJ76" s="188"/>
      <c r="CK76" s="284"/>
      <c r="CL76" s="180">
        <v>6</v>
      </c>
      <c r="CM76" s="181">
        <f t="shared" si="373"/>
        <v>5</v>
      </c>
      <c r="CN76" s="37">
        <f t="shared" si="407"/>
        <v>88</v>
      </c>
      <c r="CO76" s="30">
        <f t="shared" si="374"/>
        <v>8</v>
      </c>
      <c r="CP76" s="188">
        <v>15</v>
      </c>
      <c r="CQ76" s="284"/>
      <c r="CR76" s="180">
        <v>6</v>
      </c>
      <c r="CS76" s="181">
        <f t="shared" si="375"/>
        <v>6</v>
      </c>
      <c r="CT76" s="37">
        <f t="shared" si="408"/>
        <v>96</v>
      </c>
      <c r="CU76" s="30">
        <f t="shared" si="376"/>
        <v>16</v>
      </c>
      <c r="CV76" s="188"/>
      <c r="CW76" s="284"/>
      <c r="CX76" s="180">
        <v>6</v>
      </c>
      <c r="CY76" s="181">
        <f t="shared" si="377"/>
        <v>6</v>
      </c>
      <c r="CZ76" s="37">
        <f t="shared" si="409"/>
        <v>96</v>
      </c>
      <c r="DA76" s="30">
        <f t="shared" si="378"/>
        <v>16</v>
      </c>
      <c r="DB76" s="188"/>
      <c r="DC76" s="287"/>
      <c r="DD76" s="201"/>
      <c r="DE76" s="294"/>
      <c r="DF76" s="180">
        <v>6</v>
      </c>
      <c r="DG76" s="181">
        <f t="shared" si="379"/>
        <v>6</v>
      </c>
      <c r="DH76" s="37">
        <f t="shared" si="410"/>
        <v>96</v>
      </c>
      <c r="DI76" s="30">
        <f t="shared" si="380"/>
        <v>16</v>
      </c>
      <c r="DJ76" s="188"/>
      <c r="DK76" s="284"/>
      <c r="DL76" s="180">
        <v>6</v>
      </c>
      <c r="DM76" s="181">
        <f t="shared" si="381"/>
        <v>6</v>
      </c>
      <c r="DN76" s="37">
        <f t="shared" si="411"/>
        <v>96</v>
      </c>
      <c r="DO76" s="30">
        <f t="shared" si="382"/>
        <v>16</v>
      </c>
      <c r="DP76" s="188">
        <v>11</v>
      </c>
      <c r="DQ76" s="284"/>
      <c r="DR76" s="180">
        <v>6</v>
      </c>
      <c r="DS76" s="181">
        <f t="shared" si="383"/>
        <v>7</v>
      </c>
      <c r="DT76" s="37">
        <f t="shared" si="412"/>
        <v>104</v>
      </c>
      <c r="DU76" s="30">
        <f t="shared" si="384"/>
        <v>24</v>
      </c>
      <c r="DV76" s="188"/>
      <c r="DW76" s="287"/>
      <c r="DX76" s="201"/>
      <c r="DY76" s="294"/>
      <c r="DZ76" s="180">
        <v>6</v>
      </c>
      <c r="EA76" s="181">
        <f t="shared" si="385"/>
        <v>7</v>
      </c>
      <c r="EB76" s="37">
        <f t="shared" si="413"/>
        <v>104</v>
      </c>
      <c r="EC76" s="30">
        <f t="shared" si="386"/>
        <v>24</v>
      </c>
      <c r="ED76" s="188"/>
      <c r="EE76" s="284"/>
      <c r="EF76" s="180">
        <v>6</v>
      </c>
      <c r="EG76" s="181">
        <f t="shared" si="387"/>
        <v>7</v>
      </c>
      <c r="EH76" s="37">
        <f t="shared" si="414"/>
        <v>104</v>
      </c>
      <c r="EI76" s="30">
        <f t="shared" si="388"/>
        <v>24</v>
      </c>
      <c r="EJ76" s="188"/>
      <c r="EK76" s="284"/>
      <c r="EL76" s="180">
        <v>6</v>
      </c>
      <c r="EM76" s="181">
        <f t="shared" si="389"/>
        <v>7</v>
      </c>
      <c r="EN76" s="37">
        <f t="shared" si="415"/>
        <v>104</v>
      </c>
      <c r="EO76" s="30">
        <f t="shared" si="390"/>
        <v>24</v>
      </c>
      <c r="EP76" s="188"/>
      <c r="EQ76" s="284"/>
      <c r="ER76" s="180">
        <v>6</v>
      </c>
      <c r="ES76" s="181">
        <f t="shared" si="391"/>
        <v>7</v>
      </c>
      <c r="ET76" s="37">
        <f t="shared" si="416"/>
        <v>104</v>
      </c>
      <c r="EU76" s="30">
        <f t="shared" si="392"/>
        <v>24</v>
      </c>
      <c r="EV76" s="188">
        <v>25</v>
      </c>
      <c r="EW76" s="287"/>
      <c r="EX76" s="201"/>
    </row>
    <row r="77" spans="1:154" x14ac:dyDescent="0.45">
      <c r="A77" s="294"/>
      <c r="B77" s="1">
        <v>7</v>
      </c>
      <c r="C77">
        <f t="shared" si="393"/>
        <v>0</v>
      </c>
      <c r="D77" s="37">
        <f t="shared" si="394"/>
        <v>48</v>
      </c>
      <c r="E77" s="30">
        <f t="shared" si="348"/>
        <v>13</v>
      </c>
      <c r="F77" s="150"/>
      <c r="G77" s="287"/>
      <c r="H77" s="201"/>
      <c r="I77" s="294"/>
      <c r="J77" s="1">
        <v>7</v>
      </c>
      <c r="K77">
        <f t="shared" si="349"/>
        <v>0</v>
      </c>
      <c r="L77" s="37">
        <f t="shared" si="395"/>
        <v>48</v>
      </c>
      <c r="M77" s="30">
        <f t="shared" si="350"/>
        <v>13</v>
      </c>
      <c r="N77" s="150"/>
      <c r="O77" s="284"/>
      <c r="P77" s="1">
        <v>7</v>
      </c>
      <c r="Q77">
        <f t="shared" si="351"/>
        <v>0</v>
      </c>
      <c r="R77" s="37">
        <f t="shared" si="396"/>
        <v>48</v>
      </c>
      <c r="S77" s="30">
        <f t="shared" si="352"/>
        <v>13</v>
      </c>
      <c r="T77" s="150"/>
      <c r="U77" s="287"/>
      <c r="V77" s="201"/>
      <c r="W77" s="294"/>
      <c r="X77" s="1">
        <v>7</v>
      </c>
      <c r="Y77">
        <f t="shared" si="353"/>
        <v>0</v>
      </c>
      <c r="Z77" s="37">
        <f t="shared" si="397"/>
        <v>48</v>
      </c>
      <c r="AA77" s="30">
        <f t="shared" si="354"/>
        <v>13</v>
      </c>
      <c r="AB77" s="150"/>
      <c r="AC77" s="284"/>
      <c r="AD77" s="1">
        <v>7</v>
      </c>
      <c r="AE77">
        <f t="shared" si="355"/>
        <v>0</v>
      </c>
      <c r="AF77" s="37">
        <f t="shared" si="398"/>
        <v>48</v>
      </c>
      <c r="AG77" s="30">
        <f t="shared" si="356"/>
        <v>13</v>
      </c>
      <c r="AH77" s="150"/>
      <c r="AI77" s="284"/>
      <c r="AJ77" s="1">
        <v>7</v>
      </c>
      <c r="AK77">
        <f t="shared" si="357"/>
        <v>0</v>
      </c>
      <c r="AL77" s="37">
        <f t="shared" si="399"/>
        <v>48</v>
      </c>
      <c r="AM77" s="30">
        <f t="shared" si="358"/>
        <v>13</v>
      </c>
      <c r="AN77" s="150"/>
      <c r="AO77" s="287"/>
      <c r="AP77" s="201"/>
      <c r="AQ77" s="294"/>
      <c r="AR77" s="1">
        <v>7</v>
      </c>
      <c r="AS77">
        <f t="shared" si="359"/>
        <v>0</v>
      </c>
      <c r="AT77" s="37">
        <f t="shared" si="400"/>
        <v>48</v>
      </c>
      <c r="AU77" s="30">
        <f t="shared" si="360"/>
        <v>13</v>
      </c>
      <c r="AV77" s="150"/>
      <c r="AW77" s="284"/>
      <c r="AX77" s="1">
        <v>7</v>
      </c>
      <c r="AY77">
        <f t="shared" si="361"/>
        <v>0</v>
      </c>
      <c r="AZ77" s="37">
        <f t="shared" si="401"/>
        <v>48</v>
      </c>
      <c r="BA77" s="30">
        <f t="shared" si="362"/>
        <v>13</v>
      </c>
      <c r="BB77" s="150"/>
      <c r="BC77" s="287"/>
      <c r="BD77" s="201"/>
      <c r="BE77" s="294"/>
      <c r="BF77" s="1">
        <v>7</v>
      </c>
      <c r="BG77">
        <f t="shared" si="363"/>
        <v>0</v>
      </c>
      <c r="BH77" s="37">
        <f t="shared" si="402"/>
        <v>48</v>
      </c>
      <c r="BI77" s="30">
        <f t="shared" si="364"/>
        <v>13</v>
      </c>
      <c r="BJ77" s="150"/>
      <c r="BK77" s="284"/>
      <c r="BL77" s="1">
        <v>7</v>
      </c>
      <c r="BM77">
        <f t="shared" si="365"/>
        <v>0</v>
      </c>
      <c r="BN77" s="37">
        <f t="shared" si="403"/>
        <v>48</v>
      </c>
      <c r="BO77" s="30">
        <f t="shared" si="366"/>
        <v>13</v>
      </c>
      <c r="BP77" s="150"/>
      <c r="BQ77" s="284"/>
      <c r="BR77" s="1">
        <v>7</v>
      </c>
      <c r="BS77">
        <f t="shared" si="367"/>
        <v>0</v>
      </c>
      <c r="BT77" s="37">
        <f t="shared" si="404"/>
        <v>48</v>
      </c>
      <c r="BU77" s="30">
        <f t="shared" si="368"/>
        <v>13</v>
      </c>
      <c r="BV77" s="150"/>
      <c r="BW77" s="284"/>
      <c r="BX77" s="1">
        <v>7</v>
      </c>
      <c r="BY77">
        <f t="shared" si="369"/>
        <v>0</v>
      </c>
      <c r="BZ77" s="37">
        <f t="shared" si="405"/>
        <v>48</v>
      </c>
      <c r="CA77" s="30">
        <f t="shared" si="370"/>
        <v>13</v>
      </c>
      <c r="CB77" s="150"/>
      <c r="CC77" s="287"/>
      <c r="CD77" s="201"/>
      <c r="CE77" s="294"/>
      <c r="CF77" s="1">
        <v>7</v>
      </c>
      <c r="CG77">
        <f t="shared" si="371"/>
        <v>0</v>
      </c>
      <c r="CH77" s="37">
        <f t="shared" si="406"/>
        <v>48</v>
      </c>
      <c r="CI77" s="30">
        <f t="shared" si="372"/>
        <v>13</v>
      </c>
      <c r="CJ77" s="150"/>
      <c r="CK77" s="284"/>
      <c r="CL77" s="1">
        <v>7</v>
      </c>
      <c r="CM77">
        <f t="shared" si="373"/>
        <v>0</v>
      </c>
      <c r="CN77" s="37">
        <f t="shared" si="407"/>
        <v>48</v>
      </c>
      <c r="CO77" s="30">
        <f t="shared" si="374"/>
        <v>13</v>
      </c>
      <c r="CP77" s="150"/>
      <c r="CQ77" s="284"/>
      <c r="CR77" s="1">
        <v>7</v>
      </c>
      <c r="CS77">
        <f t="shared" si="375"/>
        <v>0</v>
      </c>
      <c r="CT77" s="37">
        <f t="shared" si="408"/>
        <v>48</v>
      </c>
      <c r="CU77" s="30">
        <f t="shared" si="376"/>
        <v>13</v>
      </c>
      <c r="CV77" s="150"/>
      <c r="CW77" s="284"/>
      <c r="CX77" s="1">
        <v>7</v>
      </c>
      <c r="CY77">
        <f t="shared" si="377"/>
        <v>0</v>
      </c>
      <c r="CZ77" s="37">
        <f t="shared" si="409"/>
        <v>48</v>
      </c>
      <c r="DA77" s="30">
        <f t="shared" si="378"/>
        <v>13</v>
      </c>
      <c r="DB77" s="150"/>
      <c r="DC77" s="287"/>
      <c r="DD77" s="201"/>
      <c r="DE77" s="294"/>
      <c r="DF77" s="1">
        <v>7</v>
      </c>
      <c r="DG77">
        <f t="shared" si="379"/>
        <v>0</v>
      </c>
      <c r="DH77" s="37">
        <f t="shared" si="410"/>
        <v>48</v>
      </c>
      <c r="DI77" s="30">
        <f t="shared" si="380"/>
        <v>13</v>
      </c>
      <c r="DJ77" s="150"/>
      <c r="DK77" s="284"/>
      <c r="DL77" s="1">
        <v>7</v>
      </c>
      <c r="DM77">
        <f t="shared" si="381"/>
        <v>0</v>
      </c>
      <c r="DN77" s="37">
        <f t="shared" si="411"/>
        <v>48</v>
      </c>
      <c r="DO77" s="30">
        <f t="shared" si="382"/>
        <v>13</v>
      </c>
      <c r="DP77" s="150"/>
      <c r="DQ77" s="284"/>
      <c r="DR77" s="1">
        <v>7</v>
      </c>
      <c r="DS77">
        <f t="shared" si="383"/>
        <v>0</v>
      </c>
      <c r="DT77" s="37">
        <f t="shared" si="412"/>
        <v>48</v>
      </c>
      <c r="DU77" s="30">
        <f t="shared" si="384"/>
        <v>13</v>
      </c>
      <c r="DV77" s="150"/>
      <c r="DW77" s="287"/>
      <c r="DX77" s="201"/>
      <c r="DY77" s="294"/>
      <c r="DZ77" s="1">
        <v>7</v>
      </c>
      <c r="EA77">
        <f t="shared" si="385"/>
        <v>0</v>
      </c>
      <c r="EB77" s="37">
        <f t="shared" si="413"/>
        <v>48</v>
      </c>
      <c r="EC77" s="30">
        <f t="shared" si="386"/>
        <v>13</v>
      </c>
      <c r="ED77" s="150"/>
      <c r="EE77" s="284"/>
      <c r="EF77" s="1">
        <v>7</v>
      </c>
      <c r="EG77">
        <f t="shared" si="387"/>
        <v>0</v>
      </c>
      <c r="EH77" s="37">
        <f t="shared" si="414"/>
        <v>48</v>
      </c>
      <c r="EI77" s="30">
        <f t="shared" si="388"/>
        <v>13</v>
      </c>
      <c r="EJ77" s="150"/>
      <c r="EK77" s="284"/>
      <c r="EL77" s="1">
        <v>7</v>
      </c>
      <c r="EM77">
        <f t="shared" si="389"/>
        <v>0</v>
      </c>
      <c r="EN77" s="37">
        <f t="shared" si="415"/>
        <v>48</v>
      </c>
      <c r="EO77" s="30">
        <f t="shared" si="390"/>
        <v>13</v>
      </c>
      <c r="EP77" s="150"/>
      <c r="EQ77" s="284"/>
      <c r="ER77" s="1">
        <v>7</v>
      </c>
      <c r="ES77">
        <f t="shared" si="391"/>
        <v>0</v>
      </c>
      <c r="ET77" s="37">
        <f t="shared" si="416"/>
        <v>48</v>
      </c>
      <c r="EU77" s="30">
        <f t="shared" si="392"/>
        <v>13</v>
      </c>
      <c r="EV77" s="150"/>
      <c r="EW77" s="287"/>
      <c r="EX77" s="201"/>
    </row>
    <row r="78" spans="1:154" ht="21.5" thickBot="1" x14ac:dyDescent="0.5">
      <c r="A78" s="296"/>
      <c r="B78" s="51">
        <v>8</v>
      </c>
      <c r="C78" s="53">
        <f t="shared" si="393"/>
        <v>0</v>
      </c>
      <c r="D78" s="37">
        <f t="shared" si="394"/>
        <v>48</v>
      </c>
      <c r="E78" s="30">
        <f t="shared" si="348"/>
        <v>9</v>
      </c>
      <c r="F78" s="151"/>
      <c r="G78" s="287"/>
      <c r="H78" s="201"/>
      <c r="I78" s="296"/>
      <c r="J78" s="51">
        <v>8</v>
      </c>
      <c r="K78">
        <f t="shared" si="349"/>
        <v>0</v>
      </c>
      <c r="L78" s="37">
        <f t="shared" si="395"/>
        <v>48</v>
      </c>
      <c r="M78" s="30">
        <f t="shared" si="350"/>
        <v>9</v>
      </c>
      <c r="N78" s="151">
        <v>4</v>
      </c>
      <c r="O78" s="285"/>
      <c r="P78" s="51">
        <v>8</v>
      </c>
      <c r="Q78">
        <f t="shared" si="351"/>
        <v>0</v>
      </c>
      <c r="R78" s="37">
        <f t="shared" si="396"/>
        <v>48</v>
      </c>
      <c r="S78" s="30">
        <f t="shared" si="352"/>
        <v>9</v>
      </c>
      <c r="T78" s="151"/>
      <c r="U78" s="287"/>
      <c r="V78" s="201"/>
      <c r="W78" s="296"/>
      <c r="X78" s="51">
        <v>8</v>
      </c>
      <c r="Y78">
        <f t="shared" si="353"/>
        <v>0</v>
      </c>
      <c r="Z78" s="37">
        <f t="shared" si="397"/>
        <v>48</v>
      </c>
      <c r="AA78" s="30">
        <f t="shared" si="354"/>
        <v>9</v>
      </c>
      <c r="AB78" s="151"/>
      <c r="AC78" s="285"/>
      <c r="AD78" s="51">
        <v>8</v>
      </c>
      <c r="AE78">
        <f t="shared" si="355"/>
        <v>0</v>
      </c>
      <c r="AF78" s="37">
        <f t="shared" si="398"/>
        <v>48</v>
      </c>
      <c r="AG78" s="30">
        <f t="shared" si="356"/>
        <v>9</v>
      </c>
      <c r="AH78" s="151"/>
      <c r="AI78" s="285"/>
      <c r="AJ78" s="51">
        <v>8</v>
      </c>
      <c r="AK78">
        <f t="shared" si="357"/>
        <v>0</v>
      </c>
      <c r="AL78" s="37">
        <f t="shared" si="399"/>
        <v>48</v>
      </c>
      <c r="AM78" s="30">
        <f t="shared" si="358"/>
        <v>9</v>
      </c>
      <c r="AN78" s="151"/>
      <c r="AO78" s="287"/>
      <c r="AP78" s="201"/>
      <c r="AQ78" s="296"/>
      <c r="AR78" s="51">
        <v>8</v>
      </c>
      <c r="AS78">
        <f t="shared" si="359"/>
        <v>0</v>
      </c>
      <c r="AT78" s="37">
        <f t="shared" si="400"/>
        <v>48</v>
      </c>
      <c r="AU78" s="30">
        <f t="shared" si="360"/>
        <v>9</v>
      </c>
      <c r="AV78" s="151"/>
      <c r="AW78" s="285"/>
      <c r="AX78" s="51">
        <v>8</v>
      </c>
      <c r="AY78">
        <f t="shared" si="361"/>
        <v>0</v>
      </c>
      <c r="AZ78" s="37">
        <f t="shared" si="401"/>
        <v>48</v>
      </c>
      <c r="BA78" s="30">
        <f t="shared" si="362"/>
        <v>9</v>
      </c>
      <c r="BB78" s="151"/>
      <c r="BC78" s="287"/>
      <c r="BD78" s="201"/>
      <c r="BE78" s="296"/>
      <c r="BF78" s="51">
        <v>8</v>
      </c>
      <c r="BG78">
        <f t="shared" si="363"/>
        <v>0</v>
      </c>
      <c r="BH78" s="37">
        <f t="shared" si="402"/>
        <v>48</v>
      </c>
      <c r="BI78" s="30">
        <f t="shared" si="364"/>
        <v>9</v>
      </c>
      <c r="BJ78" s="151"/>
      <c r="BK78" s="285"/>
      <c r="BL78" s="51">
        <v>8</v>
      </c>
      <c r="BM78">
        <f t="shared" si="365"/>
        <v>0</v>
      </c>
      <c r="BN78" s="37">
        <f t="shared" si="403"/>
        <v>48</v>
      </c>
      <c r="BO78" s="30">
        <f t="shared" si="366"/>
        <v>9</v>
      </c>
      <c r="BP78" s="151"/>
      <c r="BQ78" s="285"/>
      <c r="BR78" s="51">
        <v>8</v>
      </c>
      <c r="BS78">
        <f t="shared" si="367"/>
        <v>0</v>
      </c>
      <c r="BT78" s="37">
        <f t="shared" si="404"/>
        <v>48</v>
      </c>
      <c r="BU78" s="30">
        <f t="shared" si="368"/>
        <v>9</v>
      </c>
      <c r="BV78" s="151"/>
      <c r="BW78" s="285"/>
      <c r="BX78" s="51">
        <v>8</v>
      </c>
      <c r="BY78">
        <f t="shared" si="369"/>
        <v>0</v>
      </c>
      <c r="BZ78" s="37">
        <f t="shared" si="405"/>
        <v>48</v>
      </c>
      <c r="CA78" s="30">
        <f t="shared" si="370"/>
        <v>9</v>
      </c>
      <c r="CB78" s="151"/>
      <c r="CC78" s="287"/>
      <c r="CD78" s="201"/>
      <c r="CE78" s="296"/>
      <c r="CF78" s="51">
        <v>8</v>
      </c>
      <c r="CG78">
        <f t="shared" si="371"/>
        <v>0</v>
      </c>
      <c r="CH78" s="37">
        <f t="shared" si="406"/>
        <v>48</v>
      </c>
      <c r="CI78" s="30">
        <f t="shared" si="372"/>
        <v>9</v>
      </c>
      <c r="CJ78" s="151"/>
      <c r="CK78" s="285"/>
      <c r="CL78" s="51">
        <v>8</v>
      </c>
      <c r="CM78">
        <f t="shared" si="373"/>
        <v>0</v>
      </c>
      <c r="CN78" s="37">
        <f t="shared" si="407"/>
        <v>48</v>
      </c>
      <c r="CO78" s="30">
        <f t="shared" si="374"/>
        <v>9</v>
      </c>
      <c r="CP78" s="151">
        <v>16</v>
      </c>
      <c r="CQ78" s="285"/>
      <c r="CR78" s="51">
        <v>8</v>
      </c>
      <c r="CS78">
        <f t="shared" si="375"/>
        <v>0</v>
      </c>
      <c r="CT78" s="37">
        <f t="shared" si="408"/>
        <v>48</v>
      </c>
      <c r="CU78" s="30">
        <f t="shared" si="376"/>
        <v>9</v>
      </c>
      <c r="CV78" s="151"/>
      <c r="CW78" s="285"/>
      <c r="CX78" s="51">
        <v>8</v>
      </c>
      <c r="CY78">
        <f t="shared" si="377"/>
        <v>0</v>
      </c>
      <c r="CZ78" s="37">
        <f t="shared" si="409"/>
        <v>48</v>
      </c>
      <c r="DA78" s="30">
        <f t="shared" si="378"/>
        <v>9</v>
      </c>
      <c r="DB78" s="151"/>
      <c r="DC78" s="287"/>
      <c r="DD78" s="201"/>
      <c r="DE78" s="296"/>
      <c r="DF78" s="51">
        <v>8</v>
      </c>
      <c r="DG78">
        <f t="shared" si="379"/>
        <v>0</v>
      </c>
      <c r="DH78" s="37">
        <f t="shared" si="410"/>
        <v>48</v>
      </c>
      <c r="DI78" s="30">
        <f t="shared" si="380"/>
        <v>9</v>
      </c>
      <c r="DJ78" s="151"/>
      <c r="DK78" s="285"/>
      <c r="DL78" s="51">
        <v>8</v>
      </c>
      <c r="DM78">
        <f t="shared" si="381"/>
        <v>0</v>
      </c>
      <c r="DN78" s="37">
        <f t="shared" si="411"/>
        <v>48</v>
      </c>
      <c r="DO78" s="30">
        <f t="shared" si="382"/>
        <v>9</v>
      </c>
      <c r="DP78" s="151"/>
      <c r="DQ78" s="285"/>
      <c r="DR78" s="51">
        <v>8</v>
      </c>
      <c r="DS78">
        <f t="shared" si="383"/>
        <v>0</v>
      </c>
      <c r="DT78" s="37">
        <f t="shared" si="412"/>
        <v>48</v>
      </c>
      <c r="DU78" s="30">
        <f t="shared" si="384"/>
        <v>9</v>
      </c>
      <c r="DV78" s="151"/>
      <c r="DW78" s="287"/>
      <c r="DX78" s="201"/>
      <c r="DY78" s="296"/>
      <c r="DZ78" s="51">
        <v>8</v>
      </c>
      <c r="EA78">
        <f t="shared" si="385"/>
        <v>0</v>
      </c>
      <c r="EB78" s="37">
        <f t="shared" si="413"/>
        <v>48</v>
      </c>
      <c r="EC78" s="30">
        <f t="shared" si="386"/>
        <v>9</v>
      </c>
      <c r="ED78" s="151"/>
      <c r="EE78" s="285"/>
      <c r="EF78" s="51">
        <v>8</v>
      </c>
      <c r="EG78">
        <f t="shared" si="387"/>
        <v>0</v>
      </c>
      <c r="EH78" s="37">
        <f t="shared" si="414"/>
        <v>48</v>
      </c>
      <c r="EI78" s="30">
        <f t="shared" si="388"/>
        <v>9</v>
      </c>
      <c r="EJ78" s="151"/>
      <c r="EK78" s="285"/>
      <c r="EL78" s="51">
        <v>8</v>
      </c>
      <c r="EM78">
        <f t="shared" si="389"/>
        <v>0</v>
      </c>
      <c r="EN78" s="37">
        <f t="shared" si="415"/>
        <v>48</v>
      </c>
      <c r="EO78" s="30">
        <f t="shared" si="390"/>
        <v>9</v>
      </c>
      <c r="EP78" s="151"/>
      <c r="EQ78" s="285"/>
      <c r="ER78" s="51">
        <v>8</v>
      </c>
      <c r="ES78">
        <f t="shared" si="391"/>
        <v>0</v>
      </c>
      <c r="ET78" s="37">
        <f t="shared" si="416"/>
        <v>48</v>
      </c>
      <c r="EU78" s="30">
        <f t="shared" si="392"/>
        <v>9</v>
      </c>
      <c r="EV78" s="151"/>
      <c r="EW78" s="287"/>
      <c r="EX78" s="201"/>
    </row>
    <row r="79" spans="1:154" x14ac:dyDescent="0.45">
      <c r="A79" s="293">
        <v>7</v>
      </c>
      <c r="B79" s="48">
        <f>O12</f>
        <v>12</v>
      </c>
      <c r="C79" s="87" t="s">
        <v>154</v>
      </c>
      <c r="D79" s="10" t="s">
        <v>158</v>
      </c>
      <c r="E79" s="88" t="s">
        <v>152</v>
      </c>
      <c r="F79" s="152"/>
      <c r="G79" s="287">
        <f>IF(COUNT(#REF!,F80:F88) &gt;0, COUNT(#REF!,F80:F88)/2,"")</f>
        <v>1</v>
      </c>
      <c r="H79" s="201"/>
      <c r="I79" s="293">
        <v>7</v>
      </c>
      <c r="J79" s="48">
        <f>W11</f>
        <v>0</v>
      </c>
      <c r="K79" s="87" t="s">
        <v>154</v>
      </c>
      <c r="L79" s="10" t="s">
        <v>158</v>
      </c>
      <c r="M79" s="88" t="s">
        <v>152</v>
      </c>
      <c r="N79" s="152"/>
      <c r="O79" s="286">
        <v>7</v>
      </c>
      <c r="P79" s="48">
        <f>AC11</f>
        <v>0</v>
      </c>
      <c r="Q79" s="87" t="s">
        <v>154</v>
      </c>
      <c r="R79" s="10" t="s">
        <v>158</v>
      </c>
      <c r="S79" s="88" t="s">
        <v>152</v>
      </c>
      <c r="T79" s="152"/>
      <c r="U79" s="287">
        <f>IF(COUNT(H80:H88,N80:N88,T80:T88) &gt;0, COUNT(H80:H88,N80:N88,T80:T88) /2,"")</f>
        <v>1</v>
      </c>
      <c r="V79" s="201"/>
      <c r="W79" s="293">
        <v>7</v>
      </c>
      <c r="X79" s="48">
        <f>AK11</f>
        <v>0</v>
      </c>
      <c r="Y79" s="87" t="s">
        <v>154</v>
      </c>
      <c r="Z79" s="10" t="s">
        <v>158</v>
      </c>
      <c r="AA79" s="88" t="s">
        <v>152</v>
      </c>
      <c r="AB79" s="152"/>
      <c r="AC79" s="286">
        <v>7</v>
      </c>
      <c r="AD79" s="48">
        <f>AQ11</f>
        <v>0</v>
      </c>
      <c r="AE79" s="87" t="s">
        <v>154</v>
      </c>
      <c r="AF79" s="10" t="s">
        <v>158</v>
      </c>
      <c r="AG79" s="88" t="s">
        <v>152</v>
      </c>
      <c r="AH79" s="152"/>
      <c r="AI79" s="286">
        <v>7</v>
      </c>
      <c r="AJ79" s="48">
        <f>AW11</f>
        <v>0</v>
      </c>
      <c r="AK79" t="str">
        <f t="shared" si="357"/>
        <v xml:space="preserve">CTR </v>
      </c>
      <c r="AL79" s="10" t="s">
        <v>158</v>
      </c>
      <c r="AM79" s="88" t="s">
        <v>152</v>
      </c>
      <c r="AN79" s="152"/>
      <c r="AO79" s="287">
        <f>IF(COUNT(AB80:AB88,AH80:AH88,AN80:AN88) &gt;0, COUNT(AB80:AB88,AH80:AH88,AN80:AN88) /2,"")</f>
        <v>1</v>
      </c>
      <c r="AP79" s="201"/>
      <c r="AQ79" s="293">
        <v>7</v>
      </c>
      <c r="AR79" s="48" t="e">
        <f>#REF!</f>
        <v>#REF!</v>
      </c>
      <c r="AS79" s="87" t="s">
        <v>154</v>
      </c>
      <c r="AT79" s="10" t="s">
        <v>158</v>
      </c>
      <c r="AU79" s="88" t="s">
        <v>152</v>
      </c>
      <c r="AV79" s="152"/>
      <c r="AW79" s="286">
        <v>7</v>
      </c>
      <c r="AX79" s="48">
        <f>BE11</f>
        <v>0</v>
      </c>
      <c r="AY79" s="87" t="s">
        <v>154</v>
      </c>
      <c r="AZ79" s="10" t="s">
        <v>158</v>
      </c>
      <c r="BA79" s="88" t="s">
        <v>152</v>
      </c>
      <c r="BB79" s="152"/>
      <c r="BC79" s="287">
        <f>IF(COUNT(AV80:AV88,BB80:BB88,#REF!) &gt;0, COUNT(AV80:AV88,BB80:BB88,#REF!) /2,"")</f>
        <v>1</v>
      </c>
      <c r="BD79" s="201"/>
      <c r="BE79" s="293">
        <v>7</v>
      </c>
      <c r="BF79" s="48" t="e">
        <f>#REF!</f>
        <v>#REF!</v>
      </c>
      <c r="BG79" s="87" t="s">
        <v>154</v>
      </c>
      <c r="BH79" s="10" t="s">
        <v>158</v>
      </c>
      <c r="BI79" s="88" t="s">
        <v>152</v>
      </c>
      <c r="BJ79" s="152"/>
      <c r="BK79" s="286">
        <v>7</v>
      </c>
      <c r="BL79" s="104"/>
      <c r="BM79" s="87" t="s">
        <v>154</v>
      </c>
      <c r="BN79" s="10" t="s">
        <v>158</v>
      </c>
      <c r="BO79" s="88" t="s">
        <v>152</v>
      </c>
      <c r="BP79" s="152"/>
      <c r="BQ79" s="286">
        <v>7</v>
      </c>
      <c r="BR79" s="104"/>
      <c r="BS79" s="87" t="s">
        <v>154</v>
      </c>
      <c r="BT79" s="10" t="s">
        <v>158</v>
      </c>
      <c r="BU79" s="88" t="s">
        <v>152</v>
      </c>
      <c r="BV79" s="152"/>
      <c r="BW79" s="286">
        <v>7</v>
      </c>
      <c r="BX79" s="104"/>
      <c r="BY79" s="87" t="s">
        <v>154</v>
      </c>
      <c r="BZ79" s="10" t="s">
        <v>158</v>
      </c>
      <c r="CA79" s="88" t="s">
        <v>152</v>
      </c>
      <c r="CB79" s="152"/>
      <c r="CC79" s="287">
        <f>IF(COUNT(BJ80:BJ88,BP80:BP88,BV80:BV88,CB80:CB88) &gt;0, COUNT(BJ80:BJ88,BP80:BP88,BV80:BV88,CB80:CB88) /2,"")</f>
        <v>2</v>
      </c>
      <c r="CD79" s="201"/>
      <c r="CE79" s="293">
        <v>7</v>
      </c>
      <c r="CF79" s="104"/>
      <c r="CG79" s="87" t="s">
        <v>154</v>
      </c>
      <c r="CH79" s="10" t="s">
        <v>158</v>
      </c>
      <c r="CI79" s="88" t="s">
        <v>152</v>
      </c>
      <c r="CJ79" s="152"/>
      <c r="CK79" s="286">
        <v>7</v>
      </c>
      <c r="CL79" s="104"/>
      <c r="CM79" s="87" t="s">
        <v>154</v>
      </c>
      <c r="CN79" s="10" t="s">
        <v>158</v>
      </c>
      <c r="CO79" s="88" t="s">
        <v>152</v>
      </c>
      <c r="CP79" s="152"/>
      <c r="CQ79" s="286">
        <v>7</v>
      </c>
      <c r="CR79" s="104"/>
      <c r="CS79" s="87" t="s">
        <v>154</v>
      </c>
      <c r="CT79" s="10" t="s">
        <v>158</v>
      </c>
      <c r="CU79" s="88" t="s">
        <v>152</v>
      </c>
      <c r="CV79" s="152"/>
      <c r="CW79" s="286">
        <v>7</v>
      </c>
      <c r="CX79" s="104"/>
      <c r="CY79" s="87" t="s">
        <v>154</v>
      </c>
      <c r="CZ79" s="10" t="s">
        <v>158</v>
      </c>
      <c r="DA79" s="88" t="s">
        <v>152</v>
      </c>
      <c r="DB79" s="152"/>
      <c r="DC79" s="287">
        <f>IF(COUNT(CJ80:CJ88,CP80:CP88,CV80:CV88,DB80:DB88) &gt;0, COUNT(CJ80:CJ88,CP80:CP88,CV80:CV88,DB80:DB88) /2,"")</f>
        <v>2</v>
      </c>
      <c r="DD79" s="201"/>
      <c r="DE79" s="293">
        <v>7</v>
      </c>
      <c r="DF79" s="104"/>
      <c r="DG79" s="87" t="s">
        <v>154</v>
      </c>
      <c r="DH79" s="10" t="s">
        <v>158</v>
      </c>
      <c r="DI79" s="88" t="s">
        <v>152</v>
      </c>
      <c r="DJ79" s="152"/>
      <c r="DK79" s="286">
        <v>7</v>
      </c>
      <c r="DL79" s="104"/>
      <c r="DM79" s="87" t="s">
        <v>154</v>
      </c>
      <c r="DN79" s="10" t="s">
        <v>158</v>
      </c>
      <c r="DO79" s="88" t="s">
        <v>152</v>
      </c>
      <c r="DP79" s="152"/>
      <c r="DQ79" s="286">
        <v>7</v>
      </c>
      <c r="DR79" s="104"/>
      <c r="DS79" s="87" t="s">
        <v>154</v>
      </c>
      <c r="DT79" s="10" t="s">
        <v>158</v>
      </c>
      <c r="DU79" s="88" t="s">
        <v>152</v>
      </c>
      <c r="DV79" s="152"/>
      <c r="DW79" s="287">
        <f>IF(COUNT(DJ80:DJ88,DP80:DP88,DV80:DV88) &gt;0, COUNT(DJ80:DJ88,DP80:DP88,DV80:DV88) /2,"")</f>
        <v>1</v>
      </c>
      <c r="DX79" s="201"/>
      <c r="DY79" s="293">
        <v>7</v>
      </c>
      <c r="DZ79" s="104"/>
      <c r="EA79" s="87" t="s">
        <v>154</v>
      </c>
      <c r="EB79" s="10" t="s">
        <v>158</v>
      </c>
      <c r="EC79" s="88" t="s">
        <v>152</v>
      </c>
      <c r="ED79" s="152"/>
      <c r="EE79" s="286">
        <v>7</v>
      </c>
      <c r="EF79" s="104"/>
      <c r="EG79" s="87" t="s">
        <v>154</v>
      </c>
      <c r="EH79" s="10" t="s">
        <v>158</v>
      </c>
      <c r="EI79" s="88" t="s">
        <v>152</v>
      </c>
      <c r="EJ79" s="152"/>
      <c r="EK79" s="286">
        <v>7</v>
      </c>
      <c r="EL79" s="104"/>
      <c r="EM79" s="87" t="s">
        <v>154</v>
      </c>
      <c r="EN79" s="10" t="s">
        <v>158</v>
      </c>
      <c r="EO79" s="88" t="s">
        <v>152</v>
      </c>
      <c r="EP79" s="152"/>
      <c r="EQ79" s="286">
        <v>7</v>
      </c>
      <c r="ER79" s="104"/>
      <c r="ES79" s="87" t="s">
        <v>154</v>
      </c>
      <c r="ET79" s="10" t="s">
        <v>158</v>
      </c>
      <c r="EU79" s="88" t="s">
        <v>152</v>
      </c>
      <c r="EV79" s="152"/>
      <c r="EW79" s="287">
        <f>IF(COUNT(ED80:ED88,EJ80:EJ88,EP80:EP88,EV80:EV88) &gt;0, COUNT(ED80:ED88,EJ80:EJ88,EP80:EP88,EV80:EV88) /2,"")</f>
        <v>2</v>
      </c>
      <c r="EX79" s="201"/>
    </row>
    <row r="80" spans="1:154" ht="27.75" customHeight="1" x14ac:dyDescent="0.45">
      <c r="A80" s="294"/>
      <c r="B80" s="176" t="s">
        <v>162</v>
      </c>
      <c r="C80" s="102" t="s">
        <v>156</v>
      </c>
      <c r="D80" s="89" t="s">
        <v>175</v>
      </c>
      <c r="E80" s="177" t="s">
        <v>174</v>
      </c>
      <c r="F80" s="148"/>
      <c r="G80" s="287"/>
      <c r="H80" s="201"/>
      <c r="I80" s="294"/>
      <c r="J80" s="176" t="s">
        <v>162</v>
      </c>
      <c r="K80" s="90" t="s">
        <v>155</v>
      </c>
      <c r="L80" s="89" t="s">
        <v>175</v>
      </c>
      <c r="M80" s="177" t="s">
        <v>174</v>
      </c>
      <c r="N80" s="148"/>
      <c r="O80" s="284"/>
      <c r="P80" s="176" t="s">
        <v>162</v>
      </c>
      <c r="Q80" s="90" t="s">
        <v>155</v>
      </c>
      <c r="R80" s="89" t="s">
        <v>175</v>
      </c>
      <c r="S80" s="177" t="s">
        <v>174</v>
      </c>
      <c r="T80" s="148"/>
      <c r="U80" s="287"/>
      <c r="V80" s="201"/>
      <c r="W80" s="294"/>
      <c r="X80" s="176" t="s">
        <v>162</v>
      </c>
      <c r="Y80" s="90" t="s">
        <v>155</v>
      </c>
      <c r="Z80" s="89" t="s">
        <v>175</v>
      </c>
      <c r="AA80" s="177" t="s">
        <v>174</v>
      </c>
      <c r="AB80" s="148"/>
      <c r="AC80" s="284"/>
      <c r="AD80" s="176" t="s">
        <v>162</v>
      </c>
      <c r="AE80" s="90" t="s">
        <v>155</v>
      </c>
      <c r="AF80" s="89" t="s">
        <v>175</v>
      </c>
      <c r="AG80" s="177" t="s">
        <v>174</v>
      </c>
      <c r="AH80" s="148"/>
      <c r="AI80" s="284"/>
      <c r="AJ80" s="176" t="s">
        <v>162</v>
      </c>
      <c r="AK80" s="90" t="s">
        <v>155</v>
      </c>
      <c r="AL80" s="89" t="s">
        <v>175</v>
      </c>
      <c r="AM80" s="177" t="s">
        <v>174</v>
      </c>
      <c r="AN80" s="148"/>
      <c r="AO80" s="287"/>
      <c r="AP80" s="201"/>
      <c r="AQ80" s="294"/>
      <c r="AR80" s="176" t="s">
        <v>162</v>
      </c>
      <c r="AS80" s="90" t="s">
        <v>155</v>
      </c>
      <c r="AT80" s="89" t="s">
        <v>175</v>
      </c>
      <c r="AU80" s="177" t="s">
        <v>174</v>
      </c>
      <c r="AV80" s="148"/>
      <c r="AW80" s="284"/>
      <c r="AX80" s="176" t="s">
        <v>162</v>
      </c>
      <c r="AY80" s="90" t="s">
        <v>155</v>
      </c>
      <c r="AZ80" s="89" t="s">
        <v>175</v>
      </c>
      <c r="BA80" s="177" t="s">
        <v>174</v>
      </c>
      <c r="BB80" s="148"/>
      <c r="BC80" s="287"/>
      <c r="BD80" s="201"/>
      <c r="BE80" s="294"/>
      <c r="BF80" s="176" t="s">
        <v>162</v>
      </c>
      <c r="BG80" s="90" t="s">
        <v>155</v>
      </c>
      <c r="BH80" s="89" t="s">
        <v>175</v>
      </c>
      <c r="BI80" s="177" t="s">
        <v>174</v>
      </c>
      <c r="BJ80" s="148"/>
      <c r="BK80" s="284"/>
      <c r="BL80" s="176" t="s">
        <v>162</v>
      </c>
      <c r="BM80" s="90" t="s">
        <v>155</v>
      </c>
      <c r="BN80" s="89" t="s">
        <v>175</v>
      </c>
      <c r="BO80" s="177" t="s">
        <v>174</v>
      </c>
      <c r="BP80" s="148"/>
      <c r="BQ80" s="284"/>
      <c r="BR80" s="176" t="s">
        <v>162</v>
      </c>
      <c r="BS80" s="90" t="s">
        <v>155</v>
      </c>
      <c r="BT80" s="89" t="s">
        <v>175</v>
      </c>
      <c r="BU80" s="177" t="s">
        <v>174</v>
      </c>
      <c r="BV80" s="148"/>
      <c r="BW80" s="284"/>
      <c r="BX80" s="176" t="s">
        <v>162</v>
      </c>
      <c r="BY80" s="90" t="s">
        <v>155</v>
      </c>
      <c r="BZ80" s="89" t="s">
        <v>175</v>
      </c>
      <c r="CA80" s="177" t="s">
        <v>174</v>
      </c>
      <c r="CB80" s="148"/>
      <c r="CC80" s="287"/>
      <c r="CD80" s="201"/>
      <c r="CE80" s="294"/>
      <c r="CF80" s="176" t="s">
        <v>162</v>
      </c>
      <c r="CG80" s="90" t="s">
        <v>155</v>
      </c>
      <c r="CH80" s="89" t="s">
        <v>175</v>
      </c>
      <c r="CI80" s="177" t="s">
        <v>174</v>
      </c>
      <c r="CJ80" s="148"/>
      <c r="CK80" s="284"/>
      <c r="CL80" s="176" t="s">
        <v>162</v>
      </c>
      <c r="CM80" s="90" t="s">
        <v>155</v>
      </c>
      <c r="CN80" s="89" t="s">
        <v>175</v>
      </c>
      <c r="CO80" s="177" t="s">
        <v>174</v>
      </c>
      <c r="CP80" s="148"/>
      <c r="CQ80" s="284"/>
      <c r="CR80" s="176" t="s">
        <v>162</v>
      </c>
      <c r="CS80" s="90" t="s">
        <v>155</v>
      </c>
      <c r="CT80" s="89" t="s">
        <v>175</v>
      </c>
      <c r="CU80" s="177" t="s">
        <v>174</v>
      </c>
      <c r="CV80" s="148"/>
      <c r="CW80" s="284"/>
      <c r="CX80" s="176" t="s">
        <v>162</v>
      </c>
      <c r="CY80" s="90" t="s">
        <v>155</v>
      </c>
      <c r="CZ80" s="89" t="s">
        <v>175</v>
      </c>
      <c r="DA80" s="177" t="s">
        <v>174</v>
      </c>
      <c r="DB80" s="148"/>
      <c r="DC80" s="287"/>
      <c r="DD80" s="201"/>
      <c r="DE80" s="294"/>
      <c r="DF80" s="176" t="s">
        <v>162</v>
      </c>
      <c r="DG80" s="90" t="s">
        <v>155</v>
      </c>
      <c r="DH80" s="89" t="s">
        <v>175</v>
      </c>
      <c r="DI80" s="177" t="s">
        <v>174</v>
      </c>
      <c r="DJ80" s="148"/>
      <c r="DK80" s="284"/>
      <c r="DL80" s="176" t="s">
        <v>162</v>
      </c>
      <c r="DM80" s="90" t="s">
        <v>155</v>
      </c>
      <c r="DN80" s="89" t="s">
        <v>175</v>
      </c>
      <c r="DO80" s="177" t="s">
        <v>174</v>
      </c>
      <c r="DP80" s="148"/>
      <c r="DQ80" s="284"/>
      <c r="DR80" s="176" t="s">
        <v>162</v>
      </c>
      <c r="DS80" s="90" t="s">
        <v>155</v>
      </c>
      <c r="DT80" s="89" t="s">
        <v>175</v>
      </c>
      <c r="DU80" s="177" t="s">
        <v>174</v>
      </c>
      <c r="DV80" s="148"/>
      <c r="DW80" s="287"/>
      <c r="DX80" s="201"/>
      <c r="DY80" s="294"/>
      <c r="DZ80" s="176" t="s">
        <v>162</v>
      </c>
      <c r="EA80" s="90" t="s">
        <v>155</v>
      </c>
      <c r="EB80" s="89" t="s">
        <v>175</v>
      </c>
      <c r="EC80" s="177" t="s">
        <v>174</v>
      </c>
      <c r="ED80" s="148"/>
      <c r="EE80" s="284"/>
      <c r="EF80" s="176" t="s">
        <v>162</v>
      </c>
      <c r="EG80" s="90" t="s">
        <v>155</v>
      </c>
      <c r="EH80" s="89" t="s">
        <v>175</v>
      </c>
      <c r="EI80" s="177" t="s">
        <v>174</v>
      </c>
      <c r="EJ80" s="148"/>
      <c r="EK80" s="284"/>
      <c r="EL80" s="176" t="s">
        <v>162</v>
      </c>
      <c r="EM80" s="90" t="s">
        <v>155</v>
      </c>
      <c r="EN80" s="89" t="s">
        <v>175</v>
      </c>
      <c r="EO80" s="177" t="s">
        <v>174</v>
      </c>
      <c r="EP80" s="148"/>
      <c r="EQ80" s="284"/>
      <c r="ER80" s="176" t="s">
        <v>162</v>
      </c>
      <c r="ES80" s="90" t="s">
        <v>155</v>
      </c>
      <c r="ET80" s="89" t="s">
        <v>175</v>
      </c>
      <c r="EU80" s="177" t="s">
        <v>174</v>
      </c>
      <c r="EV80" s="148"/>
      <c r="EW80" s="287"/>
      <c r="EX80" s="201"/>
    </row>
    <row r="81" spans="1:154" x14ac:dyDescent="0.45">
      <c r="A81" s="294"/>
      <c r="B81" s="1">
        <v>1</v>
      </c>
      <c r="C81">
        <v>0</v>
      </c>
      <c r="D81" s="37">
        <f>(C81+$B$79)*$G$3</f>
        <v>96</v>
      </c>
      <c r="E81" s="30">
        <f t="shared" ref="E81:E88" si="417">MOD($F6+D81,$G$2)</f>
        <v>7</v>
      </c>
      <c r="F81" s="149"/>
      <c r="G81" s="287"/>
      <c r="H81" s="201"/>
      <c r="I81" s="294"/>
      <c r="J81" s="1">
        <v>1</v>
      </c>
      <c r="K81">
        <f t="shared" ref="K81:K88" si="418">IF(F81="", C81,IF(F81=MIN(F$81:F$88),C81+1,0))</f>
        <v>0</v>
      </c>
      <c r="L81" s="37">
        <f>(K81+$B$79)*$G$3</f>
        <v>96</v>
      </c>
      <c r="M81" s="30">
        <f t="shared" ref="M81:M88" si="419">MOD($F6+L81,$G$2)</f>
        <v>7</v>
      </c>
      <c r="N81" s="149"/>
      <c r="O81" s="284"/>
      <c r="P81" s="1">
        <v>1</v>
      </c>
      <c r="Q81">
        <f t="shared" ref="Q81:Q88" si="420">IF(N81="", K81,IF(N81=MIN(N$81:N$88),K81+1,0))</f>
        <v>0</v>
      </c>
      <c r="R81" s="37">
        <f>(Q81+$B$79)*$G$3</f>
        <v>96</v>
      </c>
      <c r="S81" s="30">
        <f t="shared" ref="S81:S88" si="421">MOD($F6+R81,$G$2)</f>
        <v>7</v>
      </c>
      <c r="T81" s="149">
        <v>18</v>
      </c>
      <c r="U81" s="287"/>
      <c r="V81" s="201"/>
      <c r="W81" s="294"/>
      <c r="X81" s="1">
        <v>1</v>
      </c>
      <c r="Y81">
        <f t="shared" ref="Y81:Y88" si="422">IF(T81="", Q81,IF(T81=MIN(T$81:T$88),Q81+1,0))</f>
        <v>0</v>
      </c>
      <c r="Z81" s="37">
        <f>(Y81+$B$79)*$G$3</f>
        <v>96</v>
      </c>
      <c r="AA81" s="30">
        <f t="shared" ref="AA81:AA88" si="423">MOD($F6+Z81,$G$2)</f>
        <v>7</v>
      </c>
      <c r="AB81" s="149"/>
      <c r="AC81" s="284"/>
      <c r="AD81" s="1">
        <v>1</v>
      </c>
      <c r="AE81">
        <f t="shared" ref="AE81:AE88" si="424">IF(AB81="", Y81,IF(AB81=MIN(AB$81:AB$88),Y81+1,0))</f>
        <v>0</v>
      </c>
      <c r="AF81" s="37">
        <f>(AE81+$B$79)*$G$3</f>
        <v>96</v>
      </c>
      <c r="AG81" s="30">
        <f t="shared" ref="AG81:AG88" si="425">MOD($F6+AF81,$G$2)</f>
        <v>7</v>
      </c>
      <c r="AH81" s="149"/>
      <c r="AI81" s="284"/>
      <c r="AJ81" s="1">
        <v>1</v>
      </c>
      <c r="AK81">
        <f t="shared" ref="AK81:AK89" si="426">IF(AH81="",AE81,IF(AH81=MIN(AH$21:AH$28),AE81+1,0))</f>
        <v>0</v>
      </c>
      <c r="AL81" s="37">
        <f>(AK81+$B$79)*$G$3</f>
        <v>96</v>
      </c>
      <c r="AM81" s="30">
        <f t="shared" ref="AM81:AM88" si="427">MOD($F6+AL81,$G$2)</f>
        <v>7</v>
      </c>
      <c r="AN81" s="149"/>
      <c r="AO81" s="287"/>
      <c r="AP81" s="201"/>
      <c r="AQ81" s="294"/>
      <c r="AR81" s="1">
        <v>1</v>
      </c>
      <c r="AS81">
        <f t="shared" ref="AS81:AS88" si="428">IF(AN81="", AK81,IF(AN81=MIN(AN$81:AN$88),AK81+1,0))</f>
        <v>0</v>
      </c>
      <c r="AT81" s="37">
        <f>(AS81+$B$79)*$G$3</f>
        <v>96</v>
      </c>
      <c r="AU81" s="30">
        <f t="shared" ref="AU81:AU88" si="429">MOD($F6+AT81,$G$2)</f>
        <v>7</v>
      </c>
      <c r="AV81" s="149"/>
      <c r="AW81" s="284"/>
      <c r="AX81" s="1">
        <v>1</v>
      </c>
      <c r="AY81">
        <f t="shared" ref="AY81:AY88" si="430">IF(AV81="", AS81,IF(AV81=MIN(AV$81:AV$88),AS81+1,0))</f>
        <v>0</v>
      </c>
      <c r="AZ81" s="37">
        <f>(AY81+$B$79)*$G$3</f>
        <v>96</v>
      </c>
      <c r="BA81" s="30">
        <f t="shared" ref="BA81:BA88" si="431">MOD($F6+AZ81,$G$2)</f>
        <v>7</v>
      </c>
      <c r="BB81" s="149"/>
      <c r="BC81" s="287"/>
      <c r="BD81" s="201"/>
      <c r="BE81" s="294"/>
      <c r="BF81" s="1">
        <v>1</v>
      </c>
      <c r="BG81">
        <f t="shared" ref="BG81:BG88" si="432">IF(BB81="", AY81,IF(BB81=MIN(BB$81:BB$88),AY81+1,0))</f>
        <v>0</v>
      </c>
      <c r="BH81" s="37">
        <f>(BG81+$B$79)*$G$3</f>
        <v>96</v>
      </c>
      <c r="BI81" s="30">
        <f t="shared" ref="BI81:BI88" si="433">MOD($F6+BH81,$G$2)</f>
        <v>7</v>
      </c>
      <c r="BJ81" s="149"/>
      <c r="BK81" s="284"/>
      <c r="BL81" s="1">
        <v>1</v>
      </c>
      <c r="BM81">
        <f t="shared" ref="BM81:BM88" si="434">IF(BJ81="", BG81,IF(BJ81=MIN(BJ$81:BJ$88),BG81+1,0))</f>
        <v>0</v>
      </c>
      <c r="BN81" s="37">
        <f>(BM81+$B$79)*$G$3</f>
        <v>96</v>
      </c>
      <c r="BO81" s="30">
        <f t="shared" ref="BO81:BO88" si="435">MOD($F6+BN81,$G$2)</f>
        <v>7</v>
      </c>
      <c r="BP81" s="149"/>
      <c r="BQ81" s="284"/>
      <c r="BR81" s="1">
        <v>1</v>
      </c>
      <c r="BS81">
        <f t="shared" ref="BS81:BS88" si="436">IF(BP81="", BM81,IF(BP81=MIN(BP$81:BP$88),BM81+1,0))</f>
        <v>0</v>
      </c>
      <c r="BT81" s="37">
        <f>(BS81+$B$79)*$G$3</f>
        <v>96</v>
      </c>
      <c r="BU81" s="30">
        <f t="shared" ref="BU81:BU88" si="437">MOD($F6+BT81,$G$2)</f>
        <v>7</v>
      </c>
      <c r="BV81" s="149">
        <v>28</v>
      </c>
      <c r="BW81" s="284"/>
      <c r="BX81" s="1">
        <v>1</v>
      </c>
      <c r="BY81">
        <f t="shared" ref="BY81:BY88" si="438">IF(BV81="", BS81,IF(BV81=MIN(BV$81:BV$88),BS81+1,0))</f>
        <v>0</v>
      </c>
      <c r="BZ81" s="37">
        <f>(BY81+$B$79)*$G$3</f>
        <v>96</v>
      </c>
      <c r="CA81" s="30">
        <f t="shared" ref="CA81:CA88" si="439">MOD($F6+BZ81,$G$2)</f>
        <v>7</v>
      </c>
      <c r="CB81" s="149"/>
      <c r="CC81" s="287"/>
      <c r="CD81" s="201"/>
      <c r="CE81" s="294"/>
      <c r="CF81" s="1">
        <v>1</v>
      </c>
      <c r="CG81">
        <f t="shared" ref="CG81:CG88" si="440">IF(CB81="", BY81,IF(CB81=MIN(CB$81:CB$88),BY81+1,0))</f>
        <v>0</v>
      </c>
      <c r="CH81" s="37">
        <f>(CG81+$B$79)*$G$3</f>
        <v>96</v>
      </c>
      <c r="CI81" s="30">
        <f t="shared" ref="CI81:CI88" si="441">MOD($F6+CH81,$G$2)</f>
        <v>7</v>
      </c>
      <c r="CJ81" s="149"/>
      <c r="CK81" s="284"/>
      <c r="CL81" s="1">
        <v>1</v>
      </c>
      <c r="CM81">
        <f t="shared" ref="CM81:CM88" si="442">IF(CJ81="", CG81,IF(CJ81=MIN(CJ$81:CJ$88),CG81+1,0))</f>
        <v>0</v>
      </c>
      <c r="CN81" s="37">
        <f>(CM81+$B$79)*$G$3</f>
        <v>96</v>
      </c>
      <c r="CO81" s="30">
        <f t="shared" ref="CO81:CO88" si="443">MOD($F6+CN81,$G$2)</f>
        <v>7</v>
      </c>
      <c r="CP81" s="149"/>
      <c r="CQ81" s="284"/>
      <c r="CR81" s="1">
        <v>1</v>
      </c>
      <c r="CS81">
        <f t="shared" ref="CS81:CS88" si="444">IF(CP81="", CM81,IF(CP81=MIN(CP$81:CP$88),CM81+1,0))</f>
        <v>0</v>
      </c>
      <c r="CT81" s="37">
        <f>(CS81+$B$79)*$G$3</f>
        <v>96</v>
      </c>
      <c r="CU81" s="30">
        <f t="shared" ref="CU81:CU88" si="445">MOD($F6+CT81,$G$2)</f>
        <v>7</v>
      </c>
      <c r="CV81" s="149"/>
      <c r="CW81" s="284"/>
      <c r="CX81" s="1">
        <v>1</v>
      </c>
      <c r="CY81">
        <f t="shared" ref="CY81:CY88" si="446">IF(CV81="", CS81,IF(CV81=MIN(CV$81:CV$88),CS81+1,0))</f>
        <v>0</v>
      </c>
      <c r="CZ81" s="37">
        <f>(CY81+$B$79)*$G$3</f>
        <v>96</v>
      </c>
      <c r="DA81" s="30">
        <f t="shared" ref="DA81:DA88" si="447">MOD($F6+CZ81,$G$2)</f>
        <v>7</v>
      </c>
      <c r="DB81" s="149"/>
      <c r="DC81" s="287"/>
      <c r="DD81" s="201"/>
      <c r="DE81" s="294"/>
      <c r="DF81" s="1">
        <v>1</v>
      </c>
      <c r="DG81">
        <f t="shared" ref="DG81:DG88" si="448">IF(CV81="", CS81,IF(CV81=MIN(CV$81:CV$88),CS81+1,0))</f>
        <v>0</v>
      </c>
      <c r="DH81" s="37">
        <f>(DG81+$B$79)*$G$3</f>
        <v>96</v>
      </c>
      <c r="DI81" s="30">
        <f t="shared" ref="DI81:DI88" si="449">MOD($F6+DH81,$G$2)</f>
        <v>7</v>
      </c>
      <c r="DJ81" s="149"/>
      <c r="DK81" s="284"/>
      <c r="DL81" s="1">
        <v>1</v>
      </c>
      <c r="DM81">
        <f t="shared" ref="DM81:DM88" si="450">IF(DJ81="", DG81,IF(DJ81=MIN(DJ$81:DJ$88),DG81+1,0))</f>
        <v>0</v>
      </c>
      <c r="DN81" s="37">
        <f>(DM81+$B$79)*$G$3</f>
        <v>96</v>
      </c>
      <c r="DO81" s="30">
        <f t="shared" ref="DO81:DO88" si="451">MOD($F6+DN81,$G$2)</f>
        <v>7</v>
      </c>
      <c r="DP81" s="149"/>
      <c r="DQ81" s="284"/>
      <c r="DR81" s="1">
        <v>1</v>
      </c>
      <c r="DS81">
        <f t="shared" ref="DS81:DS88" si="452">IF(DP81="", DM81,IF(DP81=MIN(DP$81:DP$88),DM81+1,0))</f>
        <v>0</v>
      </c>
      <c r="DT81" s="37">
        <f>(DS81+$B$79)*$G$3</f>
        <v>96</v>
      </c>
      <c r="DU81" s="30">
        <f t="shared" ref="DU81:DU88" si="453">MOD($F6+DT81,$G$2)</f>
        <v>7</v>
      </c>
      <c r="DV81" s="149"/>
      <c r="DW81" s="287"/>
      <c r="DX81" s="201"/>
      <c r="DY81" s="294"/>
      <c r="DZ81" s="1">
        <v>1</v>
      </c>
      <c r="EA81">
        <f t="shared" ref="EA81:EA88" si="454">IF(DV81="", DS81,IF(DV81=MIN(DV$81:DV$88),DS81+1,0))</f>
        <v>0</v>
      </c>
      <c r="EB81" s="37">
        <f>(EA81+$B$79)*$G$3</f>
        <v>96</v>
      </c>
      <c r="EC81" s="30">
        <f t="shared" ref="EC81:EC88" si="455">MOD($F6+EB81,$G$2)</f>
        <v>7</v>
      </c>
      <c r="ED81" s="149">
        <v>8</v>
      </c>
      <c r="EE81" s="284"/>
      <c r="EF81" s="1">
        <v>1</v>
      </c>
      <c r="EG81">
        <f t="shared" ref="EG81:EG88" si="456">IF(ED81="", EA81,IF(ED81=MIN(ED$81:ED$88),EA81+1,0))</f>
        <v>0</v>
      </c>
      <c r="EH81" s="37">
        <f>(EG81+$B$79)*$G$3</f>
        <v>96</v>
      </c>
      <c r="EI81" s="30">
        <f t="shared" ref="EI81:EI88" si="457">MOD($F6+EH81,$G$2)</f>
        <v>7</v>
      </c>
      <c r="EJ81" s="149"/>
      <c r="EK81" s="284"/>
      <c r="EL81" s="1">
        <v>1</v>
      </c>
      <c r="EM81">
        <f t="shared" ref="EM81:EM88" si="458">IF(EJ81="", EG81,IF(EJ81=MIN(EJ$81:EJ$88),EG81+1,0))</f>
        <v>0</v>
      </c>
      <c r="EN81" s="37">
        <f>(EM81+$B$79)*$G$3</f>
        <v>96</v>
      </c>
      <c r="EO81" s="30">
        <f t="shared" ref="EO81:EO88" si="459">MOD($F6+EN81,$G$2)</f>
        <v>7</v>
      </c>
      <c r="EP81" s="149"/>
      <c r="EQ81" s="284"/>
      <c r="ER81" s="1">
        <v>1</v>
      </c>
      <c r="ES81">
        <f t="shared" ref="ES81:ES88" si="460">IF(EP81="", EM81,IF(EP81=MIN(EP$81:EP$88),EM81+1,0))</f>
        <v>0</v>
      </c>
      <c r="ET81" s="37">
        <f>(ES81+$B$79)*$G$3</f>
        <v>96</v>
      </c>
      <c r="EU81" s="30">
        <f t="shared" ref="EU81:EU88" si="461">MOD($F6+ET81,$G$2)</f>
        <v>7</v>
      </c>
      <c r="EV81" s="149"/>
      <c r="EW81" s="287"/>
      <c r="EX81" s="201"/>
    </row>
    <row r="82" spans="1:154" x14ac:dyDescent="0.45">
      <c r="A82" s="294"/>
      <c r="B82" s="1">
        <v>2</v>
      </c>
      <c r="C82">
        <f t="shared" ref="C82:C88" si="462">IF(B82=MIN(B$21:B$28),1,0)</f>
        <v>0</v>
      </c>
      <c r="D82" s="37">
        <f t="shared" ref="D82:D88" si="463">(C82+$B$79)*$G$3</f>
        <v>96</v>
      </c>
      <c r="E82" s="30">
        <f t="shared" si="417"/>
        <v>3</v>
      </c>
      <c r="F82" s="150">
        <v>14</v>
      </c>
      <c r="G82" s="287"/>
      <c r="H82" s="201"/>
      <c r="I82" s="294"/>
      <c r="J82" s="1">
        <v>2</v>
      </c>
      <c r="K82">
        <f t="shared" si="418"/>
        <v>0</v>
      </c>
      <c r="L82" s="37">
        <f t="shared" ref="L82:L88" si="464">(K82+$B$79)*$G$3</f>
        <v>96</v>
      </c>
      <c r="M82" s="30">
        <f t="shared" si="419"/>
        <v>3</v>
      </c>
      <c r="N82" s="150"/>
      <c r="O82" s="284"/>
      <c r="P82" s="1">
        <v>2</v>
      </c>
      <c r="Q82">
        <f t="shared" si="420"/>
        <v>0</v>
      </c>
      <c r="R82" s="37">
        <f t="shared" ref="R82:R88" si="465">(Q82+$B$79)*$G$3</f>
        <v>96</v>
      </c>
      <c r="S82" s="30">
        <f t="shared" si="421"/>
        <v>3</v>
      </c>
      <c r="T82" s="150"/>
      <c r="U82" s="287"/>
      <c r="V82" s="201"/>
      <c r="W82" s="294"/>
      <c r="X82" s="1">
        <v>2</v>
      </c>
      <c r="Y82">
        <f t="shared" si="422"/>
        <v>0</v>
      </c>
      <c r="Z82" s="37">
        <f t="shared" ref="Z82:Z88" si="466">(Y82+$B$79)*$G$3</f>
        <v>96</v>
      </c>
      <c r="AA82" s="30">
        <f t="shared" si="423"/>
        <v>3</v>
      </c>
      <c r="AB82" s="150"/>
      <c r="AC82" s="284"/>
      <c r="AD82" s="1">
        <v>2</v>
      </c>
      <c r="AE82">
        <f t="shared" si="424"/>
        <v>0</v>
      </c>
      <c r="AF82" s="37">
        <f t="shared" ref="AF82:AF88" si="467">(AE82+$B$79)*$G$3</f>
        <v>96</v>
      </c>
      <c r="AG82" s="30">
        <f t="shared" si="425"/>
        <v>3</v>
      </c>
      <c r="AH82" s="150"/>
      <c r="AI82" s="284"/>
      <c r="AJ82" s="1">
        <v>2</v>
      </c>
      <c r="AK82">
        <f t="shared" si="426"/>
        <v>0</v>
      </c>
      <c r="AL82" s="37">
        <f t="shared" ref="AL82:AL88" si="468">(AK82+$B$79)*$G$3</f>
        <v>96</v>
      </c>
      <c r="AM82" s="30">
        <f t="shared" si="427"/>
        <v>3</v>
      </c>
      <c r="AN82" s="150"/>
      <c r="AO82" s="287"/>
      <c r="AP82" s="201"/>
      <c r="AQ82" s="294"/>
      <c r="AR82" s="1">
        <v>2</v>
      </c>
      <c r="AS82">
        <f t="shared" si="428"/>
        <v>0</v>
      </c>
      <c r="AT82" s="37">
        <f t="shared" ref="AT82:AT88" si="469">(AS82+$B$79)*$G$3</f>
        <v>96</v>
      </c>
      <c r="AU82" s="30">
        <f t="shared" si="429"/>
        <v>3</v>
      </c>
      <c r="AV82" s="150"/>
      <c r="AW82" s="284"/>
      <c r="AX82" s="1">
        <v>2</v>
      </c>
      <c r="AY82">
        <f t="shared" si="430"/>
        <v>0</v>
      </c>
      <c r="AZ82" s="37">
        <f t="shared" ref="AZ82:AZ88" si="470">(AY82+$B$79)*$G$3</f>
        <v>96</v>
      </c>
      <c r="BA82" s="30">
        <f t="shared" si="431"/>
        <v>3</v>
      </c>
      <c r="BB82" s="150"/>
      <c r="BC82" s="287"/>
      <c r="BD82" s="201"/>
      <c r="BE82" s="294"/>
      <c r="BF82" s="1">
        <v>2</v>
      </c>
      <c r="BG82">
        <f t="shared" si="432"/>
        <v>0</v>
      </c>
      <c r="BH82" s="37">
        <f t="shared" ref="BH82:BH88" si="471">(BG82+$B$79)*$G$3</f>
        <v>96</v>
      </c>
      <c r="BI82" s="30">
        <f t="shared" si="433"/>
        <v>3</v>
      </c>
      <c r="BJ82" s="150">
        <v>12</v>
      </c>
      <c r="BK82" s="284"/>
      <c r="BL82" s="1">
        <v>2</v>
      </c>
      <c r="BM82">
        <f t="shared" si="434"/>
        <v>0</v>
      </c>
      <c r="BN82" s="37">
        <f t="shared" ref="BN82:BN88" si="472">(BM82+$B$79)*$G$3</f>
        <v>96</v>
      </c>
      <c r="BO82" s="30">
        <f t="shared" si="435"/>
        <v>3</v>
      </c>
      <c r="BP82" s="150"/>
      <c r="BQ82" s="284"/>
      <c r="BR82" s="1">
        <v>2</v>
      </c>
      <c r="BS82">
        <f t="shared" si="436"/>
        <v>0</v>
      </c>
      <c r="BT82" s="37">
        <f t="shared" ref="BT82:BT88" si="473">(BS82+$B$79)*$G$3</f>
        <v>96</v>
      </c>
      <c r="BU82" s="30">
        <f t="shared" si="437"/>
        <v>3</v>
      </c>
      <c r="BV82" s="150"/>
      <c r="BW82" s="284"/>
      <c r="BX82" s="1">
        <v>2</v>
      </c>
      <c r="BY82">
        <f t="shared" si="438"/>
        <v>0</v>
      </c>
      <c r="BZ82" s="37">
        <f t="shared" ref="BZ82:BZ88" si="474">(BY82+$B$79)*$G$3</f>
        <v>96</v>
      </c>
      <c r="CA82" s="30">
        <f t="shared" si="439"/>
        <v>3</v>
      </c>
      <c r="CB82" s="150"/>
      <c r="CC82" s="287"/>
      <c r="CD82" s="201"/>
      <c r="CE82" s="294"/>
      <c r="CF82" s="1">
        <v>2</v>
      </c>
      <c r="CG82">
        <f t="shared" si="440"/>
        <v>0</v>
      </c>
      <c r="CH82" s="37">
        <f t="shared" ref="CH82:CH88" si="475">(CG82+$B$79)*$G$3</f>
        <v>96</v>
      </c>
      <c r="CI82" s="30">
        <f t="shared" si="441"/>
        <v>3</v>
      </c>
      <c r="CJ82" s="150"/>
      <c r="CK82" s="284"/>
      <c r="CL82" s="1">
        <v>2</v>
      </c>
      <c r="CM82">
        <f t="shared" si="442"/>
        <v>0</v>
      </c>
      <c r="CN82" s="37">
        <f t="shared" ref="CN82:CN88" si="476">(CM82+$B$79)*$G$3</f>
        <v>96</v>
      </c>
      <c r="CO82" s="30">
        <f t="shared" si="443"/>
        <v>3</v>
      </c>
      <c r="CP82" s="150"/>
      <c r="CQ82" s="284"/>
      <c r="CR82" s="1">
        <v>2</v>
      </c>
      <c r="CS82">
        <f t="shared" si="444"/>
        <v>0</v>
      </c>
      <c r="CT82" s="37">
        <f t="shared" ref="CT82:CT88" si="477">(CS82+$B$79)*$G$3</f>
        <v>96</v>
      </c>
      <c r="CU82" s="30">
        <f t="shared" si="445"/>
        <v>3</v>
      </c>
      <c r="CV82" s="150"/>
      <c r="CW82" s="284"/>
      <c r="CX82" s="1">
        <v>2</v>
      </c>
      <c r="CY82">
        <f t="shared" si="446"/>
        <v>0</v>
      </c>
      <c r="CZ82" s="37">
        <f t="shared" ref="CZ82:CZ88" si="478">(CY82+$B$79)*$G$3</f>
        <v>96</v>
      </c>
      <c r="DA82" s="30">
        <f t="shared" si="447"/>
        <v>3</v>
      </c>
      <c r="DB82" s="150"/>
      <c r="DC82" s="287"/>
      <c r="DD82" s="201"/>
      <c r="DE82" s="294"/>
      <c r="DF82" s="1">
        <v>2</v>
      </c>
      <c r="DG82">
        <f t="shared" si="448"/>
        <v>0</v>
      </c>
      <c r="DH82" s="37">
        <f t="shared" ref="DH82:DH88" si="479">(DG82+$B$79)*$G$3</f>
        <v>96</v>
      </c>
      <c r="DI82" s="30">
        <f t="shared" si="449"/>
        <v>3</v>
      </c>
      <c r="DJ82" s="150">
        <v>6</v>
      </c>
      <c r="DK82" s="284"/>
      <c r="DL82" s="1">
        <v>2</v>
      </c>
      <c r="DM82">
        <f t="shared" si="450"/>
        <v>0</v>
      </c>
      <c r="DN82" s="37">
        <f t="shared" ref="DN82:DN88" si="480">(DM82+$B$79)*$G$3</f>
        <v>96</v>
      </c>
      <c r="DO82" s="30">
        <f t="shared" si="451"/>
        <v>3</v>
      </c>
      <c r="DP82" s="150"/>
      <c r="DQ82" s="284"/>
      <c r="DR82" s="1">
        <v>2</v>
      </c>
      <c r="DS82">
        <f t="shared" si="452"/>
        <v>0</v>
      </c>
      <c r="DT82" s="37">
        <f t="shared" ref="DT82:DT88" si="481">(DS82+$B$79)*$G$3</f>
        <v>96</v>
      </c>
      <c r="DU82" s="30">
        <f t="shared" si="453"/>
        <v>3</v>
      </c>
      <c r="DV82" s="150"/>
      <c r="DW82" s="287"/>
      <c r="DX82" s="201"/>
      <c r="DY82" s="294"/>
      <c r="DZ82" s="1">
        <v>2</v>
      </c>
      <c r="EA82">
        <f t="shared" si="454"/>
        <v>0</v>
      </c>
      <c r="EB82" s="37">
        <f t="shared" ref="EB82:EB88" si="482">(EA82+$B$79)*$G$3</f>
        <v>96</v>
      </c>
      <c r="EC82" s="30">
        <f t="shared" si="455"/>
        <v>3</v>
      </c>
      <c r="ED82" s="150"/>
      <c r="EE82" s="284"/>
      <c r="EF82" s="1">
        <v>2</v>
      </c>
      <c r="EG82">
        <f t="shared" si="456"/>
        <v>0</v>
      </c>
      <c r="EH82" s="37">
        <f t="shared" ref="EH82:EH88" si="483">(EG82+$B$79)*$G$3</f>
        <v>96</v>
      </c>
      <c r="EI82" s="30">
        <f t="shared" si="457"/>
        <v>3</v>
      </c>
      <c r="EJ82" s="150"/>
      <c r="EK82" s="284"/>
      <c r="EL82" s="1">
        <v>2</v>
      </c>
      <c r="EM82">
        <f t="shared" si="458"/>
        <v>0</v>
      </c>
      <c r="EN82" s="37">
        <f t="shared" ref="EN82:EN88" si="484">(EM82+$B$79)*$G$3</f>
        <v>96</v>
      </c>
      <c r="EO82" s="30">
        <f t="shared" si="459"/>
        <v>3</v>
      </c>
      <c r="EP82" s="150"/>
      <c r="EQ82" s="284"/>
      <c r="ER82" s="1">
        <v>2</v>
      </c>
      <c r="ES82">
        <f t="shared" si="460"/>
        <v>0</v>
      </c>
      <c r="ET82" s="37">
        <f t="shared" ref="ET82:ET88" si="485">(ES82+$B$79)*$G$3</f>
        <v>96</v>
      </c>
      <c r="EU82" s="30">
        <f t="shared" si="461"/>
        <v>3</v>
      </c>
      <c r="EV82" s="150"/>
      <c r="EW82" s="287"/>
      <c r="EX82" s="201"/>
    </row>
    <row r="83" spans="1:154" x14ac:dyDescent="0.45">
      <c r="A83" s="294"/>
      <c r="B83" s="180">
        <v>3</v>
      </c>
      <c r="C83">
        <f t="shared" si="462"/>
        <v>0</v>
      </c>
      <c r="D83" s="37">
        <f t="shared" si="463"/>
        <v>96</v>
      </c>
      <c r="E83" s="30">
        <f t="shared" si="417"/>
        <v>14</v>
      </c>
      <c r="F83" s="150"/>
      <c r="G83" s="287"/>
      <c r="H83" s="201"/>
      <c r="I83" s="294"/>
      <c r="J83" s="1">
        <v>3</v>
      </c>
      <c r="K83">
        <f t="shared" si="418"/>
        <v>0</v>
      </c>
      <c r="L83" s="37">
        <f t="shared" si="464"/>
        <v>96</v>
      </c>
      <c r="M83" s="30">
        <f t="shared" si="419"/>
        <v>14</v>
      </c>
      <c r="N83" s="150"/>
      <c r="O83" s="284"/>
      <c r="P83" s="1">
        <v>3</v>
      </c>
      <c r="Q83">
        <f t="shared" si="420"/>
        <v>0</v>
      </c>
      <c r="R83" s="37">
        <f t="shared" si="465"/>
        <v>96</v>
      </c>
      <c r="S83" s="30">
        <f t="shared" si="421"/>
        <v>14</v>
      </c>
      <c r="T83" s="150"/>
      <c r="U83" s="287"/>
      <c r="V83" s="201"/>
      <c r="W83" s="294"/>
      <c r="X83" s="1">
        <v>3</v>
      </c>
      <c r="Y83">
        <f t="shared" si="422"/>
        <v>0</v>
      </c>
      <c r="Z83" s="37">
        <f t="shared" si="466"/>
        <v>96</v>
      </c>
      <c r="AA83" s="30">
        <f t="shared" si="423"/>
        <v>14</v>
      </c>
      <c r="AB83" s="150"/>
      <c r="AC83" s="284"/>
      <c r="AD83" s="1">
        <v>3</v>
      </c>
      <c r="AE83">
        <f t="shared" si="424"/>
        <v>0</v>
      </c>
      <c r="AF83" s="37">
        <f t="shared" si="467"/>
        <v>96</v>
      </c>
      <c r="AG83" s="30">
        <f t="shared" si="425"/>
        <v>14</v>
      </c>
      <c r="AH83" s="150"/>
      <c r="AI83" s="284"/>
      <c r="AJ83" s="1">
        <v>3</v>
      </c>
      <c r="AK83">
        <f t="shared" si="426"/>
        <v>0</v>
      </c>
      <c r="AL83" s="37">
        <f t="shared" si="468"/>
        <v>96</v>
      </c>
      <c r="AM83" s="30">
        <f t="shared" si="427"/>
        <v>14</v>
      </c>
      <c r="AN83" s="150">
        <v>22</v>
      </c>
      <c r="AO83" s="287"/>
      <c r="AP83" s="201"/>
      <c r="AQ83" s="294"/>
      <c r="AR83" s="1">
        <v>3</v>
      </c>
      <c r="AS83">
        <f t="shared" si="428"/>
        <v>0</v>
      </c>
      <c r="AT83" s="37">
        <f t="shared" si="469"/>
        <v>96</v>
      </c>
      <c r="AU83" s="30">
        <f t="shared" si="429"/>
        <v>14</v>
      </c>
      <c r="AV83" s="150"/>
      <c r="AW83" s="284"/>
      <c r="AX83" s="1">
        <v>3</v>
      </c>
      <c r="AY83">
        <f t="shared" si="430"/>
        <v>0</v>
      </c>
      <c r="AZ83" s="37">
        <f t="shared" si="470"/>
        <v>96</v>
      </c>
      <c r="BA83" s="30">
        <f t="shared" si="431"/>
        <v>14</v>
      </c>
      <c r="BB83" s="150"/>
      <c r="BC83" s="287"/>
      <c r="BD83" s="201"/>
      <c r="BE83" s="294"/>
      <c r="BF83" s="1">
        <v>3</v>
      </c>
      <c r="BG83">
        <f t="shared" si="432"/>
        <v>0</v>
      </c>
      <c r="BH83" s="37">
        <f t="shared" si="471"/>
        <v>96</v>
      </c>
      <c r="BI83" s="30">
        <f t="shared" si="433"/>
        <v>14</v>
      </c>
      <c r="BJ83" s="150"/>
      <c r="BK83" s="284"/>
      <c r="BL83" s="1">
        <v>3</v>
      </c>
      <c r="BM83">
        <f t="shared" si="434"/>
        <v>0</v>
      </c>
      <c r="BN83" s="37">
        <f t="shared" si="472"/>
        <v>96</v>
      </c>
      <c r="BO83" s="30">
        <f t="shared" si="435"/>
        <v>14</v>
      </c>
      <c r="BP83" s="150"/>
      <c r="BQ83" s="284"/>
      <c r="BR83" s="1">
        <v>3</v>
      </c>
      <c r="BS83">
        <f t="shared" si="436"/>
        <v>0</v>
      </c>
      <c r="BT83" s="37">
        <f t="shared" si="473"/>
        <v>96</v>
      </c>
      <c r="BU83" s="30">
        <f t="shared" si="437"/>
        <v>14</v>
      </c>
      <c r="BV83" s="150"/>
      <c r="BW83" s="284"/>
      <c r="BX83" s="1">
        <v>3</v>
      </c>
      <c r="BY83">
        <f t="shared" si="438"/>
        <v>0</v>
      </c>
      <c r="BZ83" s="37">
        <f t="shared" si="474"/>
        <v>96</v>
      </c>
      <c r="CA83" s="30">
        <f t="shared" si="439"/>
        <v>14</v>
      </c>
      <c r="CB83" s="150"/>
      <c r="CC83" s="287"/>
      <c r="CD83" s="201"/>
      <c r="CE83" s="294"/>
      <c r="CF83" s="1">
        <v>3</v>
      </c>
      <c r="CG83">
        <f t="shared" si="440"/>
        <v>0</v>
      </c>
      <c r="CH83" s="37">
        <f t="shared" si="475"/>
        <v>96</v>
      </c>
      <c r="CI83" s="30">
        <f t="shared" si="441"/>
        <v>14</v>
      </c>
      <c r="CJ83" s="150"/>
      <c r="CK83" s="284"/>
      <c r="CL83" s="1">
        <v>3</v>
      </c>
      <c r="CM83">
        <f t="shared" si="442"/>
        <v>0</v>
      </c>
      <c r="CN83" s="37">
        <f t="shared" si="476"/>
        <v>96</v>
      </c>
      <c r="CO83" s="30">
        <f t="shared" si="443"/>
        <v>14</v>
      </c>
      <c r="CP83" s="150">
        <v>20</v>
      </c>
      <c r="CQ83" s="284"/>
      <c r="CR83" s="1">
        <v>3</v>
      </c>
      <c r="CS83">
        <f t="shared" si="444"/>
        <v>0</v>
      </c>
      <c r="CT83" s="37">
        <f t="shared" si="477"/>
        <v>96</v>
      </c>
      <c r="CU83" s="30">
        <f t="shared" si="445"/>
        <v>14</v>
      </c>
      <c r="CV83" s="150"/>
      <c r="CW83" s="284"/>
      <c r="CX83" s="1">
        <v>3</v>
      </c>
      <c r="CY83">
        <f t="shared" si="446"/>
        <v>0</v>
      </c>
      <c r="CZ83" s="37">
        <f t="shared" si="478"/>
        <v>96</v>
      </c>
      <c r="DA83" s="30">
        <f t="shared" si="447"/>
        <v>14</v>
      </c>
      <c r="DB83" s="150"/>
      <c r="DC83" s="287"/>
      <c r="DD83" s="201"/>
      <c r="DE83" s="294"/>
      <c r="DF83" s="1">
        <v>3</v>
      </c>
      <c r="DG83">
        <f t="shared" si="448"/>
        <v>0</v>
      </c>
      <c r="DH83" s="37">
        <f t="shared" si="479"/>
        <v>96</v>
      </c>
      <c r="DI83" s="30">
        <f t="shared" si="449"/>
        <v>14</v>
      </c>
      <c r="DJ83" s="150"/>
      <c r="DK83" s="284"/>
      <c r="DL83" s="1">
        <v>3</v>
      </c>
      <c r="DM83">
        <f t="shared" si="450"/>
        <v>0</v>
      </c>
      <c r="DN83" s="37">
        <f t="shared" si="480"/>
        <v>96</v>
      </c>
      <c r="DO83" s="30">
        <f t="shared" si="451"/>
        <v>14</v>
      </c>
      <c r="DP83" s="150"/>
      <c r="DQ83" s="284"/>
      <c r="DR83" s="1">
        <v>3</v>
      </c>
      <c r="DS83">
        <f t="shared" si="452"/>
        <v>0</v>
      </c>
      <c r="DT83" s="37">
        <f t="shared" si="481"/>
        <v>96</v>
      </c>
      <c r="DU83" s="30">
        <f t="shared" si="453"/>
        <v>14</v>
      </c>
      <c r="DV83" s="150"/>
      <c r="DW83" s="287"/>
      <c r="DX83" s="201"/>
      <c r="DY83" s="294"/>
      <c r="DZ83" s="1">
        <v>3</v>
      </c>
      <c r="EA83">
        <f t="shared" si="454"/>
        <v>0</v>
      </c>
      <c r="EB83" s="37">
        <f t="shared" si="482"/>
        <v>96</v>
      </c>
      <c r="EC83" s="30">
        <f t="shared" si="455"/>
        <v>14</v>
      </c>
      <c r="ED83" s="150"/>
      <c r="EE83" s="284"/>
      <c r="EF83" s="1">
        <v>3</v>
      </c>
      <c r="EG83">
        <f t="shared" si="456"/>
        <v>0</v>
      </c>
      <c r="EH83" s="37">
        <f t="shared" si="483"/>
        <v>96</v>
      </c>
      <c r="EI83" s="30">
        <f t="shared" si="457"/>
        <v>14</v>
      </c>
      <c r="EJ83" s="150">
        <v>14</v>
      </c>
      <c r="EK83" s="284"/>
      <c r="EL83" s="1">
        <v>3</v>
      </c>
      <c r="EM83">
        <f t="shared" si="458"/>
        <v>0</v>
      </c>
      <c r="EN83" s="37">
        <f t="shared" si="484"/>
        <v>96</v>
      </c>
      <c r="EO83" s="30">
        <f t="shared" si="459"/>
        <v>14</v>
      </c>
      <c r="EP83" s="150"/>
      <c r="EQ83" s="284"/>
      <c r="ER83" s="1">
        <v>3</v>
      </c>
      <c r="ES83">
        <f t="shared" si="460"/>
        <v>0</v>
      </c>
      <c r="ET83" s="37">
        <f t="shared" si="485"/>
        <v>96</v>
      </c>
      <c r="EU83" s="30">
        <f t="shared" si="461"/>
        <v>14</v>
      </c>
      <c r="EV83" s="150"/>
      <c r="EW83" s="287"/>
      <c r="EX83" s="201"/>
    </row>
    <row r="84" spans="1:154" x14ac:dyDescent="0.45">
      <c r="A84" s="294"/>
      <c r="B84" s="1">
        <v>4</v>
      </c>
      <c r="C84">
        <f t="shared" si="462"/>
        <v>0</v>
      </c>
      <c r="D84" s="37">
        <f t="shared" si="463"/>
        <v>96</v>
      </c>
      <c r="E84" s="30">
        <f t="shared" si="417"/>
        <v>10</v>
      </c>
      <c r="F84" s="150"/>
      <c r="G84" s="287"/>
      <c r="H84" s="201"/>
      <c r="I84" s="294"/>
      <c r="J84" s="1">
        <v>4</v>
      </c>
      <c r="K84">
        <f t="shared" si="418"/>
        <v>0</v>
      </c>
      <c r="L84" s="37">
        <f t="shared" si="464"/>
        <v>96</v>
      </c>
      <c r="M84" s="30">
        <f t="shared" si="419"/>
        <v>10</v>
      </c>
      <c r="N84" s="150"/>
      <c r="O84" s="284"/>
      <c r="P84" s="1">
        <v>4</v>
      </c>
      <c r="Q84">
        <f t="shared" si="420"/>
        <v>0</v>
      </c>
      <c r="R84" s="37">
        <f t="shared" si="465"/>
        <v>96</v>
      </c>
      <c r="S84" s="30">
        <f t="shared" si="421"/>
        <v>10</v>
      </c>
      <c r="T84" s="150"/>
      <c r="U84" s="287"/>
      <c r="V84" s="201"/>
      <c r="W84" s="294"/>
      <c r="X84" s="1">
        <v>4</v>
      </c>
      <c r="Y84">
        <f t="shared" si="422"/>
        <v>0</v>
      </c>
      <c r="Z84" s="37">
        <f t="shared" si="466"/>
        <v>96</v>
      </c>
      <c r="AA84" s="30">
        <f t="shared" si="423"/>
        <v>10</v>
      </c>
      <c r="AB84" s="150"/>
      <c r="AC84" s="284"/>
      <c r="AD84" s="1">
        <v>4</v>
      </c>
      <c r="AE84">
        <f t="shared" si="424"/>
        <v>0</v>
      </c>
      <c r="AF84" s="37">
        <f t="shared" si="467"/>
        <v>96</v>
      </c>
      <c r="AG84" s="30">
        <f t="shared" si="425"/>
        <v>10</v>
      </c>
      <c r="AH84" s="150"/>
      <c r="AI84" s="284"/>
      <c r="AJ84" s="1">
        <v>4</v>
      </c>
      <c r="AK84">
        <f t="shared" si="426"/>
        <v>0</v>
      </c>
      <c r="AL84" s="37">
        <f t="shared" si="468"/>
        <v>96</v>
      </c>
      <c r="AM84" s="30">
        <f t="shared" si="427"/>
        <v>10</v>
      </c>
      <c r="AN84" s="150"/>
      <c r="AO84" s="287"/>
      <c r="AP84" s="201"/>
      <c r="AQ84" s="294"/>
      <c r="AR84" s="1">
        <v>4</v>
      </c>
      <c r="AS84">
        <f t="shared" si="428"/>
        <v>0</v>
      </c>
      <c r="AT84" s="37">
        <f t="shared" si="469"/>
        <v>96</v>
      </c>
      <c r="AU84" s="30">
        <f t="shared" si="429"/>
        <v>10</v>
      </c>
      <c r="AV84" s="150"/>
      <c r="AW84" s="284"/>
      <c r="AX84" s="1">
        <v>4</v>
      </c>
      <c r="AY84">
        <f t="shared" si="430"/>
        <v>0</v>
      </c>
      <c r="AZ84" s="37">
        <f t="shared" si="470"/>
        <v>96</v>
      </c>
      <c r="BA84" s="30">
        <f t="shared" si="431"/>
        <v>10</v>
      </c>
      <c r="BB84" s="150"/>
      <c r="BC84" s="287"/>
      <c r="BD84" s="201"/>
      <c r="BE84" s="294"/>
      <c r="BF84" s="1">
        <v>4</v>
      </c>
      <c r="BG84">
        <f t="shared" si="432"/>
        <v>0</v>
      </c>
      <c r="BH84" s="37">
        <f t="shared" si="471"/>
        <v>96</v>
      </c>
      <c r="BI84" s="30">
        <f t="shared" si="433"/>
        <v>10</v>
      </c>
      <c r="BJ84" s="150"/>
      <c r="BK84" s="284"/>
      <c r="BL84" s="1">
        <v>4</v>
      </c>
      <c r="BM84">
        <f t="shared" si="434"/>
        <v>0</v>
      </c>
      <c r="BN84" s="37">
        <f t="shared" si="472"/>
        <v>96</v>
      </c>
      <c r="BO84" s="30">
        <f t="shared" si="435"/>
        <v>10</v>
      </c>
      <c r="BP84" s="150"/>
      <c r="BQ84" s="284"/>
      <c r="BR84" s="1">
        <v>4</v>
      </c>
      <c r="BS84">
        <f t="shared" si="436"/>
        <v>0</v>
      </c>
      <c r="BT84" s="37">
        <f t="shared" si="473"/>
        <v>96</v>
      </c>
      <c r="BU84" s="30">
        <f t="shared" si="437"/>
        <v>10</v>
      </c>
      <c r="BV84" s="150"/>
      <c r="BW84" s="284"/>
      <c r="BX84" s="1">
        <v>4</v>
      </c>
      <c r="BY84">
        <f t="shared" si="438"/>
        <v>0</v>
      </c>
      <c r="BZ84" s="37">
        <f t="shared" si="474"/>
        <v>96</v>
      </c>
      <c r="CA84" s="30">
        <f t="shared" si="439"/>
        <v>10</v>
      </c>
      <c r="CB84" s="150"/>
      <c r="CC84" s="287"/>
      <c r="CD84" s="201"/>
      <c r="CE84" s="294"/>
      <c r="CF84" s="1">
        <v>4</v>
      </c>
      <c r="CG84">
        <f t="shared" si="440"/>
        <v>0</v>
      </c>
      <c r="CH84" s="37">
        <f t="shared" si="475"/>
        <v>96</v>
      </c>
      <c r="CI84" s="30">
        <f t="shared" si="441"/>
        <v>10</v>
      </c>
      <c r="CJ84" s="150"/>
      <c r="CK84" s="284"/>
      <c r="CL84" s="1">
        <v>4</v>
      </c>
      <c r="CM84">
        <f t="shared" si="442"/>
        <v>0</v>
      </c>
      <c r="CN84" s="37">
        <f t="shared" si="476"/>
        <v>96</v>
      </c>
      <c r="CO84" s="30">
        <f t="shared" si="443"/>
        <v>10</v>
      </c>
      <c r="CP84" s="150"/>
      <c r="CQ84" s="284"/>
      <c r="CR84" s="1">
        <v>4</v>
      </c>
      <c r="CS84">
        <f t="shared" si="444"/>
        <v>0</v>
      </c>
      <c r="CT84" s="37">
        <f t="shared" si="477"/>
        <v>96</v>
      </c>
      <c r="CU84" s="30">
        <f t="shared" si="445"/>
        <v>10</v>
      </c>
      <c r="CV84" s="150"/>
      <c r="CW84" s="284"/>
      <c r="CX84" s="1">
        <v>4</v>
      </c>
      <c r="CY84">
        <f t="shared" si="446"/>
        <v>0</v>
      </c>
      <c r="CZ84" s="37">
        <f t="shared" si="478"/>
        <v>96</v>
      </c>
      <c r="DA84" s="30">
        <f t="shared" si="447"/>
        <v>10</v>
      </c>
      <c r="DB84" s="150"/>
      <c r="DC84" s="287"/>
      <c r="DD84" s="201"/>
      <c r="DE84" s="294"/>
      <c r="DF84" s="1">
        <v>4</v>
      </c>
      <c r="DG84">
        <f t="shared" si="448"/>
        <v>0</v>
      </c>
      <c r="DH84" s="37">
        <f t="shared" si="479"/>
        <v>96</v>
      </c>
      <c r="DI84" s="30">
        <f t="shared" si="449"/>
        <v>10</v>
      </c>
      <c r="DJ84" s="150"/>
      <c r="DK84" s="284"/>
      <c r="DL84" s="1">
        <v>4</v>
      </c>
      <c r="DM84">
        <f t="shared" si="450"/>
        <v>0</v>
      </c>
      <c r="DN84" s="37">
        <f t="shared" si="480"/>
        <v>96</v>
      </c>
      <c r="DO84" s="30">
        <f t="shared" si="451"/>
        <v>10</v>
      </c>
      <c r="DP84" s="150"/>
      <c r="DQ84" s="284"/>
      <c r="DR84" s="1">
        <v>4</v>
      </c>
      <c r="DS84">
        <f t="shared" si="452"/>
        <v>0</v>
      </c>
      <c r="DT84" s="37">
        <f t="shared" si="481"/>
        <v>96</v>
      </c>
      <c r="DU84" s="30">
        <f t="shared" si="453"/>
        <v>10</v>
      </c>
      <c r="DV84" s="150"/>
      <c r="DW84" s="287"/>
      <c r="DX84" s="201"/>
      <c r="DY84" s="294"/>
      <c r="DZ84" s="1">
        <v>4</v>
      </c>
      <c r="EA84">
        <f t="shared" si="454"/>
        <v>0</v>
      </c>
      <c r="EB84" s="37">
        <f t="shared" si="482"/>
        <v>96</v>
      </c>
      <c r="EC84" s="30">
        <f t="shared" si="455"/>
        <v>10</v>
      </c>
      <c r="ED84" s="150"/>
      <c r="EE84" s="284"/>
      <c r="EF84" s="1">
        <v>4</v>
      </c>
      <c r="EG84">
        <f t="shared" si="456"/>
        <v>0</v>
      </c>
      <c r="EH84" s="37">
        <f t="shared" si="483"/>
        <v>96</v>
      </c>
      <c r="EI84" s="30">
        <f t="shared" si="457"/>
        <v>10</v>
      </c>
      <c r="EJ84" s="150"/>
      <c r="EK84" s="284"/>
      <c r="EL84" s="1">
        <v>4</v>
      </c>
      <c r="EM84">
        <f t="shared" si="458"/>
        <v>0</v>
      </c>
      <c r="EN84" s="37">
        <f t="shared" si="484"/>
        <v>96</v>
      </c>
      <c r="EO84" s="30">
        <f t="shared" si="459"/>
        <v>10</v>
      </c>
      <c r="EP84" s="150"/>
      <c r="EQ84" s="284"/>
      <c r="ER84" s="1">
        <v>4</v>
      </c>
      <c r="ES84">
        <f t="shared" si="460"/>
        <v>0</v>
      </c>
      <c r="ET84" s="37">
        <f t="shared" si="485"/>
        <v>96</v>
      </c>
      <c r="EU84" s="30">
        <f t="shared" si="461"/>
        <v>10</v>
      </c>
      <c r="EV84" s="150"/>
      <c r="EW84" s="287"/>
      <c r="EX84" s="201"/>
    </row>
    <row r="85" spans="1:154" x14ac:dyDescent="0.45">
      <c r="A85" s="294"/>
      <c r="B85" s="1">
        <v>5</v>
      </c>
      <c r="C85">
        <f t="shared" si="462"/>
        <v>0</v>
      </c>
      <c r="D85" s="37">
        <f t="shared" si="463"/>
        <v>96</v>
      </c>
      <c r="E85" s="30">
        <f t="shared" si="417"/>
        <v>20</v>
      </c>
      <c r="F85" s="150"/>
      <c r="G85" s="287"/>
      <c r="H85" s="201"/>
      <c r="I85" s="294"/>
      <c r="J85" s="1">
        <v>5</v>
      </c>
      <c r="K85">
        <f t="shared" si="418"/>
        <v>0</v>
      </c>
      <c r="L85" s="37">
        <f t="shared" si="464"/>
        <v>96</v>
      </c>
      <c r="M85" s="30">
        <f t="shared" si="419"/>
        <v>20</v>
      </c>
      <c r="N85" s="150"/>
      <c r="O85" s="284"/>
      <c r="P85" s="1">
        <v>5</v>
      </c>
      <c r="Q85">
        <f t="shared" si="420"/>
        <v>0</v>
      </c>
      <c r="R85" s="37">
        <f t="shared" si="465"/>
        <v>96</v>
      </c>
      <c r="S85" s="30">
        <f t="shared" si="421"/>
        <v>20</v>
      </c>
      <c r="T85" s="150"/>
      <c r="U85" s="287"/>
      <c r="V85" s="201"/>
      <c r="W85" s="294"/>
      <c r="X85" s="1">
        <v>5</v>
      </c>
      <c r="Y85">
        <f t="shared" si="422"/>
        <v>0</v>
      </c>
      <c r="Z85" s="37">
        <f t="shared" si="466"/>
        <v>96</v>
      </c>
      <c r="AA85" s="30">
        <f t="shared" si="423"/>
        <v>20</v>
      </c>
      <c r="AB85" s="150"/>
      <c r="AC85" s="284"/>
      <c r="AD85" s="1">
        <v>5</v>
      </c>
      <c r="AE85">
        <f t="shared" si="424"/>
        <v>0</v>
      </c>
      <c r="AF85" s="37">
        <f t="shared" si="467"/>
        <v>96</v>
      </c>
      <c r="AG85" s="30">
        <f t="shared" si="425"/>
        <v>20</v>
      </c>
      <c r="AH85" s="150"/>
      <c r="AI85" s="284"/>
      <c r="AJ85" s="1">
        <v>5</v>
      </c>
      <c r="AK85">
        <f t="shared" si="426"/>
        <v>0</v>
      </c>
      <c r="AL85" s="37">
        <f t="shared" si="468"/>
        <v>96</v>
      </c>
      <c r="AM85" s="30">
        <f t="shared" si="427"/>
        <v>20</v>
      </c>
      <c r="AN85" s="150"/>
      <c r="AO85" s="287"/>
      <c r="AP85" s="201"/>
      <c r="AQ85" s="294"/>
      <c r="AR85" s="1">
        <v>5</v>
      </c>
      <c r="AS85">
        <f t="shared" si="428"/>
        <v>0</v>
      </c>
      <c r="AT85" s="37">
        <f t="shared" si="469"/>
        <v>96</v>
      </c>
      <c r="AU85" s="30">
        <f t="shared" si="429"/>
        <v>20</v>
      </c>
      <c r="AV85" s="150"/>
      <c r="AW85" s="284"/>
      <c r="AX85" s="1">
        <v>5</v>
      </c>
      <c r="AY85">
        <f t="shared" si="430"/>
        <v>0</v>
      </c>
      <c r="AZ85" s="37">
        <f t="shared" si="470"/>
        <v>96</v>
      </c>
      <c r="BA85" s="30">
        <f t="shared" si="431"/>
        <v>20</v>
      </c>
      <c r="BB85" s="150"/>
      <c r="BC85" s="287"/>
      <c r="BD85" s="201"/>
      <c r="BE85" s="294"/>
      <c r="BF85" s="1">
        <v>5</v>
      </c>
      <c r="BG85">
        <f t="shared" si="432"/>
        <v>0</v>
      </c>
      <c r="BH85" s="37">
        <f t="shared" si="471"/>
        <v>96</v>
      </c>
      <c r="BI85" s="30">
        <f t="shared" si="433"/>
        <v>20</v>
      </c>
      <c r="BJ85" s="150"/>
      <c r="BK85" s="284"/>
      <c r="BL85" s="1">
        <v>5</v>
      </c>
      <c r="BM85">
        <f t="shared" si="434"/>
        <v>0</v>
      </c>
      <c r="BN85" s="37">
        <f t="shared" si="472"/>
        <v>96</v>
      </c>
      <c r="BO85" s="30">
        <f t="shared" si="435"/>
        <v>20</v>
      </c>
      <c r="BP85" s="150"/>
      <c r="BQ85" s="284"/>
      <c r="BR85" s="1">
        <v>5</v>
      </c>
      <c r="BS85">
        <f t="shared" si="436"/>
        <v>0</v>
      </c>
      <c r="BT85" s="37">
        <f t="shared" si="473"/>
        <v>96</v>
      </c>
      <c r="BU85" s="30">
        <f t="shared" si="437"/>
        <v>20</v>
      </c>
      <c r="BV85" s="150"/>
      <c r="BW85" s="284"/>
      <c r="BX85" s="1">
        <v>5</v>
      </c>
      <c r="BY85">
        <f t="shared" si="438"/>
        <v>0</v>
      </c>
      <c r="BZ85" s="37">
        <f t="shared" si="474"/>
        <v>96</v>
      </c>
      <c r="CA85" s="30">
        <f t="shared" si="439"/>
        <v>20</v>
      </c>
      <c r="CB85" s="150"/>
      <c r="CC85" s="287"/>
      <c r="CD85" s="201"/>
      <c r="CE85" s="294"/>
      <c r="CF85" s="1">
        <v>5</v>
      </c>
      <c r="CG85">
        <f t="shared" si="440"/>
        <v>0</v>
      </c>
      <c r="CH85" s="37">
        <f t="shared" si="475"/>
        <v>96</v>
      </c>
      <c r="CI85" s="30">
        <f t="shared" si="441"/>
        <v>20</v>
      </c>
      <c r="CJ85" s="150"/>
      <c r="CK85" s="284"/>
      <c r="CL85" s="1">
        <v>5</v>
      </c>
      <c r="CM85">
        <f t="shared" si="442"/>
        <v>0</v>
      </c>
      <c r="CN85" s="37">
        <f t="shared" si="476"/>
        <v>96</v>
      </c>
      <c r="CO85" s="30">
        <f t="shared" si="443"/>
        <v>20</v>
      </c>
      <c r="CP85" s="150"/>
      <c r="CQ85" s="284"/>
      <c r="CR85" s="1">
        <v>5</v>
      </c>
      <c r="CS85">
        <f t="shared" si="444"/>
        <v>0</v>
      </c>
      <c r="CT85" s="37">
        <f t="shared" si="477"/>
        <v>96</v>
      </c>
      <c r="CU85" s="30">
        <f t="shared" si="445"/>
        <v>20</v>
      </c>
      <c r="CV85" s="150"/>
      <c r="CW85" s="284"/>
      <c r="CX85" s="1">
        <v>5</v>
      </c>
      <c r="CY85">
        <f t="shared" si="446"/>
        <v>0</v>
      </c>
      <c r="CZ85" s="37">
        <f t="shared" si="478"/>
        <v>96</v>
      </c>
      <c r="DA85" s="30">
        <f t="shared" si="447"/>
        <v>20</v>
      </c>
      <c r="DB85" s="150"/>
      <c r="DC85" s="287"/>
      <c r="DD85" s="201"/>
      <c r="DE85" s="294"/>
      <c r="DF85" s="1">
        <v>5</v>
      </c>
      <c r="DG85">
        <f t="shared" si="448"/>
        <v>0</v>
      </c>
      <c r="DH85" s="37">
        <f t="shared" si="479"/>
        <v>96</v>
      </c>
      <c r="DI85" s="30">
        <f t="shared" si="449"/>
        <v>20</v>
      </c>
      <c r="DJ85" s="150"/>
      <c r="DK85" s="284"/>
      <c r="DL85" s="1">
        <v>5</v>
      </c>
      <c r="DM85">
        <f t="shared" si="450"/>
        <v>0</v>
      </c>
      <c r="DN85" s="37">
        <f t="shared" si="480"/>
        <v>96</v>
      </c>
      <c r="DO85" s="30">
        <f t="shared" si="451"/>
        <v>20</v>
      </c>
      <c r="DP85" s="150"/>
      <c r="DQ85" s="284"/>
      <c r="DR85" s="1">
        <v>5</v>
      </c>
      <c r="DS85">
        <f t="shared" si="452"/>
        <v>0</v>
      </c>
      <c r="DT85" s="37">
        <f t="shared" si="481"/>
        <v>96</v>
      </c>
      <c r="DU85" s="30">
        <f t="shared" si="453"/>
        <v>20</v>
      </c>
      <c r="DV85" s="150"/>
      <c r="DW85" s="287"/>
      <c r="DX85" s="201"/>
      <c r="DY85" s="294"/>
      <c r="DZ85" s="1">
        <v>5</v>
      </c>
      <c r="EA85">
        <f t="shared" si="454"/>
        <v>0</v>
      </c>
      <c r="EB85" s="37">
        <f t="shared" si="482"/>
        <v>96</v>
      </c>
      <c r="EC85" s="30">
        <f t="shared" si="455"/>
        <v>20</v>
      </c>
      <c r="ED85" s="150"/>
      <c r="EE85" s="284"/>
      <c r="EF85" s="1">
        <v>5</v>
      </c>
      <c r="EG85">
        <f t="shared" si="456"/>
        <v>0</v>
      </c>
      <c r="EH85" s="37">
        <f t="shared" si="483"/>
        <v>96</v>
      </c>
      <c r="EI85" s="30">
        <f t="shared" si="457"/>
        <v>20</v>
      </c>
      <c r="EJ85" s="150"/>
      <c r="EK85" s="284"/>
      <c r="EL85" s="1">
        <v>5</v>
      </c>
      <c r="EM85">
        <f t="shared" si="458"/>
        <v>0</v>
      </c>
      <c r="EN85" s="37">
        <f t="shared" si="484"/>
        <v>96</v>
      </c>
      <c r="EO85" s="30">
        <f t="shared" si="459"/>
        <v>20</v>
      </c>
      <c r="EP85" s="150"/>
      <c r="EQ85" s="284"/>
      <c r="ER85" s="1">
        <v>5</v>
      </c>
      <c r="ES85">
        <f t="shared" si="460"/>
        <v>0</v>
      </c>
      <c r="ET85" s="37">
        <f t="shared" si="485"/>
        <v>96</v>
      </c>
      <c r="EU85" s="30">
        <f t="shared" si="461"/>
        <v>20</v>
      </c>
      <c r="EV85" s="150"/>
      <c r="EW85" s="287"/>
      <c r="EX85" s="201"/>
    </row>
    <row r="86" spans="1:154" x14ac:dyDescent="0.45">
      <c r="A86" s="294"/>
      <c r="B86" s="1">
        <v>6</v>
      </c>
      <c r="C86">
        <f t="shared" si="462"/>
        <v>0</v>
      </c>
      <c r="D86" s="37">
        <f t="shared" si="463"/>
        <v>96</v>
      </c>
      <c r="E86" s="30">
        <f t="shared" si="417"/>
        <v>16</v>
      </c>
      <c r="F86" s="150"/>
      <c r="G86" s="287"/>
      <c r="H86" s="201"/>
      <c r="I86" s="294"/>
      <c r="J86" s="1">
        <v>6</v>
      </c>
      <c r="K86">
        <f t="shared" si="418"/>
        <v>0</v>
      </c>
      <c r="L86" s="37">
        <f t="shared" si="464"/>
        <v>96</v>
      </c>
      <c r="M86" s="30">
        <f t="shared" si="419"/>
        <v>16</v>
      </c>
      <c r="N86" s="150"/>
      <c r="O86" s="284"/>
      <c r="P86" s="1">
        <v>6</v>
      </c>
      <c r="Q86">
        <f t="shared" si="420"/>
        <v>0</v>
      </c>
      <c r="R86" s="37">
        <f t="shared" si="465"/>
        <v>96</v>
      </c>
      <c r="S86" s="30">
        <f t="shared" si="421"/>
        <v>16</v>
      </c>
      <c r="T86" s="150"/>
      <c r="U86" s="287"/>
      <c r="V86" s="201"/>
      <c r="W86" s="294"/>
      <c r="X86" s="1">
        <v>6</v>
      </c>
      <c r="Y86">
        <f t="shared" si="422"/>
        <v>0</v>
      </c>
      <c r="Z86" s="37">
        <f t="shared" si="466"/>
        <v>96</v>
      </c>
      <c r="AA86" s="30">
        <f t="shared" si="423"/>
        <v>16</v>
      </c>
      <c r="AB86" s="150"/>
      <c r="AC86" s="284"/>
      <c r="AD86" s="1">
        <v>6</v>
      </c>
      <c r="AE86">
        <f t="shared" si="424"/>
        <v>0</v>
      </c>
      <c r="AF86" s="37">
        <f t="shared" si="467"/>
        <v>96</v>
      </c>
      <c r="AG86" s="30">
        <f t="shared" si="425"/>
        <v>16</v>
      </c>
      <c r="AH86" s="150"/>
      <c r="AI86" s="284"/>
      <c r="AJ86" s="1">
        <v>6</v>
      </c>
      <c r="AK86">
        <f t="shared" si="426"/>
        <v>0</v>
      </c>
      <c r="AL86" s="37">
        <f t="shared" si="468"/>
        <v>96</v>
      </c>
      <c r="AM86" s="30">
        <f t="shared" si="427"/>
        <v>16</v>
      </c>
      <c r="AN86" s="150"/>
      <c r="AO86" s="287"/>
      <c r="AP86" s="201"/>
      <c r="AQ86" s="294"/>
      <c r="AR86" s="1">
        <v>6</v>
      </c>
      <c r="AS86">
        <f t="shared" si="428"/>
        <v>0</v>
      </c>
      <c r="AT86" s="37">
        <f t="shared" si="469"/>
        <v>96</v>
      </c>
      <c r="AU86" s="30">
        <f t="shared" si="429"/>
        <v>16</v>
      </c>
      <c r="AV86" s="150"/>
      <c r="AW86" s="284"/>
      <c r="AX86" s="1">
        <v>6</v>
      </c>
      <c r="AY86">
        <f t="shared" si="430"/>
        <v>0</v>
      </c>
      <c r="AZ86" s="37">
        <f t="shared" si="470"/>
        <v>96</v>
      </c>
      <c r="BA86" s="30">
        <f t="shared" si="431"/>
        <v>16</v>
      </c>
      <c r="BB86" s="150"/>
      <c r="BC86" s="287"/>
      <c r="BD86" s="201"/>
      <c r="BE86" s="294"/>
      <c r="BF86" s="1">
        <v>6</v>
      </c>
      <c r="BG86">
        <f t="shared" si="432"/>
        <v>0</v>
      </c>
      <c r="BH86" s="37">
        <f t="shared" si="471"/>
        <v>96</v>
      </c>
      <c r="BI86" s="30">
        <f t="shared" si="433"/>
        <v>16</v>
      </c>
      <c r="BJ86" s="150"/>
      <c r="BK86" s="284"/>
      <c r="BL86" s="1">
        <v>6</v>
      </c>
      <c r="BM86">
        <f t="shared" si="434"/>
        <v>0</v>
      </c>
      <c r="BN86" s="37">
        <f t="shared" si="472"/>
        <v>96</v>
      </c>
      <c r="BO86" s="30">
        <f t="shared" si="435"/>
        <v>16</v>
      </c>
      <c r="BP86" s="150"/>
      <c r="BQ86" s="284"/>
      <c r="BR86" s="1">
        <v>6</v>
      </c>
      <c r="BS86">
        <f t="shared" si="436"/>
        <v>0</v>
      </c>
      <c r="BT86" s="37">
        <f t="shared" si="473"/>
        <v>96</v>
      </c>
      <c r="BU86" s="30">
        <f t="shared" si="437"/>
        <v>16</v>
      </c>
      <c r="BV86" s="150"/>
      <c r="BW86" s="284"/>
      <c r="BX86" s="1">
        <v>6</v>
      </c>
      <c r="BY86">
        <f t="shared" si="438"/>
        <v>0</v>
      </c>
      <c r="BZ86" s="37">
        <f t="shared" si="474"/>
        <v>96</v>
      </c>
      <c r="CA86" s="30">
        <f t="shared" si="439"/>
        <v>16</v>
      </c>
      <c r="CB86" s="150"/>
      <c r="CC86" s="287"/>
      <c r="CD86" s="201"/>
      <c r="CE86" s="294"/>
      <c r="CF86" s="1">
        <v>6</v>
      </c>
      <c r="CG86">
        <f t="shared" si="440"/>
        <v>0</v>
      </c>
      <c r="CH86" s="37">
        <f t="shared" si="475"/>
        <v>96</v>
      </c>
      <c r="CI86" s="30">
        <f t="shared" si="441"/>
        <v>16</v>
      </c>
      <c r="CJ86" s="150"/>
      <c r="CK86" s="284"/>
      <c r="CL86" s="1">
        <v>6</v>
      </c>
      <c r="CM86">
        <f t="shared" si="442"/>
        <v>0</v>
      </c>
      <c r="CN86" s="37">
        <f t="shared" si="476"/>
        <v>96</v>
      </c>
      <c r="CO86" s="30">
        <f t="shared" si="443"/>
        <v>16</v>
      </c>
      <c r="CP86" s="150"/>
      <c r="CQ86" s="284"/>
      <c r="CR86" s="1">
        <v>6</v>
      </c>
      <c r="CS86">
        <f t="shared" si="444"/>
        <v>0</v>
      </c>
      <c r="CT86" s="37">
        <f t="shared" si="477"/>
        <v>96</v>
      </c>
      <c r="CU86" s="30">
        <f t="shared" si="445"/>
        <v>16</v>
      </c>
      <c r="CV86" s="150"/>
      <c r="CW86" s="284"/>
      <c r="CX86" s="1">
        <v>6</v>
      </c>
      <c r="CY86">
        <f t="shared" si="446"/>
        <v>0</v>
      </c>
      <c r="CZ86" s="37">
        <f t="shared" si="478"/>
        <v>96</v>
      </c>
      <c r="DA86" s="30">
        <f t="shared" si="447"/>
        <v>16</v>
      </c>
      <c r="DB86" s="150"/>
      <c r="DC86" s="287"/>
      <c r="DD86" s="201"/>
      <c r="DE86" s="294"/>
      <c r="DF86" s="1">
        <v>6</v>
      </c>
      <c r="DG86">
        <f t="shared" si="448"/>
        <v>0</v>
      </c>
      <c r="DH86" s="37">
        <f t="shared" si="479"/>
        <v>96</v>
      </c>
      <c r="DI86" s="30">
        <f t="shared" si="449"/>
        <v>16</v>
      </c>
      <c r="DJ86" s="150"/>
      <c r="DK86" s="284"/>
      <c r="DL86" s="1">
        <v>6</v>
      </c>
      <c r="DM86">
        <f t="shared" si="450"/>
        <v>0</v>
      </c>
      <c r="DN86" s="37">
        <f t="shared" si="480"/>
        <v>96</v>
      </c>
      <c r="DO86" s="30">
        <f t="shared" si="451"/>
        <v>16</v>
      </c>
      <c r="DP86" s="150"/>
      <c r="DQ86" s="284"/>
      <c r="DR86" s="1">
        <v>6</v>
      </c>
      <c r="DS86">
        <f t="shared" si="452"/>
        <v>0</v>
      </c>
      <c r="DT86" s="37">
        <f t="shared" si="481"/>
        <v>96</v>
      </c>
      <c r="DU86" s="30">
        <f t="shared" si="453"/>
        <v>16</v>
      </c>
      <c r="DV86" s="150"/>
      <c r="DW86" s="287"/>
      <c r="DX86" s="201"/>
      <c r="DY86" s="294"/>
      <c r="DZ86" s="1">
        <v>6</v>
      </c>
      <c r="EA86">
        <f t="shared" si="454"/>
        <v>0</v>
      </c>
      <c r="EB86" s="37">
        <f t="shared" si="482"/>
        <v>96</v>
      </c>
      <c r="EC86" s="30">
        <f t="shared" si="455"/>
        <v>16</v>
      </c>
      <c r="ED86" s="150"/>
      <c r="EE86" s="284"/>
      <c r="EF86" s="1">
        <v>6</v>
      </c>
      <c r="EG86">
        <f t="shared" si="456"/>
        <v>0</v>
      </c>
      <c r="EH86" s="37">
        <f t="shared" si="483"/>
        <v>96</v>
      </c>
      <c r="EI86" s="30">
        <f t="shared" si="457"/>
        <v>16</v>
      </c>
      <c r="EJ86" s="150"/>
      <c r="EK86" s="284"/>
      <c r="EL86" s="1">
        <v>6</v>
      </c>
      <c r="EM86">
        <f t="shared" si="458"/>
        <v>0</v>
      </c>
      <c r="EN86" s="37">
        <f t="shared" si="484"/>
        <v>96</v>
      </c>
      <c r="EO86" s="30">
        <f t="shared" si="459"/>
        <v>16</v>
      </c>
      <c r="EP86" s="150"/>
      <c r="EQ86" s="284"/>
      <c r="ER86" s="1">
        <v>6</v>
      </c>
      <c r="ES86">
        <f t="shared" si="460"/>
        <v>0</v>
      </c>
      <c r="ET86" s="37">
        <f t="shared" si="485"/>
        <v>96</v>
      </c>
      <c r="EU86" s="30">
        <f t="shared" si="461"/>
        <v>16</v>
      </c>
      <c r="EV86" s="150"/>
      <c r="EW86" s="287"/>
      <c r="EX86" s="201"/>
    </row>
    <row r="87" spans="1:154" s="181" customFormat="1" x14ac:dyDescent="0.45">
      <c r="A87" s="294"/>
      <c r="B87" s="1">
        <v>7</v>
      </c>
      <c r="C87" s="181">
        <f t="shared" si="462"/>
        <v>0</v>
      </c>
      <c r="D87" s="37">
        <f t="shared" si="463"/>
        <v>96</v>
      </c>
      <c r="E87" s="30">
        <f t="shared" si="417"/>
        <v>29</v>
      </c>
      <c r="F87" s="188">
        <v>13</v>
      </c>
      <c r="G87" s="287"/>
      <c r="H87" s="201"/>
      <c r="I87" s="294"/>
      <c r="J87" s="180">
        <v>7</v>
      </c>
      <c r="K87" s="181">
        <f t="shared" si="418"/>
        <v>1</v>
      </c>
      <c r="L87" s="37">
        <f t="shared" si="464"/>
        <v>104</v>
      </c>
      <c r="M87" s="30">
        <f t="shared" si="419"/>
        <v>5</v>
      </c>
      <c r="N87" s="188"/>
      <c r="O87" s="284"/>
      <c r="P87" s="180">
        <v>7</v>
      </c>
      <c r="Q87" s="181">
        <f t="shared" si="420"/>
        <v>1</v>
      </c>
      <c r="R87" s="37">
        <f t="shared" si="465"/>
        <v>104</v>
      </c>
      <c r="S87" s="30">
        <f t="shared" si="421"/>
        <v>5</v>
      </c>
      <c r="T87" s="188">
        <v>17</v>
      </c>
      <c r="U87" s="287"/>
      <c r="V87" s="201"/>
      <c r="W87" s="294"/>
      <c r="X87" s="180">
        <v>7</v>
      </c>
      <c r="Y87" s="181">
        <f t="shared" si="422"/>
        <v>2</v>
      </c>
      <c r="Z87" s="37">
        <f t="shared" si="466"/>
        <v>112</v>
      </c>
      <c r="AA87" s="30">
        <f t="shared" si="423"/>
        <v>13</v>
      </c>
      <c r="AB87" s="188"/>
      <c r="AC87" s="284"/>
      <c r="AD87" s="180">
        <v>7</v>
      </c>
      <c r="AE87" s="181">
        <f t="shared" si="424"/>
        <v>2</v>
      </c>
      <c r="AF87" s="37">
        <f t="shared" si="467"/>
        <v>112</v>
      </c>
      <c r="AG87" s="30">
        <f t="shared" si="425"/>
        <v>13</v>
      </c>
      <c r="AH87" s="188"/>
      <c r="AI87" s="284"/>
      <c r="AJ87" s="180">
        <v>7</v>
      </c>
      <c r="AK87" s="181">
        <f t="shared" si="426"/>
        <v>2</v>
      </c>
      <c r="AL87" s="37">
        <f t="shared" si="468"/>
        <v>112</v>
      </c>
      <c r="AM87" s="30">
        <f t="shared" si="427"/>
        <v>13</v>
      </c>
      <c r="AN87" s="188">
        <v>21</v>
      </c>
      <c r="AO87" s="287"/>
      <c r="AP87" s="201"/>
      <c r="AQ87" s="294"/>
      <c r="AR87" s="180">
        <v>7</v>
      </c>
      <c r="AS87" s="181">
        <f t="shared" si="428"/>
        <v>3</v>
      </c>
      <c r="AT87" s="37">
        <f t="shared" si="469"/>
        <v>120</v>
      </c>
      <c r="AU87" s="30">
        <f t="shared" si="429"/>
        <v>21</v>
      </c>
      <c r="AV87" s="188">
        <v>13</v>
      </c>
      <c r="AW87" s="284"/>
      <c r="AX87" s="180">
        <v>7</v>
      </c>
      <c r="AY87" s="181">
        <f t="shared" si="430"/>
        <v>4</v>
      </c>
      <c r="AZ87" s="37">
        <f t="shared" si="470"/>
        <v>128</v>
      </c>
      <c r="BA87" s="30">
        <f t="shared" si="431"/>
        <v>29</v>
      </c>
      <c r="BB87" s="188"/>
      <c r="BC87" s="287"/>
      <c r="BD87" s="201"/>
      <c r="BE87" s="294"/>
      <c r="BF87" s="180">
        <v>7</v>
      </c>
      <c r="BG87" s="181">
        <f t="shared" si="432"/>
        <v>4</v>
      </c>
      <c r="BH87" s="37">
        <f t="shared" si="471"/>
        <v>128</v>
      </c>
      <c r="BI87" s="30">
        <f t="shared" si="433"/>
        <v>29</v>
      </c>
      <c r="BJ87" s="188">
        <v>11</v>
      </c>
      <c r="BK87" s="284"/>
      <c r="BL87" s="180">
        <v>7</v>
      </c>
      <c r="BM87" s="181">
        <f t="shared" si="434"/>
        <v>5</v>
      </c>
      <c r="BN87" s="37">
        <f t="shared" si="472"/>
        <v>136</v>
      </c>
      <c r="BO87" s="30">
        <f t="shared" si="435"/>
        <v>5</v>
      </c>
      <c r="BP87" s="188"/>
      <c r="BQ87" s="284"/>
      <c r="BR87" s="180">
        <v>7</v>
      </c>
      <c r="BS87" s="181">
        <f t="shared" si="436"/>
        <v>5</v>
      </c>
      <c r="BT87" s="37">
        <f t="shared" si="473"/>
        <v>136</v>
      </c>
      <c r="BU87" s="30">
        <f t="shared" si="437"/>
        <v>5</v>
      </c>
      <c r="BV87" s="188">
        <v>27</v>
      </c>
      <c r="BW87" s="284"/>
      <c r="BX87" s="180">
        <v>7</v>
      </c>
      <c r="BY87" s="181">
        <f t="shared" si="438"/>
        <v>6</v>
      </c>
      <c r="BZ87" s="37">
        <f t="shared" si="474"/>
        <v>144</v>
      </c>
      <c r="CA87" s="30">
        <f t="shared" si="439"/>
        <v>13</v>
      </c>
      <c r="CB87" s="188"/>
      <c r="CC87" s="287"/>
      <c r="CD87" s="201"/>
      <c r="CE87" s="294"/>
      <c r="CF87" s="180">
        <v>7</v>
      </c>
      <c r="CG87" s="181">
        <f t="shared" si="440"/>
        <v>6</v>
      </c>
      <c r="CH87" s="37">
        <f t="shared" si="475"/>
        <v>144</v>
      </c>
      <c r="CI87" s="30">
        <f t="shared" si="441"/>
        <v>13</v>
      </c>
      <c r="CJ87" s="188"/>
      <c r="CK87" s="284"/>
      <c r="CL87" s="180">
        <v>7</v>
      </c>
      <c r="CM87" s="181">
        <f t="shared" si="442"/>
        <v>6</v>
      </c>
      <c r="CN87" s="37">
        <f t="shared" si="476"/>
        <v>144</v>
      </c>
      <c r="CO87" s="30">
        <f t="shared" si="443"/>
        <v>13</v>
      </c>
      <c r="CP87" s="188">
        <v>19</v>
      </c>
      <c r="CQ87" s="284"/>
      <c r="CR87" s="180">
        <v>7</v>
      </c>
      <c r="CS87" s="181">
        <f t="shared" si="444"/>
        <v>7</v>
      </c>
      <c r="CT87" s="37">
        <f t="shared" si="477"/>
        <v>152</v>
      </c>
      <c r="CU87" s="30">
        <f t="shared" si="445"/>
        <v>21</v>
      </c>
      <c r="CV87" s="188">
        <v>27</v>
      </c>
      <c r="CW87" s="284"/>
      <c r="CX87" s="180">
        <v>7</v>
      </c>
      <c r="CY87" s="181">
        <f t="shared" si="446"/>
        <v>8</v>
      </c>
      <c r="CZ87" s="37">
        <f t="shared" si="478"/>
        <v>160</v>
      </c>
      <c r="DA87" s="30">
        <f t="shared" si="447"/>
        <v>29</v>
      </c>
      <c r="DB87" s="188"/>
      <c r="DC87" s="287"/>
      <c r="DD87" s="201"/>
      <c r="DE87" s="294"/>
      <c r="DF87" s="180">
        <v>7</v>
      </c>
      <c r="DG87" s="181">
        <f t="shared" si="448"/>
        <v>8</v>
      </c>
      <c r="DH87" s="37">
        <f t="shared" si="479"/>
        <v>160</v>
      </c>
      <c r="DI87" s="30">
        <f t="shared" si="449"/>
        <v>29</v>
      </c>
      <c r="DJ87" s="188">
        <v>5</v>
      </c>
      <c r="DK87" s="284"/>
      <c r="DL87" s="180">
        <v>7</v>
      </c>
      <c r="DM87" s="181">
        <f t="shared" si="450"/>
        <v>9</v>
      </c>
      <c r="DN87" s="37">
        <f t="shared" si="480"/>
        <v>168</v>
      </c>
      <c r="DO87" s="30">
        <f t="shared" si="451"/>
        <v>5</v>
      </c>
      <c r="DP87" s="188"/>
      <c r="DQ87" s="284"/>
      <c r="DR87" s="180">
        <v>7</v>
      </c>
      <c r="DS87" s="181">
        <f t="shared" si="452"/>
        <v>9</v>
      </c>
      <c r="DT87" s="37">
        <f t="shared" si="481"/>
        <v>168</v>
      </c>
      <c r="DU87" s="30">
        <f t="shared" si="453"/>
        <v>5</v>
      </c>
      <c r="DV87" s="188"/>
      <c r="DW87" s="287"/>
      <c r="DX87" s="201"/>
      <c r="DY87" s="294"/>
      <c r="DZ87" s="180">
        <v>7</v>
      </c>
      <c r="EA87" s="181">
        <f t="shared" si="454"/>
        <v>9</v>
      </c>
      <c r="EB87" s="37">
        <f t="shared" si="482"/>
        <v>168</v>
      </c>
      <c r="EC87" s="30">
        <f t="shared" si="455"/>
        <v>5</v>
      </c>
      <c r="ED87" s="188">
        <v>7</v>
      </c>
      <c r="EE87" s="284"/>
      <c r="EF87" s="180">
        <v>7</v>
      </c>
      <c r="EG87" s="181">
        <f t="shared" si="456"/>
        <v>10</v>
      </c>
      <c r="EH87" s="37">
        <f t="shared" si="483"/>
        <v>176</v>
      </c>
      <c r="EI87" s="30">
        <f t="shared" si="457"/>
        <v>13</v>
      </c>
      <c r="EJ87" s="188">
        <v>13</v>
      </c>
      <c r="EK87" s="284"/>
      <c r="EL87" s="180">
        <v>7</v>
      </c>
      <c r="EM87" s="181">
        <f t="shared" si="458"/>
        <v>11</v>
      </c>
      <c r="EN87" s="37">
        <f t="shared" si="484"/>
        <v>184</v>
      </c>
      <c r="EO87" s="30">
        <f t="shared" si="459"/>
        <v>21</v>
      </c>
      <c r="EP87" s="188"/>
      <c r="EQ87" s="284"/>
      <c r="ER87" s="180">
        <v>7</v>
      </c>
      <c r="ES87" s="181">
        <f t="shared" si="460"/>
        <v>11</v>
      </c>
      <c r="ET87" s="37">
        <f t="shared" si="485"/>
        <v>184</v>
      </c>
      <c r="EU87" s="30">
        <f t="shared" si="461"/>
        <v>21</v>
      </c>
      <c r="EV87" s="188"/>
      <c r="EW87" s="287"/>
      <c r="EX87" s="201"/>
    </row>
    <row r="88" spans="1:154" ht="21.5" thickBot="1" x14ac:dyDescent="0.5">
      <c r="A88" s="296"/>
      <c r="B88" s="51">
        <v>8</v>
      </c>
      <c r="C88" s="53">
        <f t="shared" si="462"/>
        <v>0</v>
      </c>
      <c r="D88" s="37">
        <f t="shared" si="463"/>
        <v>96</v>
      </c>
      <c r="E88" s="30">
        <f t="shared" si="417"/>
        <v>25</v>
      </c>
      <c r="F88" s="151"/>
      <c r="G88" s="287"/>
      <c r="H88" s="201"/>
      <c r="I88" s="296"/>
      <c r="J88" s="51">
        <v>8</v>
      </c>
      <c r="K88">
        <f t="shared" si="418"/>
        <v>0</v>
      </c>
      <c r="L88" s="37">
        <f t="shared" si="464"/>
        <v>96</v>
      </c>
      <c r="M88" s="30">
        <f t="shared" si="419"/>
        <v>25</v>
      </c>
      <c r="N88" s="151"/>
      <c r="O88" s="285"/>
      <c r="P88" s="51">
        <v>8</v>
      </c>
      <c r="Q88">
        <f t="shared" si="420"/>
        <v>0</v>
      </c>
      <c r="R88" s="37">
        <f t="shared" si="465"/>
        <v>96</v>
      </c>
      <c r="S88" s="30">
        <f t="shared" si="421"/>
        <v>25</v>
      </c>
      <c r="T88" s="151"/>
      <c r="U88" s="287"/>
      <c r="V88" s="201"/>
      <c r="W88" s="296"/>
      <c r="X88" s="51">
        <v>8</v>
      </c>
      <c r="Y88">
        <f t="shared" si="422"/>
        <v>0</v>
      </c>
      <c r="Z88" s="37">
        <f t="shared" si="466"/>
        <v>96</v>
      </c>
      <c r="AA88" s="30">
        <f t="shared" si="423"/>
        <v>25</v>
      </c>
      <c r="AB88" s="151"/>
      <c r="AC88" s="285"/>
      <c r="AD88" s="51">
        <v>8</v>
      </c>
      <c r="AE88">
        <f t="shared" si="424"/>
        <v>0</v>
      </c>
      <c r="AF88" s="37">
        <f t="shared" si="467"/>
        <v>96</v>
      </c>
      <c r="AG88" s="30">
        <f t="shared" si="425"/>
        <v>25</v>
      </c>
      <c r="AH88" s="151"/>
      <c r="AI88" s="285"/>
      <c r="AJ88" s="51">
        <v>8</v>
      </c>
      <c r="AK88">
        <f t="shared" si="426"/>
        <v>0</v>
      </c>
      <c r="AL88" s="37">
        <f t="shared" si="468"/>
        <v>96</v>
      </c>
      <c r="AM88" s="30">
        <f t="shared" si="427"/>
        <v>25</v>
      </c>
      <c r="AN88" s="151"/>
      <c r="AO88" s="287"/>
      <c r="AP88" s="201"/>
      <c r="AQ88" s="296"/>
      <c r="AR88" s="51">
        <v>8</v>
      </c>
      <c r="AS88">
        <f t="shared" si="428"/>
        <v>0</v>
      </c>
      <c r="AT88" s="37">
        <f t="shared" si="469"/>
        <v>96</v>
      </c>
      <c r="AU88" s="30">
        <f t="shared" si="429"/>
        <v>25</v>
      </c>
      <c r="AV88" s="151">
        <v>14</v>
      </c>
      <c r="AW88" s="285"/>
      <c r="AX88" s="51">
        <v>8</v>
      </c>
      <c r="AY88">
        <f t="shared" si="430"/>
        <v>0</v>
      </c>
      <c r="AZ88" s="37">
        <f t="shared" si="470"/>
        <v>96</v>
      </c>
      <c r="BA88" s="30">
        <f t="shared" si="431"/>
        <v>25</v>
      </c>
      <c r="BB88" s="151"/>
      <c r="BC88" s="287"/>
      <c r="BD88" s="201"/>
      <c r="BE88" s="296"/>
      <c r="BF88" s="51">
        <v>8</v>
      </c>
      <c r="BG88">
        <f t="shared" si="432"/>
        <v>0</v>
      </c>
      <c r="BH88" s="37">
        <f t="shared" si="471"/>
        <v>96</v>
      </c>
      <c r="BI88" s="30">
        <f t="shared" si="433"/>
        <v>25</v>
      </c>
      <c r="BJ88" s="151"/>
      <c r="BK88" s="285"/>
      <c r="BL88" s="51">
        <v>8</v>
      </c>
      <c r="BM88">
        <f t="shared" si="434"/>
        <v>0</v>
      </c>
      <c r="BN88" s="37">
        <f t="shared" si="472"/>
        <v>96</v>
      </c>
      <c r="BO88" s="30">
        <f t="shared" si="435"/>
        <v>25</v>
      </c>
      <c r="BP88" s="151"/>
      <c r="BQ88" s="285"/>
      <c r="BR88" s="51">
        <v>8</v>
      </c>
      <c r="BS88">
        <f t="shared" si="436"/>
        <v>0</v>
      </c>
      <c r="BT88" s="37">
        <f t="shared" si="473"/>
        <v>96</v>
      </c>
      <c r="BU88" s="30">
        <f t="shared" si="437"/>
        <v>25</v>
      </c>
      <c r="BV88" s="151"/>
      <c r="BW88" s="285"/>
      <c r="BX88" s="51">
        <v>8</v>
      </c>
      <c r="BY88">
        <f t="shared" si="438"/>
        <v>0</v>
      </c>
      <c r="BZ88" s="37">
        <f t="shared" si="474"/>
        <v>96</v>
      </c>
      <c r="CA88" s="30">
        <f t="shared" si="439"/>
        <v>25</v>
      </c>
      <c r="CB88" s="151"/>
      <c r="CC88" s="287"/>
      <c r="CD88" s="201"/>
      <c r="CE88" s="296"/>
      <c r="CF88" s="51">
        <v>8</v>
      </c>
      <c r="CG88">
        <f t="shared" si="440"/>
        <v>0</v>
      </c>
      <c r="CH88" s="37">
        <f t="shared" si="475"/>
        <v>96</v>
      </c>
      <c r="CI88" s="30">
        <f t="shared" si="441"/>
        <v>25</v>
      </c>
      <c r="CJ88" s="151"/>
      <c r="CK88" s="285"/>
      <c r="CL88" s="51">
        <v>8</v>
      </c>
      <c r="CM88">
        <f t="shared" si="442"/>
        <v>0</v>
      </c>
      <c r="CN88" s="37">
        <f t="shared" si="476"/>
        <v>96</v>
      </c>
      <c r="CO88" s="30">
        <f t="shared" si="443"/>
        <v>25</v>
      </c>
      <c r="CP88" s="151"/>
      <c r="CQ88" s="285"/>
      <c r="CR88" s="51">
        <v>8</v>
      </c>
      <c r="CS88">
        <f t="shared" si="444"/>
        <v>0</v>
      </c>
      <c r="CT88" s="37">
        <f t="shared" si="477"/>
        <v>96</v>
      </c>
      <c r="CU88" s="30">
        <f t="shared" si="445"/>
        <v>25</v>
      </c>
      <c r="CV88" s="151">
        <v>28</v>
      </c>
      <c r="CW88" s="285"/>
      <c r="CX88" s="51">
        <v>8</v>
      </c>
      <c r="CY88">
        <f t="shared" si="446"/>
        <v>0</v>
      </c>
      <c r="CZ88" s="37">
        <f t="shared" si="478"/>
        <v>96</v>
      </c>
      <c r="DA88" s="30">
        <f t="shared" si="447"/>
        <v>25</v>
      </c>
      <c r="DB88" s="151"/>
      <c r="DC88" s="287"/>
      <c r="DD88" s="201"/>
      <c r="DE88" s="296"/>
      <c r="DF88" s="51">
        <v>8</v>
      </c>
      <c r="DG88">
        <f t="shared" si="448"/>
        <v>0</v>
      </c>
      <c r="DH88" s="37">
        <f t="shared" si="479"/>
        <v>96</v>
      </c>
      <c r="DI88" s="30">
        <f t="shared" si="449"/>
        <v>25</v>
      </c>
      <c r="DJ88" s="151"/>
      <c r="DK88" s="285"/>
      <c r="DL88" s="51">
        <v>8</v>
      </c>
      <c r="DM88">
        <f t="shared" si="450"/>
        <v>0</v>
      </c>
      <c r="DN88" s="37">
        <f t="shared" si="480"/>
        <v>96</v>
      </c>
      <c r="DO88" s="30">
        <f t="shared" si="451"/>
        <v>25</v>
      </c>
      <c r="DP88" s="151"/>
      <c r="DQ88" s="285"/>
      <c r="DR88" s="51">
        <v>8</v>
      </c>
      <c r="DS88">
        <f t="shared" si="452"/>
        <v>0</v>
      </c>
      <c r="DT88" s="37">
        <f t="shared" si="481"/>
        <v>96</v>
      </c>
      <c r="DU88" s="30">
        <f t="shared" si="453"/>
        <v>25</v>
      </c>
      <c r="DV88" s="151"/>
      <c r="DW88" s="287"/>
      <c r="DX88" s="201"/>
      <c r="DY88" s="296"/>
      <c r="DZ88" s="51">
        <v>8</v>
      </c>
      <c r="EA88">
        <f t="shared" si="454"/>
        <v>0</v>
      </c>
      <c r="EB88" s="37">
        <f t="shared" si="482"/>
        <v>96</v>
      </c>
      <c r="EC88" s="30">
        <f t="shared" si="455"/>
        <v>25</v>
      </c>
      <c r="ED88" s="151"/>
      <c r="EE88" s="285"/>
      <c r="EF88" s="51">
        <v>8</v>
      </c>
      <c r="EG88">
        <f t="shared" si="456"/>
        <v>0</v>
      </c>
      <c r="EH88" s="37">
        <f t="shared" si="483"/>
        <v>96</v>
      </c>
      <c r="EI88" s="30">
        <f t="shared" si="457"/>
        <v>25</v>
      </c>
      <c r="EJ88" s="151"/>
      <c r="EK88" s="285"/>
      <c r="EL88" s="51">
        <v>8</v>
      </c>
      <c r="EM88">
        <f t="shared" si="458"/>
        <v>0</v>
      </c>
      <c r="EN88" s="37">
        <f t="shared" si="484"/>
        <v>96</v>
      </c>
      <c r="EO88" s="30">
        <f t="shared" si="459"/>
        <v>25</v>
      </c>
      <c r="EP88" s="151"/>
      <c r="EQ88" s="285"/>
      <c r="ER88" s="51">
        <v>8</v>
      </c>
      <c r="ES88">
        <f t="shared" si="460"/>
        <v>0</v>
      </c>
      <c r="ET88" s="37">
        <f t="shared" si="485"/>
        <v>96</v>
      </c>
      <c r="EU88" s="30">
        <f t="shared" si="461"/>
        <v>25</v>
      </c>
      <c r="EV88" s="151"/>
      <c r="EW88" s="287"/>
      <c r="EX88" s="201"/>
    </row>
    <row r="89" spans="1:154" x14ac:dyDescent="0.45">
      <c r="A89" s="293">
        <v>8</v>
      </c>
      <c r="B89" s="179">
        <f>O13</f>
        <v>15</v>
      </c>
      <c r="C89" s="87" t="s">
        <v>154</v>
      </c>
      <c r="D89" s="10" t="s">
        <v>158</v>
      </c>
      <c r="E89" s="88" t="s">
        <v>152</v>
      </c>
      <c r="F89" s="152"/>
      <c r="G89" s="287">
        <f>IF(COUNT(F90:F98) &gt;0, COUNT(F90:F98)/2,"")</f>
        <v>1</v>
      </c>
      <c r="H89" s="201"/>
      <c r="I89" s="293">
        <v>8</v>
      </c>
      <c r="J89" s="104"/>
      <c r="K89" s="87" t="s">
        <v>154</v>
      </c>
      <c r="L89" s="10" t="s">
        <v>158</v>
      </c>
      <c r="M89" s="88" t="s">
        <v>152</v>
      </c>
      <c r="N89" s="152"/>
      <c r="O89" s="286">
        <v>8</v>
      </c>
      <c r="P89" s="104"/>
      <c r="Q89" s="87" t="s">
        <v>154</v>
      </c>
      <c r="R89" s="10" t="s">
        <v>158</v>
      </c>
      <c r="S89" s="88" t="s">
        <v>152</v>
      </c>
      <c r="T89" s="152"/>
      <c r="U89" s="287">
        <f>IF(COUNT(H90:H98,N90:N98,T90:T98) &gt;0, COUNT(H90:H98,N90:N98,T90:T98) /2,"")</f>
        <v>2</v>
      </c>
      <c r="V89" s="201"/>
      <c r="W89" s="293">
        <v>8</v>
      </c>
      <c r="X89" s="104"/>
      <c r="Y89" s="87" t="s">
        <v>154</v>
      </c>
      <c r="Z89" s="10" t="s">
        <v>158</v>
      </c>
      <c r="AA89" s="88" t="s">
        <v>152</v>
      </c>
      <c r="AB89" s="152"/>
      <c r="AC89" s="286">
        <v>8</v>
      </c>
      <c r="AD89" s="104"/>
      <c r="AE89" s="87" t="s">
        <v>154</v>
      </c>
      <c r="AF89" s="10" t="s">
        <v>158</v>
      </c>
      <c r="AG89" s="88" t="s">
        <v>152</v>
      </c>
      <c r="AH89" s="152"/>
      <c r="AI89" s="286">
        <v>8</v>
      </c>
      <c r="AJ89" s="104"/>
      <c r="AK89" t="str">
        <f t="shared" si="426"/>
        <v xml:space="preserve">CTR </v>
      </c>
      <c r="AL89" s="10" t="s">
        <v>158</v>
      </c>
      <c r="AM89" s="88" t="s">
        <v>152</v>
      </c>
      <c r="AN89" s="152"/>
      <c r="AO89" s="287">
        <f>IF(COUNT(AB90:AB98,AH90:AH98,AN90:AN98) &gt;0, COUNT(AB90:AB98,AH90:AH98,AN90:AN98) /2,"")</f>
        <v>1</v>
      </c>
      <c r="AP89" s="201"/>
      <c r="AQ89" s="293">
        <v>8</v>
      </c>
      <c r="AR89" s="104"/>
      <c r="AS89" s="87" t="s">
        <v>154</v>
      </c>
      <c r="AT89" s="10" t="s">
        <v>158</v>
      </c>
      <c r="AU89" s="88" t="s">
        <v>152</v>
      </c>
      <c r="AV89" s="152"/>
      <c r="AW89" s="286">
        <v>8</v>
      </c>
      <c r="AX89" s="104"/>
      <c r="AY89" s="87" t="s">
        <v>154</v>
      </c>
      <c r="AZ89" s="10" t="s">
        <v>158</v>
      </c>
      <c r="BA89" s="88" t="s">
        <v>152</v>
      </c>
      <c r="BB89" s="152"/>
      <c r="BC89" s="287">
        <f>IF(COUNT(AV90:AV98,BB90:BB98,#REF!) &gt;0, COUNT(AV90:AV98,BB90:BB98,#REF!) /2,"")</f>
        <v>2</v>
      </c>
      <c r="BD89" s="201"/>
      <c r="BE89" s="293">
        <v>8</v>
      </c>
      <c r="BF89" s="104"/>
      <c r="BG89" s="87" t="s">
        <v>154</v>
      </c>
      <c r="BH89" s="10" t="s">
        <v>158</v>
      </c>
      <c r="BI89" s="88" t="s">
        <v>152</v>
      </c>
      <c r="BJ89" s="152"/>
      <c r="BK89" s="286">
        <v>8</v>
      </c>
      <c r="BL89" s="104"/>
      <c r="BM89" s="87" t="s">
        <v>154</v>
      </c>
      <c r="BN89" s="10" t="s">
        <v>158</v>
      </c>
      <c r="BO89" s="88" t="s">
        <v>152</v>
      </c>
      <c r="BP89" s="152"/>
      <c r="BQ89" s="286">
        <v>8</v>
      </c>
      <c r="BR89" s="104"/>
      <c r="BS89" s="87" t="s">
        <v>154</v>
      </c>
      <c r="BT89" s="10" t="s">
        <v>158</v>
      </c>
      <c r="BU89" s="88" t="s">
        <v>152</v>
      </c>
      <c r="BV89" s="152"/>
      <c r="BW89" s="286">
        <v>8</v>
      </c>
      <c r="BX89" s="104"/>
      <c r="BY89" s="87" t="s">
        <v>154</v>
      </c>
      <c r="BZ89" s="10" t="s">
        <v>158</v>
      </c>
      <c r="CA89" s="88" t="s">
        <v>152</v>
      </c>
      <c r="CB89" s="152"/>
      <c r="CC89" s="287">
        <f>IF(COUNT(BJ90:BJ98,BP90:BP98,BV90:BV98,CB90:CB98) &gt;0, COUNT(BJ90:BJ98,BP90:BP98,BV90:BV98,CB90:CB98) /2,"")</f>
        <v>1</v>
      </c>
      <c r="CD89" s="201"/>
      <c r="CE89" s="293">
        <v>8</v>
      </c>
      <c r="CF89" s="104"/>
      <c r="CG89" s="87" t="s">
        <v>154</v>
      </c>
      <c r="CH89" s="10" t="s">
        <v>158</v>
      </c>
      <c r="CI89" s="88" t="s">
        <v>152</v>
      </c>
      <c r="CJ89" s="152"/>
      <c r="CK89" s="286">
        <v>8</v>
      </c>
      <c r="CL89" s="104"/>
      <c r="CM89" s="87" t="s">
        <v>154</v>
      </c>
      <c r="CN89" s="10" t="s">
        <v>158</v>
      </c>
      <c r="CO89" s="88" t="s">
        <v>152</v>
      </c>
      <c r="CP89" s="152"/>
      <c r="CQ89" s="286">
        <v>8</v>
      </c>
      <c r="CR89" s="104"/>
      <c r="CS89" s="87" t="s">
        <v>154</v>
      </c>
      <c r="CT89" s="10" t="s">
        <v>158</v>
      </c>
      <c r="CU89" s="88" t="s">
        <v>152</v>
      </c>
      <c r="CV89" s="152"/>
      <c r="CW89" s="286">
        <v>8</v>
      </c>
      <c r="CX89" s="104"/>
      <c r="CY89" s="87" t="s">
        <v>154</v>
      </c>
      <c r="CZ89" s="10" t="s">
        <v>158</v>
      </c>
      <c r="DA89" s="88" t="s">
        <v>152</v>
      </c>
      <c r="DB89" s="152"/>
      <c r="DC89" s="287">
        <f>IF(COUNT(CJ90:CJ98,CP90:CP98,CV90:CV98,DB90:DB98) &gt;0, COUNT(CJ90:CJ98,CP90:CP98,CV90:CV98,DB90:DB98) /2,"")</f>
        <v>4</v>
      </c>
      <c r="DD89" s="201"/>
      <c r="DE89" s="293">
        <v>8</v>
      </c>
      <c r="DF89" s="104"/>
      <c r="DG89" s="87" t="s">
        <v>154</v>
      </c>
      <c r="DH89" s="10" t="s">
        <v>158</v>
      </c>
      <c r="DI89" s="88" t="s">
        <v>152</v>
      </c>
      <c r="DJ89" s="152"/>
      <c r="DK89" s="286">
        <v>8</v>
      </c>
      <c r="DL89" s="104"/>
      <c r="DM89" s="87" t="s">
        <v>154</v>
      </c>
      <c r="DN89" s="10" t="s">
        <v>158</v>
      </c>
      <c r="DO89" s="88" t="s">
        <v>152</v>
      </c>
      <c r="DP89" s="152"/>
      <c r="DQ89" s="286">
        <v>8</v>
      </c>
      <c r="DR89" s="104"/>
      <c r="DS89" s="87" t="s">
        <v>154</v>
      </c>
      <c r="DT89" s="10" t="s">
        <v>158</v>
      </c>
      <c r="DU89" s="88" t="s">
        <v>152</v>
      </c>
      <c r="DV89" s="152"/>
      <c r="DW89" s="287">
        <f>IF(COUNT(DJ90:DJ98,DP90:DP98,DV90:DV98) &gt;0, COUNT(DJ90:DJ98,DP90:DP98,DV90:DV98) /2,"")</f>
        <v>1</v>
      </c>
      <c r="DX89" s="201"/>
      <c r="DY89" s="293">
        <v>8</v>
      </c>
      <c r="DZ89" s="104"/>
      <c r="EA89" s="87" t="s">
        <v>154</v>
      </c>
      <c r="EB89" s="10" t="s">
        <v>158</v>
      </c>
      <c r="EC89" s="88" t="s">
        <v>152</v>
      </c>
      <c r="ED89" s="152"/>
      <c r="EE89" s="286">
        <v>8</v>
      </c>
      <c r="EF89" s="104"/>
      <c r="EG89" s="87" t="s">
        <v>154</v>
      </c>
      <c r="EH89" s="10" t="s">
        <v>158</v>
      </c>
      <c r="EI89" s="88" t="s">
        <v>152</v>
      </c>
      <c r="EJ89" s="152"/>
      <c r="EK89" s="286">
        <v>8</v>
      </c>
      <c r="EL89" s="104"/>
      <c r="EM89" s="87" t="s">
        <v>154</v>
      </c>
      <c r="EN89" s="10" t="s">
        <v>158</v>
      </c>
      <c r="EO89" s="88" t="s">
        <v>152</v>
      </c>
      <c r="EP89" s="152"/>
      <c r="EQ89" s="286">
        <v>8</v>
      </c>
      <c r="ER89" s="104"/>
      <c r="ES89" s="87" t="s">
        <v>154</v>
      </c>
      <c r="ET89" s="10" t="s">
        <v>158</v>
      </c>
      <c r="EU89" s="88" t="s">
        <v>152</v>
      </c>
      <c r="EV89" s="152"/>
      <c r="EW89" s="287">
        <f>IF(COUNT(ED90:ED98,EJ90:EJ98,EP90:EP98,EV90:EV98) &gt;0, COUNT(ED90:ED98,EJ90:EJ98,EP90:EP98,EV90:EV98) /2,"")</f>
        <v>1</v>
      </c>
      <c r="EX89" s="201"/>
    </row>
    <row r="90" spans="1:154" ht="27.75" customHeight="1" x14ac:dyDescent="0.45">
      <c r="A90" s="294"/>
      <c r="B90" s="176" t="s">
        <v>162</v>
      </c>
      <c r="C90" s="102" t="s">
        <v>156</v>
      </c>
      <c r="D90" s="89" t="s">
        <v>175</v>
      </c>
      <c r="E90" s="177" t="s">
        <v>174</v>
      </c>
      <c r="F90" s="148"/>
      <c r="G90" s="287"/>
      <c r="H90" s="201"/>
      <c r="I90" s="294"/>
      <c r="J90" s="176" t="s">
        <v>162</v>
      </c>
      <c r="K90" s="90" t="s">
        <v>155</v>
      </c>
      <c r="L90" s="89" t="s">
        <v>175</v>
      </c>
      <c r="M90" s="177" t="s">
        <v>174</v>
      </c>
      <c r="N90" s="148"/>
      <c r="O90" s="284"/>
      <c r="P90" s="176" t="s">
        <v>162</v>
      </c>
      <c r="Q90" s="90" t="s">
        <v>155</v>
      </c>
      <c r="R90" s="89" t="s">
        <v>175</v>
      </c>
      <c r="S90" s="177" t="s">
        <v>174</v>
      </c>
      <c r="T90" s="148"/>
      <c r="U90" s="287"/>
      <c r="V90" s="201"/>
      <c r="W90" s="294"/>
      <c r="X90" s="176" t="s">
        <v>162</v>
      </c>
      <c r="Y90" s="90" t="s">
        <v>155</v>
      </c>
      <c r="Z90" s="89" t="s">
        <v>175</v>
      </c>
      <c r="AA90" s="177" t="s">
        <v>174</v>
      </c>
      <c r="AB90" s="148"/>
      <c r="AC90" s="284"/>
      <c r="AD90" s="176" t="s">
        <v>162</v>
      </c>
      <c r="AE90" s="90" t="s">
        <v>155</v>
      </c>
      <c r="AF90" s="89" t="s">
        <v>175</v>
      </c>
      <c r="AG90" s="177" t="s">
        <v>174</v>
      </c>
      <c r="AH90" s="148"/>
      <c r="AI90" s="284"/>
      <c r="AJ90" s="176" t="s">
        <v>162</v>
      </c>
      <c r="AK90" s="90" t="s">
        <v>155</v>
      </c>
      <c r="AL90" s="89" t="s">
        <v>175</v>
      </c>
      <c r="AM90" s="177" t="s">
        <v>174</v>
      </c>
      <c r="AN90" s="148"/>
      <c r="AO90" s="287"/>
      <c r="AP90" s="201"/>
      <c r="AQ90" s="294"/>
      <c r="AR90" s="176" t="s">
        <v>162</v>
      </c>
      <c r="AS90" s="90" t="s">
        <v>155</v>
      </c>
      <c r="AT90" s="89" t="s">
        <v>175</v>
      </c>
      <c r="AU90" s="177" t="s">
        <v>174</v>
      </c>
      <c r="AV90" s="148"/>
      <c r="AW90" s="284"/>
      <c r="AX90" s="176" t="s">
        <v>162</v>
      </c>
      <c r="AY90" s="90" t="s">
        <v>155</v>
      </c>
      <c r="AZ90" s="89" t="s">
        <v>175</v>
      </c>
      <c r="BA90" s="177" t="s">
        <v>174</v>
      </c>
      <c r="BB90" s="148"/>
      <c r="BC90" s="287"/>
      <c r="BD90" s="201"/>
      <c r="BE90" s="294"/>
      <c r="BF90" s="176" t="s">
        <v>162</v>
      </c>
      <c r="BG90" s="90" t="s">
        <v>155</v>
      </c>
      <c r="BH90" s="89" t="s">
        <v>175</v>
      </c>
      <c r="BI90" s="177" t="s">
        <v>174</v>
      </c>
      <c r="BJ90" s="148"/>
      <c r="BK90" s="284"/>
      <c r="BL90" s="176" t="s">
        <v>162</v>
      </c>
      <c r="BM90" s="90" t="s">
        <v>155</v>
      </c>
      <c r="BN90" s="89" t="s">
        <v>175</v>
      </c>
      <c r="BO90" s="177" t="s">
        <v>174</v>
      </c>
      <c r="BP90" s="148"/>
      <c r="BQ90" s="284"/>
      <c r="BR90" s="176" t="s">
        <v>162</v>
      </c>
      <c r="BS90" s="90" t="s">
        <v>155</v>
      </c>
      <c r="BT90" s="89" t="s">
        <v>175</v>
      </c>
      <c r="BU90" s="177" t="s">
        <v>174</v>
      </c>
      <c r="BV90" s="148"/>
      <c r="BW90" s="284"/>
      <c r="BX90" s="176" t="s">
        <v>162</v>
      </c>
      <c r="BY90" s="90" t="s">
        <v>155</v>
      </c>
      <c r="BZ90" s="89" t="s">
        <v>175</v>
      </c>
      <c r="CA90" s="177" t="s">
        <v>174</v>
      </c>
      <c r="CB90" s="148"/>
      <c r="CC90" s="287"/>
      <c r="CD90" s="201"/>
      <c r="CE90" s="294"/>
      <c r="CF90" s="176" t="s">
        <v>162</v>
      </c>
      <c r="CG90" s="90" t="s">
        <v>155</v>
      </c>
      <c r="CH90" s="89" t="s">
        <v>175</v>
      </c>
      <c r="CI90" s="177" t="s">
        <v>174</v>
      </c>
      <c r="CJ90" s="148"/>
      <c r="CK90" s="284"/>
      <c r="CL90" s="176" t="s">
        <v>162</v>
      </c>
      <c r="CM90" s="90" t="s">
        <v>155</v>
      </c>
      <c r="CN90" s="89" t="s">
        <v>175</v>
      </c>
      <c r="CO90" s="177" t="s">
        <v>174</v>
      </c>
      <c r="CP90" s="148"/>
      <c r="CQ90" s="284"/>
      <c r="CR90" s="176" t="s">
        <v>162</v>
      </c>
      <c r="CS90" s="90" t="s">
        <v>155</v>
      </c>
      <c r="CT90" s="89" t="s">
        <v>175</v>
      </c>
      <c r="CU90" s="177" t="s">
        <v>174</v>
      </c>
      <c r="CV90" s="148"/>
      <c r="CW90" s="284"/>
      <c r="CX90" s="176" t="s">
        <v>162</v>
      </c>
      <c r="CY90" s="90" t="s">
        <v>155</v>
      </c>
      <c r="CZ90" s="89" t="s">
        <v>175</v>
      </c>
      <c r="DA90" s="177" t="s">
        <v>174</v>
      </c>
      <c r="DB90" s="148"/>
      <c r="DC90" s="287"/>
      <c r="DD90" s="201"/>
      <c r="DE90" s="294"/>
      <c r="DF90" s="176" t="s">
        <v>162</v>
      </c>
      <c r="DG90" s="90" t="s">
        <v>155</v>
      </c>
      <c r="DH90" s="89" t="s">
        <v>175</v>
      </c>
      <c r="DI90" s="177" t="s">
        <v>174</v>
      </c>
      <c r="DJ90" s="148"/>
      <c r="DK90" s="284"/>
      <c r="DL90" s="176" t="s">
        <v>162</v>
      </c>
      <c r="DM90" s="90" t="s">
        <v>155</v>
      </c>
      <c r="DN90" s="89" t="s">
        <v>175</v>
      </c>
      <c r="DO90" s="177" t="s">
        <v>174</v>
      </c>
      <c r="DP90" s="148"/>
      <c r="DQ90" s="284"/>
      <c r="DR90" s="176" t="s">
        <v>162</v>
      </c>
      <c r="DS90" s="90" t="s">
        <v>155</v>
      </c>
      <c r="DT90" s="89" t="s">
        <v>175</v>
      </c>
      <c r="DU90" s="177" t="s">
        <v>174</v>
      </c>
      <c r="DV90" s="148"/>
      <c r="DW90" s="287"/>
      <c r="DX90" s="201"/>
      <c r="DY90" s="294"/>
      <c r="DZ90" s="176" t="s">
        <v>162</v>
      </c>
      <c r="EA90" s="90" t="s">
        <v>155</v>
      </c>
      <c r="EB90" s="89" t="s">
        <v>175</v>
      </c>
      <c r="EC90" s="177" t="s">
        <v>174</v>
      </c>
      <c r="ED90" s="148"/>
      <c r="EE90" s="284"/>
      <c r="EF90" s="176" t="s">
        <v>162</v>
      </c>
      <c r="EG90" s="90" t="s">
        <v>155</v>
      </c>
      <c r="EH90" s="89" t="s">
        <v>175</v>
      </c>
      <c r="EI90" s="177" t="s">
        <v>174</v>
      </c>
      <c r="EJ90" s="148"/>
      <c r="EK90" s="284"/>
      <c r="EL90" s="176" t="s">
        <v>162</v>
      </c>
      <c r="EM90" s="90" t="s">
        <v>155</v>
      </c>
      <c r="EN90" s="89" t="s">
        <v>175</v>
      </c>
      <c r="EO90" s="177" t="s">
        <v>174</v>
      </c>
      <c r="EP90" s="148"/>
      <c r="EQ90" s="284"/>
      <c r="ER90" s="176" t="s">
        <v>162</v>
      </c>
      <c r="ES90" s="90" t="s">
        <v>155</v>
      </c>
      <c r="ET90" s="89" t="s">
        <v>175</v>
      </c>
      <c r="EU90" s="177" t="s">
        <v>174</v>
      </c>
      <c r="EV90" s="148"/>
      <c r="EW90" s="287"/>
      <c r="EX90" s="201"/>
    </row>
    <row r="91" spans="1:154" x14ac:dyDescent="0.45">
      <c r="A91" s="294"/>
      <c r="B91" s="1">
        <v>1</v>
      </c>
      <c r="C91">
        <v>0</v>
      </c>
      <c r="D91" s="37">
        <f>(C91+$B$89)*$G$3</f>
        <v>120</v>
      </c>
      <c r="E91" s="30">
        <f t="shared" ref="E91:E98" si="486">MOD($F6+D91,$G$2)</f>
        <v>31</v>
      </c>
      <c r="F91" s="149"/>
      <c r="G91" s="287"/>
      <c r="H91" s="201"/>
      <c r="I91" s="294"/>
      <c r="J91" s="1">
        <v>1</v>
      </c>
      <c r="K91">
        <f t="shared" ref="K91:K98" si="487">IF(F91="", C91,IF(F91=MIN(F$91:F$98),C91+1,0))</f>
        <v>0</v>
      </c>
      <c r="L91" s="37">
        <f>(K91+$B$89)*$G$3</f>
        <v>120</v>
      </c>
      <c r="M91" s="30">
        <f t="shared" ref="M91:M98" si="488">MOD($F6+L91,$G$2)</f>
        <v>31</v>
      </c>
      <c r="N91" s="149"/>
      <c r="O91" s="284"/>
      <c r="P91" s="1">
        <v>1</v>
      </c>
      <c r="Q91">
        <f t="shared" ref="Q91:Q98" si="489">IF(N91="", K91,IF(N91=MIN(N$91:N$98),K91+1,0))</f>
        <v>0</v>
      </c>
      <c r="R91" s="37">
        <f>(Q91+$B$89)*$G$3</f>
        <v>120</v>
      </c>
      <c r="S91" s="30">
        <f t="shared" ref="S91:S98" si="490">MOD($F6+R91,$G$2)</f>
        <v>31</v>
      </c>
      <c r="T91" s="149"/>
      <c r="U91" s="287"/>
      <c r="V91" s="201"/>
      <c r="W91" s="294"/>
      <c r="X91" s="1">
        <v>1</v>
      </c>
      <c r="Y91">
        <f t="shared" ref="Y91:Y98" si="491">IF(T91="", Q91,IF(T91=MIN(T$91:T$98),Q91+1,0))</f>
        <v>0</v>
      </c>
      <c r="Z91" s="37">
        <f>(Y91+$B$89)*$G$3</f>
        <v>120</v>
      </c>
      <c r="AA91" s="30">
        <f t="shared" ref="AA91:AA98" si="492">MOD($F6+Z91,$G$2)</f>
        <v>31</v>
      </c>
      <c r="AB91" s="149"/>
      <c r="AC91" s="284"/>
      <c r="AD91" s="1">
        <v>1</v>
      </c>
      <c r="AE91">
        <f t="shared" ref="AE91:AE98" si="493">IF(AB91="", Y91,IF(AB91=MIN(AB$91:AB$98),Y91+1,0))</f>
        <v>0</v>
      </c>
      <c r="AF91" s="37">
        <f>(AE91+$B$89)*$G$3</f>
        <v>120</v>
      </c>
      <c r="AG91" s="30">
        <f t="shared" ref="AG91:AG98" si="494">MOD($F6+AF91,$G$2)</f>
        <v>31</v>
      </c>
      <c r="AH91" s="149"/>
      <c r="AI91" s="284"/>
      <c r="AJ91" s="1">
        <v>1</v>
      </c>
      <c r="AK91">
        <f t="shared" ref="AK91:AK98" si="495">IF(AH91="",AE91,IF(AH91=MIN(AH$21:AH$28),AE91+1,0))</f>
        <v>0</v>
      </c>
      <c r="AL91" s="37">
        <f>(AK91+$B$89)*$G$3</f>
        <v>120</v>
      </c>
      <c r="AM91" s="30">
        <f t="shared" ref="AM91:AM98" si="496">MOD($F6+AL91,$G$2)</f>
        <v>31</v>
      </c>
      <c r="AN91" s="149"/>
      <c r="AO91" s="287"/>
      <c r="AP91" s="201"/>
      <c r="AQ91" s="294"/>
      <c r="AR91" s="1">
        <v>1</v>
      </c>
      <c r="AS91">
        <f t="shared" ref="AS91:AS98" si="497">IF(AN91="", AK91,IF(AN91=MIN(AN$91:AN$98),AK91+1,0))</f>
        <v>0</v>
      </c>
      <c r="AT91" s="37">
        <f>(AS91+$B$89)*$G$3</f>
        <v>120</v>
      </c>
      <c r="AU91" s="30">
        <f t="shared" ref="AU91:AU98" si="498">MOD($F6+AT91,$G$2)</f>
        <v>31</v>
      </c>
      <c r="AV91" s="149"/>
      <c r="AW91" s="284"/>
      <c r="AX91" s="1">
        <v>1</v>
      </c>
      <c r="AY91">
        <f t="shared" ref="AY91:AY98" si="499">IF(AV91="", AS91,IF(AV91=MIN(AV$91:AV$98),AS91+1,0))</f>
        <v>0</v>
      </c>
      <c r="AZ91" s="37">
        <f>(AY91+$B$89)*$G$3</f>
        <v>120</v>
      </c>
      <c r="BA91" s="30">
        <f t="shared" ref="BA91:BA98" si="500">MOD($F6+AZ91,$G$2)</f>
        <v>31</v>
      </c>
      <c r="BB91" s="149"/>
      <c r="BC91" s="287"/>
      <c r="BD91" s="201"/>
      <c r="BE91" s="294"/>
      <c r="BF91" s="1">
        <v>1</v>
      </c>
      <c r="BG91">
        <f t="shared" ref="BG91:BG98" si="501">IF(BB91="", AY91,IF(BB91=MIN(BB$91:BB$98),AY91+1,0))</f>
        <v>0</v>
      </c>
      <c r="BH91" s="37">
        <f>(BG91+$B$89)*$G$3</f>
        <v>120</v>
      </c>
      <c r="BI91" s="30">
        <f t="shared" ref="BI91:BI98" si="502">MOD($F6+BH91,$G$2)</f>
        <v>31</v>
      </c>
      <c r="BJ91" s="149"/>
      <c r="BK91" s="284"/>
      <c r="BL91" s="1">
        <v>1</v>
      </c>
      <c r="BM91">
        <f t="shared" ref="BM91:BM98" si="503">IF(BJ91="", BG91,IF(BJ91=MIN(BJ$91:BJ$98),BG91+1,0))</f>
        <v>0</v>
      </c>
      <c r="BN91" s="37">
        <f>(BM91+$B$89)*$G$3</f>
        <v>120</v>
      </c>
      <c r="BO91" s="30">
        <f t="shared" ref="BO91:BO98" si="504">MOD($F6+BN91,$G$2)</f>
        <v>31</v>
      </c>
      <c r="BP91" s="149"/>
      <c r="BQ91" s="284"/>
      <c r="BR91" s="1">
        <v>1</v>
      </c>
      <c r="BS91">
        <f t="shared" ref="BS91:BS98" si="505">IF(BP91="", BM91,IF(BP91=MIN(BP$91:BP$98),BM91+1,0))</f>
        <v>0</v>
      </c>
      <c r="BT91" s="37">
        <f>(BS91+$B$89)*$G$3</f>
        <v>120</v>
      </c>
      <c r="BU91" s="30">
        <f t="shared" ref="BU91:BU98" si="506">MOD($F6+BT91,$G$2)</f>
        <v>31</v>
      </c>
      <c r="BV91" s="149"/>
      <c r="BW91" s="284"/>
      <c r="BX91" s="1">
        <v>1</v>
      </c>
      <c r="BY91">
        <f t="shared" ref="BY91:BY98" si="507">IF(BV91="", BS91,IF(BV91=MIN(BV$91:BV$98),BS91+1,0))</f>
        <v>0</v>
      </c>
      <c r="BZ91" s="37">
        <f>(BY91+$B$89)*$G$3</f>
        <v>120</v>
      </c>
      <c r="CA91" s="30">
        <f t="shared" ref="CA91:CA98" si="508">MOD($F6+BZ91,$G$2)</f>
        <v>31</v>
      </c>
      <c r="CB91" s="149"/>
      <c r="CC91" s="287"/>
      <c r="CD91" s="201"/>
      <c r="CE91" s="294"/>
      <c r="CF91" s="1">
        <v>1</v>
      </c>
      <c r="CG91">
        <f t="shared" ref="CG91:CG98" si="509">IF(CB91="", BY91,IF(CB91=MIN(CB$91:CB$98),BY91+1,0))</f>
        <v>0</v>
      </c>
      <c r="CH91" s="37">
        <f>(CG91+$B$89)*$G$3</f>
        <v>120</v>
      </c>
      <c r="CI91" s="30">
        <f t="shared" ref="CI91:CI98" si="510">MOD($F6+CH91,$G$2)</f>
        <v>31</v>
      </c>
      <c r="CJ91" s="149"/>
      <c r="CK91" s="284"/>
      <c r="CL91" s="1">
        <v>1</v>
      </c>
      <c r="CM91">
        <f t="shared" ref="CM91:CM98" si="511">IF(CJ91="", CG91,IF(CJ91=MIN(CJ$91:CJ$98),CG91+1,0))</f>
        <v>0</v>
      </c>
      <c r="CN91" s="37">
        <f>(CM91+$B$89)*$G$3</f>
        <v>120</v>
      </c>
      <c r="CO91" s="30">
        <f t="shared" ref="CO91:CO98" si="512">MOD($F6+CN91,$G$2)</f>
        <v>31</v>
      </c>
      <c r="CP91" s="149"/>
      <c r="CQ91" s="284"/>
      <c r="CR91" s="1">
        <v>1</v>
      </c>
      <c r="CS91">
        <f t="shared" ref="CS91:CS98" si="513">IF(CP91="", CM91,IF(CP91=MIN(CP$91:CP$98),CM91+1,0))</f>
        <v>0</v>
      </c>
      <c r="CT91" s="37">
        <f>(CS91+$B$89)*$G$3</f>
        <v>120</v>
      </c>
      <c r="CU91" s="30">
        <f t="shared" ref="CU91:CU98" si="514">MOD($F6+CT91,$G$2)</f>
        <v>31</v>
      </c>
      <c r="CV91" s="149"/>
      <c r="CW91" s="284"/>
      <c r="CX91" s="1">
        <v>1</v>
      </c>
      <c r="CY91">
        <f t="shared" ref="CY91:CY98" si="515">IF(CV91="", CS91,IF(CV91=MIN(CV$91:CV$98),CS91+1,0))</f>
        <v>0</v>
      </c>
      <c r="CZ91" s="37">
        <f>(CY91+$B$89)*$G$3</f>
        <v>120</v>
      </c>
      <c r="DA91" s="30">
        <f t="shared" ref="DA91:DA98" si="516">MOD($F6+CZ91,$G$2)</f>
        <v>31</v>
      </c>
      <c r="DB91" s="149"/>
      <c r="DC91" s="287"/>
      <c r="DD91" s="201"/>
      <c r="DE91" s="294"/>
      <c r="DF91" s="1">
        <v>1</v>
      </c>
      <c r="DG91">
        <f t="shared" ref="DG91:DG98" si="517">IF(CV91="", CS91,IF(CV91=MIN(CV$91:CV$98),CS91+1,0))</f>
        <v>0</v>
      </c>
      <c r="DH91" s="37">
        <f>(DG91+$B$89)*$G$3</f>
        <v>120</v>
      </c>
      <c r="DI91" s="30">
        <f t="shared" ref="DI91:DI98" si="518">MOD($F6+DH91,$G$2)</f>
        <v>31</v>
      </c>
      <c r="DJ91" s="149"/>
      <c r="DK91" s="284"/>
      <c r="DL91" s="1">
        <v>1</v>
      </c>
      <c r="DM91">
        <f t="shared" ref="DM91:DM98" si="519">IF(DJ91="", DG91,IF(DJ91=MIN(DJ$91:DJ$98),DG91+1,0))</f>
        <v>0</v>
      </c>
      <c r="DN91" s="37">
        <f>(DM91+$B$89)*$G$3</f>
        <v>120</v>
      </c>
      <c r="DO91" s="30">
        <f t="shared" ref="DO91:DO98" si="520">MOD($F6+DN91,$G$2)</f>
        <v>31</v>
      </c>
      <c r="DP91" s="149"/>
      <c r="DQ91" s="284"/>
      <c r="DR91" s="1">
        <v>1</v>
      </c>
      <c r="DS91">
        <f t="shared" ref="DS91:DS98" si="521">IF(DP91="", DM91,IF(DP91=MIN(DP$91:DP$98),DM91+1,0))</f>
        <v>0</v>
      </c>
      <c r="DT91" s="37">
        <f>(DS91+$B$89)*$G$3</f>
        <v>120</v>
      </c>
      <c r="DU91" s="30">
        <f t="shared" ref="DU91:DU98" si="522">MOD($F6+DT91,$G$2)</f>
        <v>31</v>
      </c>
      <c r="DV91" s="149"/>
      <c r="DW91" s="287"/>
      <c r="DX91" s="201"/>
      <c r="DY91" s="294"/>
      <c r="DZ91" s="1">
        <v>1</v>
      </c>
      <c r="EA91">
        <f t="shared" ref="EA91:EA98" si="523">IF(DV91="", DS91,IF(DV91=MIN(DV$91:DV$98),DS91+1,0))</f>
        <v>0</v>
      </c>
      <c r="EB91" s="37">
        <f>(EA91+$B$89)*$G$3</f>
        <v>120</v>
      </c>
      <c r="EC91" s="30">
        <f t="shared" ref="EC91:EC98" si="524">MOD($F6+EB91,$G$2)</f>
        <v>31</v>
      </c>
      <c r="ED91" s="149"/>
      <c r="EE91" s="284"/>
      <c r="EF91" s="1">
        <v>1</v>
      </c>
      <c r="EG91">
        <f t="shared" ref="EG91:EG98" si="525">IF(ED91="", EA91,IF(ED91=MIN(ED$91:ED$98),EA91+1,0))</f>
        <v>0</v>
      </c>
      <c r="EH91" s="37">
        <f>(EG91+$B$89)*$G$3</f>
        <v>120</v>
      </c>
      <c r="EI91" s="30">
        <f t="shared" ref="EI91:EI98" si="526">MOD($F6+EH91,$G$2)</f>
        <v>31</v>
      </c>
      <c r="EJ91" s="149"/>
      <c r="EK91" s="284"/>
      <c r="EL91" s="1">
        <v>1</v>
      </c>
      <c r="EM91">
        <f t="shared" ref="EM91:EM98" si="527">IF(EJ91="", EG91,IF(EJ91=MIN(EJ$91:EJ$98),EG91+1,0))</f>
        <v>0</v>
      </c>
      <c r="EN91" s="37">
        <f>(EM91+$B$89)*$G$3</f>
        <v>120</v>
      </c>
      <c r="EO91" s="30">
        <f t="shared" ref="EO91:EO98" si="528">MOD($F6+EN91,$G$2)</f>
        <v>31</v>
      </c>
      <c r="EP91" s="149"/>
      <c r="EQ91" s="284"/>
      <c r="ER91" s="1">
        <v>1</v>
      </c>
      <c r="ES91">
        <f t="shared" ref="ES91:ES98" si="529">IF(EP91="", EM91,IF(EP91=MIN(EP$91:EP$98),EM91+1,0))</f>
        <v>0</v>
      </c>
      <c r="ET91" s="37">
        <f>(ES91+$B$89)*$G$3</f>
        <v>120</v>
      </c>
      <c r="EU91" s="30">
        <f t="shared" ref="EU91:EU98" si="530">MOD($F6+ET91,$G$2)</f>
        <v>31</v>
      </c>
      <c r="EV91" s="149"/>
      <c r="EW91" s="287"/>
      <c r="EX91" s="201"/>
    </row>
    <row r="92" spans="1:154" x14ac:dyDescent="0.45">
      <c r="A92" s="294"/>
      <c r="B92" s="1">
        <v>2</v>
      </c>
      <c r="C92">
        <f t="shared" ref="C92:C98" si="531">IF(B92=MIN(B$21:B$28),1,0)</f>
        <v>0</v>
      </c>
      <c r="D92" s="37">
        <f t="shared" ref="D92:D98" si="532">(C92+$B$89)*$G$3</f>
        <v>120</v>
      </c>
      <c r="E92" s="30">
        <f t="shared" si="486"/>
        <v>27</v>
      </c>
      <c r="F92" s="150"/>
      <c r="G92" s="287"/>
      <c r="H92" s="201"/>
      <c r="I92" s="294"/>
      <c r="J92" s="1">
        <v>2</v>
      </c>
      <c r="K92">
        <f t="shared" si="487"/>
        <v>0</v>
      </c>
      <c r="L92" s="37">
        <f t="shared" ref="L92:L98" si="533">(K92+$B$89)*$G$3</f>
        <v>120</v>
      </c>
      <c r="M92" s="30">
        <f t="shared" si="488"/>
        <v>27</v>
      </c>
      <c r="N92" s="150">
        <v>6</v>
      </c>
      <c r="O92" s="284"/>
      <c r="P92" s="1">
        <v>2</v>
      </c>
      <c r="Q92">
        <f t="shared" si="489"/>
        <v>0</v>
      </c>
      <c r="R92" s="37">
        <f t="shared" ref="R92:R98" si="534">(Q92+$B$89)*$G$3</f>
        <v>120</v>
      </c>
      <c r="S92" s="30">
        <f t="shared" si="490"/>
        <v>27</v>
      </c>
      <c r="T92" s="150"/>
      <c r="U92" s="287"/>
      <c r="V92" s="201"/>
      <c r="W92" s="294"/>
      <c r="X92" s="1">
        <v>2</v>
      </c>
      <c r="Y92">
        <f t="shared" si="491"/>
        <v>0</v>
      </c>
      <c r="Z92" s="37">
        <f t="shared" ref="Z92:Z98" si="535">(Y92+$B$89)*$G$3</f>
        <v>120</v>
      </c>
      <c r="AA92" s="30">
        <f t="shared" si="492"/>
        <v>27</v>
      </c>
      <c r="AB92" s="150"/>
      <c r="AC92" s="284"/>
      <c r="AD92" s="1">
        <v>2</v>
      </c>
      <c r="AE92">
        <f t="shared" si="493"/>
        <v>0</v>
      </c>
      <c r="AF92" s="37">
        <f t="shared" ref="AF92:AF98" si="536">(AE92+$B$89)*$G$3</f>
        <v>120</v>
      </c>
      <c r="AG92" s="30">
        <f t="shared" si="494"/>
        <v>27</v>
      </c>
      <c r="AH92" s="150"/>
      <c r="AI92" s="284"/>
      <c r="AJ92" s="1">
        <v>2</v>
      </c>
      <c r="AK92">
        <f t="shared" si="495"/>
        <v>0</v>
      </c>
      <c r="AL92" s="37">
        <f t="shared" ref="AL92:AL98" si="537">(AK92+$B$89)*$G$3</f>
        <v>120</v>
      </c>
      <c r="AM92" s="30">
        <f t="shared" si="496"/>
        <v>27</v>
      </c>
      <c r="AN92" s="150"/>
      <c r="AO92" s="287"/>
      <c r="AP92" s="201"/>
      <c r="AQ92" s="294"/>
      <c r="AR92" s="1">
        <v>2</v>
      </c>
      <c r="AS92">
        <f t="shared" si="497"/>
        <v>0</v>
      </c>
      <c r="AT92" s="37">
        <f t="shared" ref="AT92:AT98" si="538">(AS92+$B$89)*$G$3</f>
        <v>120</v>
      </c>
      <c r="AU92" s="30">
        <f t="shared" si="498"/>
        <v>27</v>
      </c>
      <c r="AV92" s="150"/>
      <c r="AW92" s="284"/>
      <c r="AX92" s="1">
        <v>2</v>
      </c>
      <c r="AY92">
        <f t="shared" si="499"/>
        <v>0</v>
      </c>
      <c r="AZ92" s="37">
        <f t="shared" ref="AZ92:AZ98" si="539">(AY92+$B$89)*$G$3</f>
        <v>120</v>
      </c>
      <c r="BA92" s="30">
        <f t="shared" si="500"/>
        <v>27</v>
      </c>
      <c r="BB92" s="150">
        <v>16</v>
      </c>
      <c r="BC92" s="287"/>
      <c r="BD92" s="201"/>
      <c r="BE92" s="294"/>
      <c r="BF92" s="1">
        <v>2</v>
      </c>
      <c r="BG92">
        <f t="shared" si="501"/>
        <v>0</v>
      </c>
      <c r="BH92" s="37">
        <f t="shared" ref="BH92:BH98" si="540">(BG92+$B$89)*$G$3</f>
        <v>120</v>
      </c>
      <c r="BI92" s="30">
        <f t="shared" si="502"/>
        <v>27</v>
      </c>
      <c r="BJ92" s="150"/>
      <c r="BK92" s="284"/>
      <c r="BL92" s="1">
        <v>2</v>
      </c>
      <c r="BM92">
        <f t="shared" si="503"/>
        <v>0</v>
      </c>
      <c r="BN92" s="37">
        <f t="shared" ref="BN92:BN98" si="541">(BM92+$B$89)*$G$3</f>
        <v>120</v>
      </c>
      <c r="BO92" s="30">
        <f t="shared" si="504"/>
        <v>27</v>
      </c>
      <c r="BP92" s="150"/>
      <c r="BQ92" s="284"/>
      <c r="BR92" s="1">
        <v>2</v>
      </c>
      <c r="BS92">
        <f t="shared" si="505"/>
        <v>0</v>
      </c>
      <c r="BT92" s="37">
        <f t="shared" ref="BT92:BT98" si="542">(BS92+$B$89)*$G$3</f>
        <v>120</v>
      </c>
      <c r="BU92" s="30">
        <f t="shared" si="506"/>
        <v>27</v>
      </c>
      <c r="BV92" s="150"/>
      <c r="BW92" s="284"/>
      <c r="BX92" s="1">
        <v>2</v>
      </c>
      <c r="BY92">
        <f t="shared" si="507"/>
        <v>0</v>
      </c>
      <c r="BZ92" s="37">
        <f t="shared" ref="BZ92:BZ98" si="543">(BY92+$B$89)*$G$3</f>
        <v>120</v>
      </c>
      <c r="CA92" s="30">
        <f t="shared" si="508"/>
        <v>27</v>
      </c>
      <c r="CB92" s="150"/>
      <c r="CC92" s="287"/>
      <c r="CD92" s="201"/>
      <c r="CE92" s="294"/>
      <c r="CF92" s="1">
        <v>2</v>
      </c>
      <c r="CG92">
        <f t="shared" si="509"/>
        <v>0</v>
      </c>
      <c r="CH92" s="37">
        <f t="shared" ref="CH92:CH98" si="544">(CG92+$B$89)*$G$3</f>
        <v>120</v>
      </c>
      <c r="CI92" s="30">
        <f t="shared" si="510"/>
        <v>27</v>
      </c>
      <c r="CJ92" s="150"/>
      <c r="CK92" s="284"/>
      <c r="CL92" s="1">
        <v>2</v>
      </c>
      <c r="CM92">
        <f t="shared" si="511"/>
        <v>0</v>
      </c>
      <c r="CN92" s="37">
        <f t="shared" ref="CN92:CN98" si="545">(CM92+$B$89)*$G$3</f>
        <v>120</v>
      </c>
      <c r="CO92" s="30">
        <f t="shared" si="512"/>
        <v>27</v>
      </c>
      <c r="CP92" s="150"/>
      <c r="CQ92" s="284"/>
      <c r="CR92" s="1">
        <v>2</v>
      </c>
      <c r="CS92">
        <f t="shared" si="513"/>
        <v>0</v>
      </c>
      <c r="CT92" s="37">
        <f t="shared" ref="CT92:CT98" si="546">(CS92+$B$89)*$G$3</f>
        <v>120</v>
      </c>
      <c r="CU92" s="30">
        <f t="shared" si="514"/>
        <v>27</v>
      </c>
      <c r="CV92" s="150">
        <v>24</v>
      </c>
      <c r="CW92" s="284"/>
      <c r="CX92" s="1">
        <v>2</v>
      </c>
      <c r="CY92">
        <f t="shared" si="515"/>
        <v>0</v>
      </c>
      <c r="CZ92" s="37">
        <f t="shared" ref="CZ92:CZ98" si="547">(CY92+$B$89)*$G$3</f>
        <v>120</v>
      </c>
      <c r="DA92" s="30">
        <f t="shared" si="516"/>
        <v>27</v>
      </c>
      <c r="DB92" s="150"/>
      <c r="DC92" s="287"/>
      <c r="DD92" s="201"/>
      <c r="DE92" s="294"/>
      <c r="DF92" s="1">
        <v>2</v>
      </c>
      <c r="DG92">
        <f t="shared" si="517"/>
        <v>0</v>
      </c>
      <c r="DH92" s="37">
        <f t="shared" ref="DH92:DH98" si="548">(DG92+$B$89)*$G$3</f>
        <v>120</v>
      </c>
      <c r="DI92" s="30">
        <f t="shared" si="518"/>
        <v>27</v>
      </c>
      <c r="DJ92" s="150"/>
      <c r="DK92" s="284"/>
      <c r="DL92" s="1">
        <v>2</v>
      </c>
      <c r="DM92">
        <f t="shared" si="519"/>
        <v>0</v>
      </c>
      <c r="DN92" s="37">
        <f t="shared" ref="DN92:DN98" si="549">(DM92+$B$89)*$G$3</f>
        <v>120</v>
      </c>
      <c r="DO92" s="30">
        <f t="shared" si="520"/>
        <v>27</v>
      </c>
      <c r="DP92" s="150"/>
      <c r="DQ92" s="284"/>
      <c r="DR92" s="1">
        <v>2</v>
      </c>
      <c r="DS92">
        <f t="shared" si="521"/>
        <v>0</v>
      </c>
      <c r="DT92" s="37">
        <f t="shared" ref="DT92:DT98" si="550">(DS92+$B$89)*$G$3</f>
        <v>120</v>
      </c>
      <c r="DU92" s="30">
        <f t="shared" si="522"/>
        <v>27</v>
      </c>
      <c r="DV92" s="150"/>
      <c r="DW92" s="287"/>
      <c r="DX92" s="201"/>
      <c r="DY92" s="294"/>
      <c r="DZ92" s="1">
        <v>2</v>
      </c>
      <c r="EA92">
        <f t="shared" si="523"/>
        <v>0</v>
      </c>
      <c r="EB92" s="37">
        <f t="shared" ref="EB92:EB98" si="551">(EA92+$B$89)*$G$3</f>
        <v>120</v>
      </c>
      <c r="EC92" s="30">
        <f t="shared" si="524"/>
        <v>27</v>
      </c>
      <c r="ED92" s="150"/>
      <c r="EE92" s="284"/>
      <c r="EF92" s="1">
        <v>2</v>
      </c>
      <c r="EG92">
        <f t="shared" si="525"/>
        <v>0</v>
      </c>
      <c r="EH92" s="37">
        <f t="shared" ref="EH92:EH98" si="552">(EG92+$B$89)*$G$3</f>
        <v>120</v>
      </c>
      <c r="EI92" s="30">
        <f t="shared" si="526"/>
        <v>27</v>
      </c>
      <c r="EJ92" s="150"/>
      <c r="EK92" s="284"/>
      <c r="EL92" s="1">
        <v>2</v>
      </c>
      <c r="EM92">
        <f t="shared" si="527"/>
        <v>0</v>
      </c>
      <c r="EN92" s="37">
        <f t="shared" ref="EN92:EN98" si="553">(EM92+$B$89)*$G$3</f>
        <v>120</v>
      </c>
      <c r="EO92" s="30">
        <f t="shared" si="528"/>
        <v>27</v>
      </c>
      <c r="EP92" s="150"/>
      <c r="EQ92" s="284"/>
      <c r="ER92" s="1">
        <v>2</v>
      </c>
      <c r="ES92">
        <f t="shared" si="529"/>
        <v>0</v>
      </c>
      <c r="ET92" s="37">
        <f t="shared" ref="ET92:ET98" si="554">(ES92+$B$89)*$G$3</f>
        <v>120</v>
      </c>
      <c r="EU92" s="30">
        <f t="shared" si="530"/>
        <v>27</v>
      </c>
      <c r="EV92" s="150"/>
      <c r="EW92" s="287"/>
      <c r="EX92" s="201"/>
    </row>
    <row r="93" spans="1:154" x14ac:dyDescent="0.45">
      <c r="A93" s="294"/>
      <c r="B93" s="1">
        <v>3</v>
      </c>
      <c r="C93">
        <f t="shared" si="531"/>
        <v>0</v>
      </c>
      <c r="D93" s="37">
        <f t="shared" si="532"/>
        <v>120</v>
      </c>
      <c r="E93" s="30">
        <f t="shared" si="486"/>
        <v>6</v>
      </c>
      <c r="F93" s="150"/>
      <c r="G93" s="287"/>
      <c r="H93" s="201"/>
      <c r="I93" s="294"/>
      <c r="J93" s="1">
        <v>3</v>
      </c>
      <c r="K93">
        <f t="shared" si="487"/>
        <v>0</v>
      </c>
      <c r="L93" s="37">
        <f t="shared" si="533"/>
        <v>120</v>
      </c>
      <c r="M93" s="30">
        <f t="shared" si="488"/>
        <v>6</v>
      </c>
      <c r="N93" s="150"/>
      <c r="O93" s="284"/>
      <c r="P93" s="1">
        <v>3</v>
      </c>
      <c r="Q93">
        <f t="shared" si="489"/>
        <v>0</v>
      </c>
      <c r="R93" s="37">
        <f t="shared" si="534"/>
        <v>120</v>
      </c>
      <c r="S93" s="30">
        <f t="shared" si="490"/>
        <v>6</v>
      </c>
      <c r="T93" s="150"/>
      <c r="U93" s="287"/>
      <c r="V93" s="201"/>
      <c r="W93" s="294"/>
      <c r="X93" s="1">
        <v>3</v>
      </c>
      <c r="Y93">
        <f t="shared" si="491"/>
        <v>0</v>
      </c>
      <c r="Z93" s="37">
        <f t="shared" si="535"/>
        <v>120</v>
      </c>
      <c r="AA93" s="30">
        <f t="shared" si="492"/>
        <v>6</v>
      </c>
      <c r="AB93" s="150"/>
      <c r="AC93" s="284"/>
      <c r="AD93" s="1">
        <v>3</v>
      </c>
      <c r="AE93">
        <f t="shared" si="493"/>
        <v>0</v>
      </c>
      <c r="AF93" s="37">
        <f t="shared" si="536"/>
        <v>120</v>
      </c>
      <c r="AG93" s="30">
        <f t="shared" si="494"/>
        <v>6</v>
      </c>
      <c r="AH93" s="150"/>
      <c r="AI93" s="284"/>
      <c r="AJ93" s="1">
        <v>3</v>
      </c>
      <c r="AK93">
        <f t="shared" si="495"/>
        <v>0</v>
      </c>
      <c r="AL93" s="37">
        <f t="shared" si="537"/>
        <v>120</v>
      </c>
      <c r="AM93" s="30">
        <f t="shared" si="496"/>
        <v>6</v>
      </c>
      <c r="AN93" s="150"/>
      <c r="AO93" s="287"/>
      <c r="AP93" s="201"/>
      <c r="AQ93" s="294"/>
      <c r="AR93" s="1">
        <v>3</v>
      </c>
      <c r="AS93">
        <f t="shared" si="497"/>
        <v>0</v>
      </c>
      <c r="AT93" s="37">
        <f t="shared" si="538"/>
        <v>120</v>
      </c>
      <c r="AU93" s="30">
        <f t="shared" si="498"/>
        <v>6</v>
      </c>
      <c r="AV93" s="150"/>
      <c r="AW93" s="284"/>
      <c r="AX93" s="1">
        <v>3</v>
      </c>
      <c r="AY93">
        <f t="shared" si="499"/>
        <v>0</v>
      </c>
      <c r="AZ93" s="37">
        <f t="shared" si="539"/>
        <v>120</v>
      </c>
      <c r="BA93" s="30">
        <f t="shared" si="500"/>
        <v>6</v>
      </c>
      <c r="BB93" s="150"/>
      <c r="BC93" s="287"/>
      <c r="BD93" s="201"/>
      <c r="BE93" s="294"/>
      <c r="BF93" s="1">
        <v>3</v>
      </c>
      <c r="BG93">
        <f t="shared" si="501"/>
        <v>0</v>
      </c>
      <c r="BH93" s="37">
        <f t="shared" si="540"/>
        <v>120</v>
      </c>
      <c r="BI93" s="30">
        <f t="shared" si="502"/>
        <v>6</v>
      </c>
      <c r="BJ93" s="150"/>
      <c r="BK93" s="284"/>
      <c r="BL93" s="1">
        <v>3</v>
      </c>
      <c r="BM93">
        <f t="shared" si="503"/>
        <v>0</v>
      </c>
      <c r="BN93" s="37">
        <f t="shared" si="541"/>
        <v>120</v>
      </c>
      <c r="BO93" s="30">
        <f t="shared" si="504"/>
        <v>6</v>
      </c>
      <c r="BP93" s="150"/>
      <c r="BQ93" s="284"/>
      <c r="BR93" s="1">
        <v>3</v>
      </c>
      <c r="BS93">
        <f t="shared" si="505"/>
        <v>0</v>
      </c>
      <c r="BT93" s="37">
        <f t="shared" si="542"/>
        <v>120</v>
      </c>
      <c r="BU93" s="30">
        <f t="shared" si="506"/>
        <v>6</v>
      </c>
      <c r="BV93" s="150"/>
      <c r="BW93" s="284"/>
      <c r="BX93" s="1">
        <v>3</v>
      </c>
      <c r="BY93">
        <f t="shared" si="507"/>
        <v>0</v>
      </c>
      <c r="BZ93" s="37">
        <f t="shared" si="543"/>
        <v>120</v>
      </c>
      <c r="CA93" s="30">
        <f t="shared" si="508"/>
        <v>6</v>
      </c>
      <c r="CB93" s="150"/>
      <c r="CC93" s="287"/>
      <c r="CD93" s="201"/>
      <c r="CE93" s="294"/>
      <c r="CF93" s="1">
        <v>3</v>
      </c>
      <c r="CG93">
        <f t="shared" si="509"/>
        <v>0</v>
      </c>
      <c r="CH93" s="37">
        <f t="shared" si="544"/>
        <v>120</v>
      </c>
      <c r="CI93" s="30">
        <f t="shared" si="510"/>
        <v>6</v>
      </c>
      <c r="CJ93" s="150"/>
      <c r="CK93" s="284"/>
      <c r="CL93" s="1">
        <v>3</v>
      </c>
      <c r="CM93">
        <f t="shared" si="511"/>
        <v>0</v>
      </c>
      <c r="CN93" s="37">
        <f t="shared" si="545"/>
        <v>120</v>
      </c>
      <c r="CO93" s="30">
        <f t="shared" si="512"/>
        <v>6</v>
      </c>
      <c r="CP93" s="150"/>
      <c r="CQ93" s="284"/>
      <c r="CR93" s="1">
        <v>3</v>
      </c>
      <c r="CS93">
        <f t="shared" si="513"/>
        <v>0</v>
      </c>
      <c r="CT93" s="37">
        <f t="shared" si="546"/>
        <v>120</v>
      </c>
      <c r="CU93" s="30">
        <f t="shared" si="514"/>
        <v>6</v>
      </c>
      <c r="CV93" s="150"/>
      <c r="CW93" s="284"/>
      <c r="CX93" s="1">
        <v>3</v>
      </c>
      <c r="CY93">
        <f t="shared" si="515"/>
        <v>0</v>
      </c>
      <c r="CZ93" s="37">
        <f t="shared" si="547"/>
        <v>120</v>
      </c>
      <c r="DA93" s="30">
        <f t="shared" si="516"/>
        <v>6</v>
      </c>
      <c r="DB93" s="150"/>
      <c r="DC93" s="287"/>
      <c r="DD93" s="201"/>
      <c r="DE93" s="294"/>
      <c r="DF93" s="1">
        <v>3</v>
      </c>
      <c r="DG93">
        <f t="shared" si="517"/>
        <v>0</v>
      </c>
      <c r="DH93" s="37">
        <f t="shared" si="548"/>
        <v>120</v>
      </c>
      <c r="DI93" s="30">
        <f t="shared" si="518"/>
        <v>6</v>
      </c>
      <c r="DJ93" s="150"/>
      <c r="DK93" s="284"/>
      <c r="DL93" s="1">
        <v>3</v>
      </c>
      <c r="DM93">
        <f t="shared" si="519"/>
        <v>0</v>
      </c>
      <c r="DN93" s="37">
        <f t="shared" si="549"/>
        <v>120</v>
      </c>
      <c r="DO93" s="30">
        <f t="shared" si="520"/>
        <v>6</v>
      </c>
      <c r="DP93" s="150"/>
      <c r="DQ93" s="284"/>
      <c r="DR93" s="1">
        <v>3</v>
      </c>
      <c r="DS93">
        <f t="shared" si="521"/>
        <v>0</v>
      </c>
      <c r="DT93" s="37">
        <f t="shared" si="550"/>
        <v>120</v>
      </c>
      <c r="DU93" s="30">
        <f t="shared" si="522"/>
        <v>6</v>
      </c>
      <c r="DV93" s="150"/>
      <c r="DW93" s="287"/>
      <c r="DX93" s="201"/>
      <c r="DY93" s="294"/>
      <c r="DZ93" s="1">
        <v>3</v>
      </c>
      <c r="EA93">
        <f t="shared" si="523"/>
        <v>0</v>
      </c>
      <c r="EB93" s="37">
        <f t="shared" si="551"/>
        <v>120</v>
      </c>
      <c r="EC93" s="30">
        <f t="shared" si="524"/>
        <v>6</v>
      </c>
      <c r="ED93" s="150"/>
      <c r="EE93" s="284"/>
      <c r="EF93" s="1">
        <v>3</v>
      </c>
      <c r="EG93">
        <f t="shared" si="525"/>
        <v>0</v>
      </c>
      <c r="EH93" s="37">
        <f t="shared" si="552"/>
        <v>120</v>
      </c>
      <c r="EI93" s="30">
        <f t="shared" si="526"/>
        <v>6</v>
      </c>
      <c r="EJ93" s="150"/>
      <c r="EK93" s="284"/>
      <c r="EL93" s="1">
        <v>3</v>
      </c>
      <c r="EM93">
        <f t="shared" si="527"/>
        <v>0</v>
      </c>
      <c r="EN93" s="37">
        <f t="shared" si="553"/>
        <v>120</v>
      </c>
      <c r="EO93" s="30">
        <f t="shared" si="528"/>
        <v>6</v>
      </c>
      <c r="EP93" s="150"/>
      <c r="EQ93" s="284"/>
      <c r="ER93" s="1">
        <v>3</v>
      </c>
      <c r="ES93">
        <f t="shared" si="529"/>
        <v>0</v>
      </c>
      <c r="ET93" s="37">
        <f t="shared" si="554"/>
        <v>120</v>
      </c>
      <c r="EU93" s="30">
        <f t="shared" si="530"/>
        <v>6</v>
      </c>
      <c r="EV93" s="150"/>
      <c r="EW93" s="287"/>
      <c r="EX93" s="201"/>
    </row>
    <row r="94" spans="1:154" x14ac:dyDescent="0.45">
      <c r="A94" s="294"/>
      <c r="B94" s="1">
        <v>4</v>
      </c>
      <c r="C94">
        <f t="shared" si="531"/>
        <v>0</v>
      </c>
      <c r="D94" s="37">
        <f t="shared" si="532"/>
        <v>120</v>
      </c>
      <c r="E94" s="30">
        <f t="shared" si="486"/>
        <v>2</v>
      </c>
      <c r="F94" s="150"/>
      <c r="G94" s="287"/>
      <c r="H94" s="201"/>
      <c r="I94" s="294"/>
      <c r="J94" s="1">
        <v>4</v>
      </c>
      <c r="K94">
        <f t="shared" si="487"/>
        <v>0</v>
      </c>
      <c r="L94" s="37">
        <f t="shared" si="533"/>
        <v>120</v>
      </c>
      <c r="M94" s="30">
        <f t="shared" si="488"/>
        <v>2</v>
      </c>
      <c r="N94" s="150"/>
      <c r="O94" s="284"/>
      <c r="P94" s="1">
        <v>4</v>
      </c>
      <c r="Q94">
        <f t="shared" si="489"/>
        <v>0</v>
      </c>
      <c r="R94" s="37">
        <f t="shared" si="534"/>
        <v>120</v>
      </c>
      <c r="S94" s="30">
        <f t="shared" si="490"/>
        <v>2</v>
      </c>
      <c r="T94" s="150">
        <v>12</v>
      </c>
      <c r="U94" s="287"/>
      <c r="V94" s="201"/>
      <c r="W94" s="294"/>
      <c r="X94" s="1">
        <v>4</v>
      </c>
      <c r="Y94">
        <f t="shared" si="491"/>
        <v>0</v>
      </c>
      <c r="Z94" s="37">
        <f t="shared" si="535"/>
        <v>120</v>
      </c>
      <c r="AA94" s="30">
        <f t="shared" si="492"/>
        <v>2</v>
      </c>
      <c r="AB94" s="150"/>
      <c r="AC94" s="284"/>
      <c r="AD94" s="1">
        <v>4</v>
      </c>
      <c r="AE94">
        <f t="shared" si="493"/>
        <v>0</v>
      </c>
      <c r="AF94" s="37">
        <f t="shared" si="536"/>
        <v>120</v>
      </c>
      <c r="AG94" s="30">
        <f t="shared" si="494"/>
        <v>2</v>
      </c>
      <c r="AH94" s="150"/>
      <c r="AI94" s="284"/>
      <c r="AJ94" s="1">
        <v>4</v>
      </c>
      <c r="AK94">
        <f t="shared" si="495"/>
        <v>0</v>
      </c>
      <c r="AL94" s="37">
        <f t="shared" si="537"/>
        <v>120</v>
      </c>
      <c r="AM94" s="30">
        <f t="shared" si="496"/>
        <v>2</v>
      </c>
      <c r="AN94" s="150"/>
      <c r="AO94" s="287"/>
      <c r="AP94" s="201"/>
      <c r="AQ94" s="294"/>
      <c r="AR94" s="1">
        <v>4</v>
      </c>
      <c r="AS94">
        <f t="shared" si="497"/>
        <v>0</v>
      </c>
      <c r="AT94" s="37">
        <f t="shared" si="538"/>
        <v>120</v>
      </c>
      <c r="AU94" s="30">
        <f t="shared" si="498"/>
        <v>2</v>
      </c>
      <c r="AV94" s="150"/>
      <c r="AW94" s="284"/>
      <c r="AX94" s="1">
        <v>4</v>
      </c>
      <c r="AY94">
        <f t="shared" si="499"/>
        <v>0</v>
      </c>
      <c r="AZ94" s="37">
        <f t="shared" si="539"/>
        <v>120</v>
      </c>
      <c r="BA94" s="30">
        <f t="shared" si="500"/>
        <v>2</v>
      </c>
      <c r="BB94" s="150"/>
      <c r="BC94" s="287"/>
      <c r="BD94" s="201"/>
      <c r="BE94" s="294"/>
      <c r="BF94" s="1">
        <v>4</v>
      </c>
      <c r="BG94">
        <f t="shared" si="501"/>
        <v>0</v>
      </c>
      <c r="BH94" s="37">
        <f t="shared" si="540"/>
        <v>120</v>
      </c>
      <c r="BI94" s="30">
        <f t="shared" si="502"/>
        <v>2</v>
      </c>
      <c r="BJ94" s="150">
        <v>4</v>
      </c>
      <c r="BK94" s="284"/>
      <c r="BL94" s="1">
        <v>4</v>
      </c>
      <c r="BM94">
        <f t="shared" si="503"/>
        <v>0</v>
      </c>
      <c r="BN94" s="37">
        <f t="shared" si="541"/>
        <v>120</v>
      </c>
      <c r="BO94" s="30">
        <f t="shared" si="504"/>
        <v>2</v>
      </c>
      <c r="BP94" s="150"/>
      <c r="BQ94" s="284"/>
      <c r="BR94" s="1">
        <v>4</v>
      </c>
      <c r="BS94">
        <f t="shared" si="505"/>
        <v>0</v>
      </c>
      <c r="BT94" s="37">
        <f t="shared" si="542"/>
        <v>120</v>
      </c>
      <c r="BU94" s="30">
        <f t="shared" si="506"/>
        <v>2</v>
      </c>
      <c r="BV94" s="150"/>
      <c r="BW94" s="284"/>
      <c r="BX94" s="1">
        <v>4</v>
      </c>
      <c r="BY94">
        <f t="shared" si="507"/>
        <v>0</v>
      </c>
      <c r="BZ94" s="37">
        <f t="shared" si="543"/>
        <v>120</v>
      </c>
      <c r="CA94" s="30">
        <f t="shared" si="508"/>
        <v>2</v>
      </c>
      <c r="CB94" s="150"/>
      <c r="CC94" s="287"/>
      <c r="CD94" s="201"/>
      <c r="CE94" s="294"/>
      <c r="CF94" s="1">
        <v>4</v>
      </c>
      <c r="CG94">
        <f t="shared" si="509"/>
        <v>0</v>
      </c>
      <c r="CH94" s="37">
        <f t="shared" si="544"/>
        <v>120</v>
      </c>
      <c r="CI94" s="30">
        <f t="shared" si="510"/>
        <v>2</v>
      </c>
      <c r="CJ94" s="150"/>
      <c r="CK94" s="284"/>
      <c r="CL94" s="1">
        <v>4</v>
      </c>
      <c r="CM94">
        <f t="shared" si="511"/>
        <v>0</v>
      </c>
      <c r="CN94" s="37">
        <f t="shared" si="545"/>
        <v>120</v>
      </c>
      <c r="CO94" s="30">
        <f t="shared" si="512"/>
        <v>2</v>
      </c>
      <c r="CP94" s="150"/>
      <c r="CQ94" s="284"/>
      <c r="CR94" s="1">
        <v>4</v>
      </c>
      <c r="CS94">
        <f t="shared" si="513"/>
        <v>0</v>
      </c>
      <c r="CT94" s="37">
        <f t="shared" si="546"/>
        <v>120</v>
      </c>
      <c r="CU94" s="30">
        <f t="shared" si="514"/>
        <v>2</v>
      </c>
      <c r="CV94" s="150"/>
      <c r="CW94" s="284"/>
      <c r="CX94" s="1">
        <v>4</v>
      </c>
      <c r="CY94">
        <f t="shared" si="515"/>
        <v>0</v>
      </c>
      <c r="CZ94" s="37">
        <f t="shared" si="547"/>
        <v>120</v>
      </c>
      <c r="DA94" s="30">
        <f t="shared" si="516"/>
        <v>2</v>
      </c>
      <c r="DB94" s="150">
        <v>30</v>
      </c>
      <c r="DC94" s="287"/>
      <c r="DD94" s="201"/>
      <c r="DE94" s="294"/>
      <c r="DF94" s="1">
        <v>4</v>
      </c>
      <c r="DG94">
        <f t="shared" si="517"/>
        <v>0</v>
      </c>
      <c r="DH94" s="37">
        <f t="shared" si="548"/>
        <v>120</v>
      </c>
      <c r="DI94" s="30">
        <f t="shared" si="518"/>
        <v>2</v>
      </c>
      <c r="DJ94" s="150"/>
      <c r="DK94" s="284"/>
      <c r="DL94" s="1">
        <v>4</v>
      </c>
      <c r="DM94">
        <f t="shared" si="519"/>
        <v>0</v>
      </c>
      <c r="DN94" s="37">
        <f t="shared" si="549"/>
        <v>120</v>
      </c>
      <c r="DO94" s="30">
        <f t="shared" si="520"/>
        <v>2</v>
      </c>
      <c r="DP94" s="150"/>
      <c r="DQ94" s="284"/>
      <c r="DR94" s="1">
        <v>4</v>
      </c>
      <c r="DS94">
        <f t="shared" si="521"/>
        <v>0</v>
      </c>
      <c r="DT94" s="37">
        <f t="shared" si="550"/>
        <v>120</v>
      </c>
      <c r="DU94" s="30">
        <f t="shared" si="522"/>
        <v>2</v>
      </c>
      <c r="DV94" s="150">
        <v>22</v>
      </c>
      <c r="DW94" s="287"/>
      <c r="DX94" s="201"/>
      <c r="DY94" s="294"/>
      <c r="DZ94" s="1">
        <v>4</v>
      </c>
      <c r="EA94">
        <f t="shared" si="523"/>
        <v>0</v>
      </c>
      <c r="EB94" s="37">
        <f t="shared" si="551"/>
        <v>120</v>
      </c>
      <c r="EC94" s="30">
        <f t="shared" si="524"/>
        <v>2</v>
      </c>
      <c r="ED94" s="150"/>
      <c r="EE94" s="284"/>
      <c r="EF94" s="1">
        <v>4</v>
      </c>
      <c r="EG94">
        <f t="shared" si="525"/>
        <v>0</v>
      </c>
      <c r="EH94" s="37">
        <f t="shared" si="552"/>
        <v>120</v>
      </c>
      <c r="EI94" s="30">
        <f t="shared" si="526"/>
        <v>2</v>
      </c>
      <c r="EJ94" s="150"/>
      <c r="EK94" s="284"/>
      <c r="EL94" s="1">
        <v>4</v>
      </c>
      <c r="EM94">
        <f t="shared" si="527"/>
        <v>0</v>
      </c>
      <c r="EN94" s="37">
        <f t="shared" si="553"/>
        <v>120</v>
      </c>
      <c r="EO94" s="30">
        <f t="shared" si="528"/>
        <v>2</v>
      </c>
      <c r="EP94" s="150"/>
      <c r="EQ94" s="284"/>
      <c r="ER94" s="1">
        <v>4</v>
      </c>
      <c r="ES94">
        <f t="shared" si="529"/>
        <v>0</v>
      </c>
      <c r="ET94" s="37">
        <f t="shared" si="554"/>
        <v>120</v>
      </c>
      <c r="EU94" s="30">
        <f t="shared" si="530"/>
        <v>2</v>
      </c>
      <c r="EV94" s="150"/>
      <c r="EW94" s="287"/>
      <c r="EX94" s="201"/>
    </row>
    <row r="95" spans="1:154" x14ac:dyDescent="0.45">
      <c r="A95" s="294"/>
      <c r="B95" s="1">
        <v>5</v>
      </c>
      <c r="C95">
        <f t="shared" si="531"/>
        <v>0</v>
      </c>
      <c r="D95" s="37">
        <f t="shared" si="532"/>
        <v>120</v>
      </c>
      <c r="E95" s="30">
        <f t="shared" si="486"/>
        <v>12</v>
      </c>
      <c r="F95" s="150"/>
      <c r="G95" s="287"/>
      <c r="H95" s="201"/>
      <c r="I95" s="294"/>
      <c r="J95" s="1">
        <v>5</v>
      </c>
      <c r="K95">
        <f t="shared" si="487"/>
        <v>0</v>
      </c>
      <c r="L95" s="37">
        <f t="shared" si="533"/>
        <v>120</v>
      </c>
      <c r="M95" s="30">
        <f t="shared" si="488"/>
        <v>12</v>
      </c>
      <c r="N95" s="150"/>
      <c r="O95" s="284"/>
      <c r="P95" s="1">
        <v>5</v>
      </c>
      <c r="Q95">
        <f t="shared" si="489"/>
        <v>0</v>
      </c>
      <c r="R95" s="37">
        <f t="shared" si="534"/>
        <v>120</v>
      </c>
      <c r="S95" s="30">
        <f t="shared" si="490"/>
        <v>12</v>
      </c>
      <c r="T95" s="150"/>
      <c r="U95" s="287"/>
      <c r="V95" s="201"/>
      <c r="W95" s="294"/>
      <c r="X95" s="1">
        <v>5</v>
      </c>
      <c r="Y95">
        <f t="shared" si="491"/>
        <v>0</v>
      </c>
      <c r="Z95" s="37">
        <f t="shared" si="535"/>
        <v>120</v>
      </c>
      <c r="AA95" s="30">
        <f t="shared" si="492"/>
        <v>12</v>
      </c>
      <c r="AB95" s="150">
        <v>4</v>
      </c>
      <c r="AC95" s="284"/>
      <c r="AD95" s="1">
        <v>5</v>
      </c>
      <c r="AE95">
        <f t="shared" si="493"/>
        <v>0</v>
      </c>
      <c r="AF95" s="37">
        <f t="shared" si="536"/>
        <v>120</v>
      </c>
      <c r="AG95" s="30">
        <f t="shared" si="494"/>
        <v>12</v>
      </c>
      <c r="AH95" s="150"/>
      <c r="AI95" s="284"/>
      <c r="AJ95" s="1">
        <v>5</v>
      </c>
      <c r="AK95">
        <f t="shared" si="495"/>
        <v>0</v>
      </c>
      <c r="AL95" s="37">
        <f t="shared" si="537"/>
        <v>120</v>
      </c>
      <c r="AM95" s="30">
        <f t="shared" si="496"/>
        <v>12</v>
      </c>
      <c r="AN95" s="150"/>
      <c r="AO95" s="287"/>
      <c r="AP95" s="201"/>
      <c r="AQ95" s="294"/>
      <c r="AR95" s="1">
        <v>5</v>
      </c>
      <c r="AS95">
        <f t="shared" si="497"/>
        <v>0</v>
      </c>
      <c r="AT95" s="37">
        <f t="shared" si="538"/>
        <v>120</v>
      </c>
      <c r="AU95" s="30">
        <f t="shared" si="498"/>
        <v>12</v>
      </c>
      <c r="AV95" s="150"/>
      <c r="AW95" s="284"/>
      <c r="AX95" s="1">
        <v>5</v>
      </c>
      <c r="AY95">
        <f t="shared" si="499"/>
        <v>0</v>
      </c>
      <c r="AZ95" s="37">
        <f t="shared" si="539"/>
        <v>120</v>
      </c>
      <c r="BA95" s="30">
        <f t="shared" si="500"/>
        <v>12</v>
      </c>
      <c r="BB95" s="150"/>
      <c r="BC95" s="287"/>
      <c r="BD95" s="201"/>
      <c r="BE95" s="294"/>
      <c r="BF95" s="1">
        <v>5</v>
      </c>
      <c r="BG95">
        <f t="shared" si="501"/>
        <v>0</v>
      </c>
      <c r="BH95" s="37">
        <f t="shared" si="540"/>
        <v>120</v>
      </c>
      <c r="BI95" s="30">
        <f t="shared" si="502"/>
        <v>12</v>
      </c>
      <c r="BJ95" s="150"/>
      <c r="BK95" s="284"/>
      <c r="BL95" s="1">
        <v>5</v>
      </c>
      <c r="BM95">
        <f t="shared" si="503"/>
        <v>0</v>
      </c>
      <c r="BN95" s="37">
        <f t="shared" si="541"/>
        <v>120</v>
      </c>
      <c r="BO95" s="30">
        <f t="shared" si="504"/>
        <v>12</v>
      </c>
      <c r="BP95" s="150"/>
      <c r="BQ95" s="284"/>
      <c r="BR95" s="1">
        <v>5</v>
      </c>
      <c r="BS95">
        <f t="shared" si="505"/>
        <v>0</v>
      </c>
      <c r="BT95" s="37">
        <f t="shared" si="542"/>
        <v>120</v>
      </c>
      <c r="BU95" s="30">
        <f t="shared" si="506"/>
        <v>12</v>
      </c>
      <c r="BV95" s="150"/>
      <c r="BW95" s="284"/>
      <c r="BX95" s="1">
        <v>5</v>
      </c>
      <c r="BY95">
        <f t="shared" si="507"/>
        <v>0</v>
      </c>
      <c r="BZ95" s="37">
        <f t="shared" si="543"/>
        <v>120</v>
      </c>
      <c r="CA95" s="30">
        <f t="shared" si="508"/>
        <v>12</v>
      </c>
      <c r="CB95" s="150"/>
      <c r="CC95" s="287"/>
      <c r="CD95" s="201"/>
      <c r="CE95" s="294"/>
      <c r="CF95" s="1">
        <v>5</v>
      </c>
      <c r="CG95">
        <f t="shared" si="509"/>
        <v>0</v>
      </c>
      <c r="CH95" s="37">
        <f t="shared" si="544"/>
        <v>120</v>
      </c>
      <c r="CI95" s="30">
        <f t="shared" si="510"/>
        <v>12</v>
      </c>
      <c r="CJ95" s="150">
        <v>4</v>
      </c>
      <c r="CK95" s="284"/>
      <c r="CL95" s="1">
        <v>5</v>
      </c>
      <c r="CM95">
        <f t="shared" si="511"/>
        <v>0</v>
      </c>
      <c r="CN95" s="37">
        <f t="shared" si="545"/>
        <v>120</v>
      </c>
      <c r="CO95" s="30">
        <f t="shared" si="512"/>
        <v>12</v>
      </c>
      <c r="CP95" s="150"/>
      <c r="CQ95" s="284"/>
      <c r="CR95" s="1">
        <v>5</v>
      </c>
      <c r="CS95">
        <f t="shared" si="513"/>
        <v>0</v>
      </c>
      <c r="CT95" s="37">
        <f t="shared" si="546"/>
        <v>120</v>
      </c>
      <c r="CU95" s="30">
        <f t="shared" si="514"/>
        <v>12</v>
      </c>
      <c r="CV95" s="150"/>
      <c r="CW95" s="284"/>
      <c r="CX95" s="1">
        <v>5</v>
      </c>
      <c r="CY95">
        <f t="shared" si="515"/>
        <v>0</v>
      </c>
      <c r="CZ95" s="37">
        <f t="shared" si="547"/>
        <v>120</v>
      </c>
      <c r="DA95" s="30">
        <f t="shared" si="516"/>
        <v>12</v>
      </c>
      <c r="DB95" s="150"/>
      <c r="DC95" s="287"/>
      <c r="DD95" s="201"/>
      <c r="DE95" s="294"/>
      <c r="DF95" s="1">
        <v>5</v>
      </c>
      <c r="DG95">
        <f t="shared" si="517"/>
        <v>0</v>
      </c>
      <c r="DH95" s="37">
        <f t="shared" si="548"/>
        <v>120</v>
      </c>
      <c r="DI95" s="30">
        <f t="shared" si="518"/>
        <v>12</v>
      </c>
      <c r="DJ95" s="150"/>
      <c r="DK95" s="284"/>
      <c r="DL95" s="1">
        <v>5</v>
      </c>
      <c r="DM95">
        <f t="shared" si="519"/>
        <v>0</v>
      </c>
      <c r="DN95" s="37">
        <f t="shared" si="549"/>
        <v>120</v>
      </c>
      <c r="DO95" s="30">
        <f t="shared" si="520"/>
        <v>12</v>
      </c>
      <c r="DP95" s="150"/>
      <c r="DQ95" s="284"/>
      <c r="DR95" s="1">
        <v>5</v>
      </c>
      <c r="DS95">
        <f t="shared" si="521"/>
        <v>0</v>
      </c>
      <c r="DT95" s="37">
        <f t="shared" si="550"/>
        <v>120</v>
      </c>
      <c r="DU95" s="30">
        <f t="shared" si="522"/>
        <v>12</v>
      </c>
      <c r="DV95" s="150"/>
      <c r="DW95" s="287"/>
      <c r="DX95" s="201"/>
      <c r="DY95" s="294"/>
      <c r="DZ95" s="1">
        <v>5</v>
      </c>
      <c r="EA95">
        <f t="shared" si="523"/>
        <v>0</v>
      </c>
      <c r="EB95" s="37">
        <f t="shared" si="551"/>
        <v>120</v>
      </c>
      <c r="EC95" s="30">
        <f t="shared" si="524"/>
        <v>12</v>
      </c>
      <c r="ED95" s="150">
        <v>4</v>
      </c>
      <c r="EE95" s="284"/>
      <c r="EF95" s="1">
        <v>5</v>
      </c>
      <c r="EG95">
        <f t="shared" si="525"/>
        <v>0</v>
      </c>
      <c r="EH95" s="37">
        <f t="shared" si="552"/>
        <v>120</v>
      </c>
      <c r="EI95" s="30">
        <f t="shared" si="526"/>
        <v>12</v>
      </c>
      <c r="EJ95" s="150"/>
      <c r="EK95" s="284"/>
      <c r="EL95" s="1">
        <v>5</v>
      </c>
      <c r="EM95">
        <f t="shared" si="527"/>
        <v>0</v>
      </c>
      <c r="EN95" s="37">
        <f t="shared" si="553"/>
        <v>120</v>
      </c>
      <c r="EO95" s="30">
        <f t="shared" si="528"/>
        <v>12</v>
      </c>
      <c r="EP95" s="150"/>
      <c r="EQ95" s="284"/>
      <c r="ER95" s="1">
        <v>5</v>
      </c>
      <c r="ES95">
        <f t="shared" si="529"/>
        <v>0</v>
      </c>
      <c r="ET95" s="37">
        <f t="shared" si="554"/>
        <v>120</v>
      </c>
      <c r="EU95" s="30">
        <f t="shared" si="530"/>
        <v>12</v>
      </c>
      <c r="EV95" s="150"/>
      <c r="EW95" s="287"/>
      <c r="EX95" s="201"/>
    </row>
    <row r="96" spans="1:154" x14ac:dyDescent="0.45">
      <c r="A96" s="294"/>
      <c r="B96" s="1">
        <v>6</v>
      </c>
      <c r="C96">
        <f t="shared" si="531"/>
        <v>0</v>
      </c>
      <c r="D96" s="37">
        <f t="shared" si="532"/>
        <v>120</v>
      </c>
      <c r="E96" s="30">
        <f t="shared" si="486"/>
        <v>8</v>
      </c>
      <c r="F96" s="150"/>
      <c r="G96" s="287"/>
      <c r="H96" s="201"/>
      <c r="I96" s="294"/>
      <c r="J96" s="1">
        <v>6</v>
      </c>
      <c r="K96">
        <f t="shared" si="487"/>
        <v>0</v>
      </c>
      <c r="L96" s="37">
        <f t="shared" si="533"/>
        <v>120</v>
      </c>
      <c r="M96" s="30">
        <f t="shared" si="488"/>
        <v>8</v>
      </c>
      <c r="N96" s="150"/>
      <c r="O96" s="284"/>
      <c r="P96" s="1">
        <v>6</v>
      </c>
      <c r="Q96">
        <f t="shared" si="489"/>
        <v>0</v>
      </c>
      <c r="R96" s="37">
        <f t="shared" si="534"/>
        <v>120</v>
      </c>
      <c r="S96" s="30">
        <f t="shared" si="490"/>
        <v>8</v>
      </c>
      <c r="T96" s="150"/>
      <c r="U96" s="287"/>
      <c r="V96" s="201"/>
      <c r="W96" s="294"/>
      <c r="X96" s="1">
        <v>6</v>
      </c>
      <c r="Y96">
        <f t="shared" si="491"/>
        <v>0</v>
      </c>
      <c r="Z96" s="37">
        <f t="shared" si="535"/>
        <v>120</v>
      </c>
      <c r="AA96" s="30">
        <f t="shared" si="492"/>
        <v>8</v>
      </c>
      <c r="AB96" s="150"/>
      <c r="AC96" s="284"/>
      <c r="AD96" s="1">
        <v>6</v>
      </c>
      <c r="AE96">
        <f t="shared" si="493"/>
        <v>0</v>
      </c>
      <c r="AF96" s="37">
        <f t="shared" si="536"/>
        <v>120</v>
      </c>
      <c r="AG96" s="30">
        <f t="shared" si="494"/>
        <v>8</v>
      </c>
      <c r="AH96" s="150"/>
      <c r="AI96" s="284"/>
      <c r="AJ96" s="1">
        <v>6</v>
      </c>
      <c r="AK96">
        <f t="shared" si="495"/>
        <v>0</v>
      </c>
      <c r="AL96" s="37">
        <f t="shared" si="537"/>
        <v>120</v>
      </c>
      <c r="AM96" s="30">
        <f t="shared" si="496"/>
        <v>8</v>
      </c>
      <c r="AN96" s="150"/>
      <c r="AO96" s="287"/>
      <c r="AP96" s="201"/>
      <c r="AQ96" s="294"/>
      <c r="AR96" s="1">
        <v>6</v>
      </c>
      <c r="AS96">
        <f t="shared" si="497"/>
        <v>0</v>
      </c>
      <c r="AT96" s="37">
        <f t="shared" si="538"/>
        <v>120</v>
      </c>
      <c r="AU96" s="30">
        <f t="shared" si="498"/>
        <v>8</v>
      </c>
      <c r="AV96" s="150"/>
      <c r="AW96" s="284"/>
      <c r="AX96" s="1">
        <v>6</v>
      </c>
      <c r="AY96">
        <f t="shared" si="499"/>
        <v>0</v>
      </c>
      <c r="AZ96" s="37">
        <f t="shared" si="539"/>
        <v>120</v>
      </c>
      <c r="BA96" s="30">
        <f t="shared" si="500"/>
        <v>8</v>
      </c>
      <c r="BB96" s="150"/>
      <c r="BC96" s="287"/>
      <c r="BD96" s="201"/>
      <c r="BE96" s="294"/>
      <c r="BF96" s="1">
        <v>6</v>
      </c>
      <c r="BG96">
        <f t="shared" si="501"/>
        <v>0</v>
      </c>
      <c r="BH96" s="37">
        <f t="shared" si="540"/>
        <v>120</v>
      </c>
      <c r="BI96" s="30">
        <f t="shared" si="502"/>
        <v>8</v>
      </c>
      <c r="BJ96" s="150"/>
      <c r="BK96" s="284"/>
      <c r="BL96" s="1">
        <v>6</v>
      </c>
      <c r="BM96">
        <f t="shared" si="503"/>
        <v>0</v>
      </c>
      <c r="BN96" s="37">
        <f t="shared" si="541"/>
        <v>120</v>
      </c>
      <c r="BO96" s="30">
        <f t="shared" si="504"/>
        <v>8</v>
      </c>
      <c r="BP96" s="150"/>
      <c r="BQ96" s="284"/>
      <c r="BR96" s="1">
        <v>6</v>
      </c>
      <c r="BS96">
        <f t="shared" si="505"/>
        <v>0</v>
      </c>
      <c r="BT96" s="37">
        <f t="shared" si="542"/>
        <v>120</v>
      </c>
      <c r="BU96" s="30">
        <f t="shared" si="506"/>
        <v>8</v>
      </c>
      <c r="BV96" s="150"/>
      <c r="BW96" s="284"/>
      <c r="BX96" s="1">
        <v>6</v>
      </c>
      <c r="BY96">
        <f t="shared" si="507"/>
        <v>0</v>
      </c>
      <c r="BZ96" s="37">
        <f t="shared" si="543"/>
        <v>120</v>
      </c>
      <c r="CA96" s="30">
        <f t="shared" si="508"/>
        <v>8</v>
      </c>
      <c r="CB96" s="150"/>
      <c r="CC96" s="287"/>
      <c r="CD96" s="201"/>
      <c r="CE96" s="294"/>
      <c r="CF96" s="1">
        <v>6</v>
      </c>
      <c r="CG96">
        <f t="shared" si="509"/>
        <v>0</v>
      </c>
      <c r="CH96" s="37">
        <f t="shared" si="544"/>
        <v>120</v>
      </c>
      <c r="CI96" s="30">
        <f t="shared" si="510"/>
        <v>8</v>
      </c>
      <c r="CJ96" s="150"/>
      <c r="CK96" s="284"/>
      <c r="CL96" s="1">
        <v>6</v>
      </c>
      <c r="CM96">
        <f t="shared" si="511"/>
        <v>0</v>
      </c>
      <c r="CN96" s="37">
        <f t="shared" si="545"/>
        <v>120</v>
      </c>
      <c r="CO96" s="30">
        <f t="shared" si="512"/>
        <v>8</v>
      </c>
      <c r="CP96" s="150"/>
      <c r="CQ96" s="284"/>
      <c r="CR96" s="1">
        <v>6</v>
      </c>
      <c r="CS96">
        <f t="shared" si="513"/>
        <v>0</v>
      </c>
      <c r="CT96" s="37">
        <f t="shared" si="546"/>
        <v>120</v>
      </c>
      <c r="CU96" s="30">
        <f t="shared" si="514"/>
        <v>8</v>
      </c>
      <c r="CV96" s="150"/>
      <c r="CW96" s="284"/>
      <c r="CX96" s="1">
        <v>6</v>
      </c>
      <c r="CY96">
        <f t="shared" si="515"/>
        <v>0</v>
      </c>
      <c r="CZ96" s="37">
        <f t="shared" si="547"/>
        <v>120</v>
      </c>
      <c r="DA96" s="30">
        <f t="shared" si="516"/>
        <v>8</v>
      </c>
      <c r="DB96" s="150"/>
      <c r="DC96" s="287"/>
      <c r="DD96" s="201"/>
      <c r="DE96" s="294"/>
      <c r="DF96" s="1">
        <v>6</v>
      </c>
      <c r="DG96">
        <f t="shared" si="517"/>
        <v>0</v>
      </c>
      <c r="DH96" s="37">
        <f t="shared" si="548"/>
        <v>120</v>
      </c>
      <c r="DI96" s="30">
        <f t="shared" si="518"/>
        <v>8</v>
      </c>
      <c r="DJ96" s="150"/>
      <c r="DK96" s="284"/>
      <c r="DL96" s="1">
        <v>6</v>
      </c>
      <c r="DM96">
        <f t="shared" si="519"/>
        <v>0</v>
      </c>
      <c r="DN96" s="37">
        <f t="shared" si="549"/>
        <v>120</v>
      </c>
      <c r="DO96" s="30">
        <f t="shared" si="520"/>
        <v>8</v>
      </c>
      <c r="DP96" s="150"/>
      <c r="DQ96" s="284"/>
      <c r="DR96" s="1">
        <v>6</v>
      </c>
      <c r="DS96">
        <f t="shared" si="521"/>
        <v>0</v>
      </c>
      <c r="DT96" s="37">
        <f t="shared" si="550"/>
        <v>120</v>
      </c>
      <c r="DU96" s="30">
        <f t="shared" si="522"/>
        <v>8</v>
      </c>
      <c r="DV96" s="150"/>
      <c r="DW96" s="287"/>
      <c r="DX96" s="201"/>
      <c r="DY96" s="294"/>
      <c r="DZ96" s="1">
        <v>6</v>
      </c>
      <c r="EA96">
        <f t="shared" si="523"/>
        <v>0</v>
      </c>
      <c r="EB96" s="37">
        <f t="shared" si="551"/>
        <v>120</v>
      </c>
      <c r="EC96" s="30">
        <f t="shared" si="524"/>
        <v>8</v>
      </c>
      <c r="ED96" s="150"/>
      <c r="EE96" s="284"/>
      <c r="EF96" s="1">
        <v>6</v>
      </c>
      <c r="EG96">
        <f t="shared" si="525"/>
        <v>0</v>
      </c>
      <c r="EH96" s="37">
        <f t="shared" si="552"/>
        <v>120</v>
      </c>
      <c r="EI96" s="30">
        <f t="shared" si="526"/>
        <v>8</v>
      </c>
      <c r="EJ96" s="150"/>
      <c r="EK96" s="284"/>
      <c r="EL96" s="1">
        <v>6</v>
      </c>
      <c r="EM96">
        <f t="shared" si="527"/>
        <v>0</v>
      </c>
      <c r="EN96" s="37">
        <f t="shared" si="553"/>
        <v>120</v>
      </c>
      <c r="EO96" s="30">
        <f t="shared" si="528"/>
        <v>8</v>
      </c>
      <c r="EP96" s="150"/>
      <c r="EQ96" s="284"/>
      <c r="ER96" s="1">
        <v>6</v>
      </c>
      <c r="ES96">
        <f t="shared" si="529"/>
        <v>0</v>
      </c>
      <c r="ET96" s="37">
        <f t="shared" si="554"/>
        <v>120</v>
      </c>
      <c r="EU96" s="30">
        <f t="shared" si="530"/>
        <v>8</v>
      </c>
      <c r="EV96" s="150"/>
      <c r="EW96" s="287"/>
      <c r="EX96" s="201"/>
    </row>
    <row r="97" spans="1:154" x14ac:dyDescent="0.45">
      <c r="A97" s="294"/>
      <c r="B97" s="1">
        <v>7</v>
      </c>
      <c r="C97">
        <f t="shared" si="531"/>
        <v>0</v>
      </c>
      <c r="D97" s="37">
        <f t="shared" si="532"/>
        <v>120</v>
      </c>
      <c r="E97" s="30">
        <f t="shared" si="486"/>
        <v>21</v>
      </c>
      <c r="F97" s="150">
        <v>12</v>
      </c>
      <c r="G97" s="287"/>
      <c r="H97" s="201"/>
      <c r="I97" s="294"/>
      <c r="J97" s="1">
        <v>7</v>
      </c>
      <c r="K97">
        <f t="shared" si="487"/>
        <v>0</v>
      </c>
      <c r="L97" s="37">
        <f t="shared" si="533"/>
        <v>120</v>
      </c>
      <c r="M97" s="30">
        <f t="shared" si="488"/>
        <v>21</v>
      </c>
      <c r="N97" s="150"/>
      <c r="O97" s="284"/>
      <c r="P97" s="1">
        <v>7</v>
      </c>
      <c r="Q97">
        <f t="shared" si="489"/>
        <v>0</v>
      </c>
      <c r="R97" s="37">
        <f t="shared" si="534"/>
        <v>120</v>
      </c>
      <c r="S97" s="30">
        <f t="shared" si="490"/>
        <v>21</v>
      </c>
      <c r="T97" s="150"/>
      <c r="U97" s="287"/>
      <c r="V97" s="201"/>
      <c r="W97" s="294"/>
      <c r="X97" s="1">
        <v>7</v>
      </c>
      <c r="Y97">
        <f t="shared" si="491"/>
        <v>0</v>
      </c>
      <c r="Z97" s="37">
        <f t="shared" si="535"/>
        <v>120</v>
      </c>
      <c r="AA97" s="30">
        <f t="shared" si="492"/>
        <v>21</v>
      </c>
      <c r="AB97" s="150"/>
      <c r="AC97" s="284"/>
      <c r="AD97" s="1">
        <v>7</v>
      </c>
      <c r="AE97">
        <f t="shared" si="493"/>
        <v>0</v>
      </c>
      <c r="AF97" s="37">
        <f t="shared" si="536"/>
        <v>120</v>
      </c>
      <c r="AG97" s="30">
        <f t="shared" si="494"/>
        <v>21</v>
      </c>
      <c r="AH97" s="150"/>
      <c r="AI97" s="284"/>
      <c r="AJ97" s="1">
        <v>7</v>
      </c>
      <c r="AK97">
        <f t="shared" si="495"/>
        <v>0</v>
      </c>
      <c r="AL97" s="37">
        <f t="shared" si="537"/>
        <v>120</v>
      </c>
      <c r="AM97" s="30">
        <f t="shared" si="496"/>
        <v>21</v>
      </c>
      <c r="AN97" s="150"/>
      <c r="AO97" s="287"/>
      <c r="AP97" s="201"/>
      <c r="AQ97" s="294"/>
      <c r="AR97" s="1">
        <v>7</v>
      </c>
      <c r="AS97">
        <f t="shared" si="497"/>
        <v>0</v>
      </c>
      <c r="AT97" s="37">
        <f t="shared" si="538"/>
        <v>120</v>
      </c>
      <c r="AU97" s="30">
        <f t="shared" si="498"/>
        <v>21</v>
      </c>
      <c r="AV97" s="150">
        <v>12</v>
      </c>
      <c r="AW97" s="284"/>
      <c r="AX97" s="1">
        <v>7</v>
      </c>
      <c r="AY97">
        <f t="shared" si="499"/>
        <v>0</v>
      </c>
      <c r="AZ97" s="37">
        <f t="shared" si="539"/>
        <v>120</v>
      </c>
      <c r="BA97" s="30">
        <f t="shared" si="500"/>
        <v>21</v>
      </c>
      <c r="BB97" s="150"/>
      <c r="BC97" s="287"/>
      <c r="BD97" s="201"/>
      <c r="BE97" s="294"/>
      <c r="BF97" s="1">
        <v>7</v>
      </c>
      <c r="BG97">
        <f t="shared" si="501"/>
        <v>0</v>
      </c>
      <c r="BH97" s="37">
        <f t="shared" si="540"/>
        <v>120</v>
      </c>
      <c r="BI97" s="30">
        <f t="shared" si="502"/>
        <v>21</v>
      </c>
      <c r="BJ97" s="150"/>
      <c r="BK97" s="284"/>
      <c r="BL97" s="1">
        <v>7</v>
      </c>
      <c r="BM97">
        <f t="shared" si="503"/>
        <v>0</v>
      </c>
      <c r="BN97" s="37">
        <f t="shared" si="541"/>
        <v>120</v>
      </c>
      <c r="BO97" s="30">
        <f t="shared" si="504"/>
        <v>21</v>
      </c>
      <c r="BP97" s="150"/>
      <c r="BQ97" s="284"/>
      <c r="BR97" s="1">
        <v>7</v>
      </c>
      <c r="BS97">
        <f t="shared" si="505"/>
        <v>0</v>
      </c>
      <c r="BT97" s="37">
        <f t="shared" si="542"/>
        <v>120</v>
      </c>
      <c r="BU97" s="30">
        <f t="shared" si="506"/>
        <v>21</v>
      </c>
      <c r="BV97" s="150"/>
      <c r="BW97" s="284"/>
      <c r="BX97" s="1">
        <v>7</v>
      </c>
      <c r="BY97">
        <f t="shared" si="507"/>
        <v>0</v>
      </c>
      <c r="BZ97" s="37">
        <f>(BY97+$B$89)*$G$3</f>
        <v>120</v>
      </c>
      <c r="CA97" s="30">
        <f t="shared" si="508"/>
        <v>21</v>
      </c>
      <c r="CB97" s="150"/>
      <c r="CC97" s="287"/>
      <c r="CD97" s="201"/>
      <c r="CE97" s="294"/>
      <c r="CF97" s="1">
        <v>7</v>
      </c>
      <c r="CG97">
        <f t="shared" si="509"/>
        <v>0</v>
      </c>
      <c r="CH97" s="37">
        <f t="shared" si="544"/>
        <v>120</v>
      </c>
      <c r="CI97" s="30">
        <f t="shared" si="510"/>
        <v>21</v>
      </c>
      <c r="CJ97" s="150"/>
      <c r="CK97" s="284"/>
      <c r="CL97" s="1">
        <v>7</v>
      </c>
      <c r="CM97">
        <f t="shared" si="511"/>
        <v>0</v>
      </c>
      <c r="CN97" s="37">
        <f t="shared" si="545"/>
        <v>120</v>
      </c>
      <c r="CO97" s="30">
        <f t="shared" si="512"/>
        <v>21</v>
      </c>
      <c r="CP97" s="150">
        <v>18</v>
      </c>
      <c r="CQ97" s="284"/>
      <c r="CR97" s="1">
        <v>7</v>
      </c>
      <c r="CS97">
        <f t="shared" si="513"/>
        <v>0</v>
      </c>
      <c r="CT97" s="37">
        <f t="shared" si="546"/>
        <v>120</v>
      </c>
      <c r="CU97" s="30">
        <f t="shared" si="514"/>
        <v>21</v>
      </c>
      <c r="CV97" s="150"/>
      <c r="CW97" s="284"/>
      <c r="CX97" s="1">
        <v>7</v>
      </c>
      <c r="CY97">
        <f t="shared" si="515"/>
        <v>0</v>
      </c>
      <c r="CZ97" s="37">
        <f t="shared" si="547"/>
        <v>120</v>
      </c>
      <c r="DA97" s="30">
        <f t="shared" si="516"/>
        <v>21</v>
      </c>
      <c r="DB97" s="150"/>
      <c r="DC97" s="287"/>
      <c r="DD97" s="201"/>
      <c r="DE97" s="294"/>
      <c r="DF97" s="1">
        <v>7</v>
      </c>
      <c r="DG97">
        <f t="shared" si="517"/>
        <v>0</v>
      </c>
      <c r="DH97" s="37">
        <f t="shared" si="548"/>
        <v>120</v>
      </c>
      <c r="DI97" s="30">
        <f t="shared" si="518"/>
        <v>21</v>
      </c>
      <c r="DJ97" s="150"/>
      <c r="DK97" s="284"/>
      <c r="DL97" s="1">
        <v>7</v>
      </c>
      <c r="DM97">
        <f t="shared" si="519"/>
        <v>0</v>
      </c>
      <c r="DN97" s="37">
        <f t="shared" si="549"/>
        <v>120</v>
      </c>
      <c r="DO97" s="30">
        <f t="shared" si="520"/>
        <v>21</v>
      </c>
      <c r="DP97" s="150"/>
      <c r="DQ97" s="284"/>
      <c r="DR97" s="1">
        <v>7</v>
      </c>
      <c r="DS97">
        <f t="shared" si="521"/>
        <v>0</v>
      </c>
      <c r="DT97" s="37">
        <f t="shared" si="550"/>
        <v>120</v>
      </c>
      <c r="DU97" s="30">
        <f t="shared" si="522"/>
        <v>21</v>
      </c>
      <c r="DV97" s="150"/>
      <c r="DW97" s="287"/>
      <c r="DX97" s="201"/>
      <c r="DY97" s="294"/>
      <c r="DZ97" s="1">
        <v>7</v>
      </c>
      <c r="EA97">
        <f t="shared" si="523"/>
        <v>0</v>
      </c>
      <c r="EB97" s="37">
        <f t="shared" si="551"/>
        <v>120</v>
      </c>
      <c r="EC97" s="30">
        <f t="shared" si="524"/>
        <v>21</v>
      </c>
      <c r="ED97" s="150"/>
      <c r="EE97" s="284"/>
      <c r="EF97" s="1">
        <v>7</v>
      </c>
      <c r="EG97">
        <f t="shared" si="525"/>
        <v>0</v>
      </c>
      <c r="EH97" s="37">
        <f t="shared" si="552"/>
        <v>120</v>
      </c>
      <c r="EI97" s="30">
        <f t="shared" si="526"/>
        <v>21</v>
      </c>
      <c r="EJ97" s="150"/>
      <c r="EK97" s="284"/>
      <c r="EL97" s="1">
        <v>7</v>
      </c>
      <c r="EM97">
        <f t="shared" si="527"/>
        <v>0</v>
      </c>
      <c r="EN97" s="37">
        <f t="shared" si="553"/>
        <v>120</v>
      </c>
      <c r="EO97" s="30">
        <f t="shared" si="528"/>
        <v>21</v>
      </c>
      <c r="EP97" s="150"/>
      <c r="EQ97" s="284"/>
      <c r="ER97" s="1">
        <v>7</v>
      </c>
      <c r="ES97">
        <f t="shared" si="529"/>
        <v>0</v>
      </c>
      <c r="ET97" s="37">
        <f t="shared" si="554"/>
        <v>120</v>
      </c>
      <c r="EU97" s="30">
        <f t="shared" si="530"/>
        <v>21</v>
      </c>
      <c r="EV97" s="150"/>
      <c r="EW97" s="287"/>
      <c r="EX97" s="201"/>
    </row>
    <row r="98" spans="1:154" s="181" customFormat="1" ht="21.5" thickBot="1" x14ac:dyDescent="0.5">
      <c r="A98" s="295"/>
      <c r="B98" s="190">
        <v>8</v>
      </c>
      <c r="C98" s="191">
        <f t="shared" si="531"/>
        <v>0</v>
      </c>
      <c r="D98" s="37">
        <f t="shared" si="532"/>
        <v>120</v>
      </c>
      <c r="E98" s="30">
        <f t="shared" si="486"/>
        <v>17</v>
      </c>
      <c r="F98" s="192">
        <v>11</v>
      </c>
      <c r="G98" s="287"/>
      <c r="H98" s="201"/>
      <c r="I98" s="295"/>
      <c r="J98" s="190">
        <v>8</v>
      </c>
      <c r="K98" s="191">
        <f t="shared" si="487"/>
        <v>1</v>
      </c>
      <c r="L98" s="37">
        <f t="shared" si="533"/>
        <v>128</v>
      </c>
      <c r="M98" s="30">
        <f t="shared" si="488"/>
        <v>25</v>
      </c>
      <c r="N98" s="192">
        <v>5</v>
      </c>
      <c r="O98" s="288"/>
      <c r="P98" s="190">
        <v>8</v>
      </c>
      <c r="Q98" s="181">
        <f t="shared" si="489"/>
        <v>2</v>
      </c>
      <c r="R98" s="37">
        <f t="shared" si="534"/>
        <v>136</v>
      </c>
      <c r="S98" s="30">
        <f t="shared" si="490"/>
        <v>1</v>
      </c>
      <c r="T98" s="192">
        <v>11</v>
      </c>
      <c r="U98" s="287"/>
      <c r="V98" s="201"/>
      <c r="W98" s="295"/>
      <c r="X98" s="190">
        <v>8</v>
      </c>
      <c r="Y98" s="191">
        <f t="shared" si="491"/>
        <v>3</v>
      </c>
      <c r="Z98" s="37">
        <f t="shared" si="535"/>
        <v>144</v>
      </c>
      <c r="AA98" s="30">
        <f t="shared" si="492"/>
        <v>9</v>
      </c>
      <c r="AB98" s="192">
        <v>3</v>
      </c>
      <c r="AC98" s="288"/>
      <c r="AD98" s="190">
        <v>8</v>
      </c>
      <c r="AE98" s="181">
        <f t="shared" si="493"/>
        <v>4</v>
      </c>
      <c r="AF98" s="37">
        <f t="shared" si="536"/>
        <v>152</v>
      </c>
      <c r="AG98" s="30">
        <f t="shared" si="494"/>
        <v>17</v>
      </c>
      <c r="AH98" s="192"/>
      <c r="AI98" s="288"/>
      <c r="AJ98" s="190">
        <v>8</v>
      </c>
      <c r="AK98" s="181">
        <f t="shared" si="495"/>
        <v>4</v>
      </c>
      <c r="AL98" s="37">
        <f t="shared" si="537"/>
        <v>152</v>
      </c>
      <c r="AM98" s="30">
        <f t="shared" si="496"/>
        <v>17</v>
      </c>
      <c r="AN98" s="192"/>
      <c r="AO98" s="287"/>
      <c r="AP98" s="201"/>
      <c r="AQ98" s="295"/>
      <c r="AR98" s="190">
        <v>8</v>
      </c>
      <c r="AS98" s="181">
        <f t="shared" si="497"/>
        <v>4</v>
      </c>
      <c r="AT98" s="37">
        <f t="shared" si="538"/>
        <v>152</v>
      </c>
      <c r="AU98" s="30">
        <f t="shared" si="498"/>
        <v>17</v>
      </c>
      <c r="AV98" s="192">
        <v>11</v>
      </c>
      <c r="AW98" s="288"/>
      <c r="AX98" s="190">
        <v>8</v>
      </c>
      <c r="AY98" s="181">
        <f t="shared" si="499"/>
        <v>5</v>
      </c>
      <c r="AZ98" s="37">
        <f t="shared" si="539"/>
        <v>160</v>
      </c>
      <c r="BA98" s="30">
        <f t="shared" si="500"/>
        <v>25</v>
      </c>
      <c r="BB98" s="192">
        <v>15</v>
      </c>
      <c r="BC98" s="287"/>
      <c r="BD98" s="201"/>
      <c r="BE98" s="295"/>
      <c r="BF98" s="190">
        <v>8</v>
      </c>
      <c r="BG98" s="181">
        <f t="shared" si="501"/>
        <v>6</v>
      </c>
      <c r="BH98" s="37">
        <f t="shared" si="540"/>
        <v>168</v>
      </c>
      <c r="BI98" s="30">
        <f t="shared" si="502"/>
        <v>1</v>
      </c>
      <c r="BJ98" s="192">
        <v>3</v>
      </c>
      <c r="BK98" s="288"/>
      <c r="BL98" s="190">
        <v>8</v>
      </c>
      <c r="BM98" s="181">
        <f t="shared" si="503"/>
        <v>7</v>
      </c>
      <c r="BN98" s="37">
        <f t="shared" si="541"/>
        <v>176</v>
      </c>
      <c r="BO98" s="30">
        <f t="shared" si="504"/>
        <v>9</v>
      </c>
      <c r="BP98" s="192"/>
      <c r="BQ98" s="288"/>
      <c r="BR98" s="190">
        <v>8</v>
      </c>
      <c r="BS98" s="181">
        <f t="shared" si="505"/>
        <v>7</v>
      </c>
      <c r="BT98" s="37">
        <f t="shared" si="542"/>
        <v>176</v>
      </c>
      <c r="BU98" s="30">
        <f t="shared" si="506"/>
        <v>9</v>
      </c>
      <c r="BV98" s="192"/>
      <c r="BW98" s="288"/>
      <c r="BX98" s="190">
        <v>8</v>
      </c>
      <c r="BY98" s="181">
        <f t="shared" si="507"/>
        <v>7</v>
      </c>
      <c r="BZ98" s="37">
        <f t="shared" si="543"/>
        <v>176</v>
      </c>
      <c r="CA98" s="30">
        <f t="shared" si="508"/>
        <v>9</v>
      </c>
      <c r="CB98" s="192"/>
      <c r="CC98" s="287"/>
      <c r="CD98" s="201"/>
      <c r="CE98" s="295"/>
      <c r="CF98" s="190">
        <v>8</v>
      </c>
      <c r="CG98" s="181">
        <f t="shared" si="509"/>
        <v>7</v>
      </c>
      <c r="CH98" s="37">
        <f t="shared" si="544"/>
        <v>176</v>
      </c>
      <c r="CI98" s="30">
        <f t="shared" si="510"/>
        <v>9</v>
      </c>
      <c r="CJ98" s="192">
        <v>3</v>
      </c>
      <c r="CK98" s="288"/>
      <c r="CL98" s="190">
        <v>8</v>
      </c>
      <c r="CM98" s="181">
        <f t="shared" si="511"/>
        <v>8</v>
      </c>
      <c r="CN98" s="37">
        <f t="shared" si="545"/>
        <v>184</v>
      </c>
      <c r="CO98" s="30">
        <f t="shared" si="512"/>
        <v>17</v>
      </c>
      <c r="CP98" s="192">
        <v>17</v>
      </c>
      <c r="CQ98" s="288"/>
      <c r="CR98" s="190">
        <v>8</v>
      </c>
      <c r="CS98" s="181">
        <f t="shared" si="513"/>
        <v>9</v>
      </c>
      <c r="CT98" s="37">
        <f t="shared" si="546"/>
        <v>192</v>
      </c>
      <c r="CU98" s="30">
        <f t="shared" si="514"/>
        <v>25</v>
      </c>
      <c r="CV98" s="192">
        <v>23</v>
      </c>
      <c r="CW98" s="288"/>
      <c r="CX98" s="190">
        <v>8</v>
      </c>
      <c r="CY98" s="181">
        <f t="shared" si="515"/>
        <v>10</v>
      </c>
      <c r="CZ98" s="37">
        <f t="shared" si="547"/>
        <v>200</v>
      </c>
      <c r="DA98" s="30">
        <f t="shared" si="516"/>
        <v>1</v>
      </c>
      <c r="DB98" s="192">
        <v>29</v>
      </c>
      <c r="DC98" s="287"/>
      <c r="DD98" s="201"/>
      <c r="DE98" s="295"/>
      <c r="DF98" s="190">
        <v>8</v>
      </c>
      <c r="DG98" s="181">
        <f t="shared" si="517"/>
        <v>10</v>
      </c>
      <c r="DH98" s="37">
        <f t="shared" si="548"/>
        <v>200</v>
      </c>
      <c r="DI98" s="30">
        <f t="shared" si="518"/>
        <v>1</v>
      </c>
      <c r="DJ98" s="192"/>
      <c r="DK98" s="288"/>
      <c r="DL98" s="190">
        <v>8</v>
      </c>
      <c r="DM98" s="181">
        <f t="shared" si="519"/>
        <v>10</v>
      </c>
      <c r="DN98" s="37">
        <f t="shared" si="549"/>
        <v>200</v>
      </c>
      <c r="DO98" s="30">
        <f t="shared" si="520"/>
        <v>1</v>
      </c>
      <c r="DP98" s="192"/>
      <c r="DQ98" s="288"/>
      <c r="DR98" s="190">
        <v>8</v>
      </c>
      <c r="DS98" s="181">
        <f t="shared" si="521"/>
        <v>10</v>
      </c>
      <c r="DT98" s="37">
        <f t="shared" si="550"/>
        <v>200</v>
      </c>
      <c r="DU98" s="30">
        <f t="shared" si="522"/>
        <v>1</v>
      </c>
      <c r="DV98" s="192">
        <v>21</v>
      </c>
      <c r="DW98" s="287"/>
      <c r="DX98" s="201"/>
      <c r="DY98" s="295"/>
      <c r="DZ98" s="190">
        <v>8</v>
      </c>
      <c r="EA98" s="181">
        <f t="shared" si="523"/>
        <v>11</v>
      </c>
      <c r="EB98" s="37">
        <f t="shared" si="551"/>
        <v>208</v>
      </c>
      <c r="EC98" s="30">
        <f t="shared" si="524"/>
        <v>9</v>
      </c>
      <c r="ED98" s="192">
        <v>3</v>
      </c>
      <c r="EE98" s="288"/>
      <c r="EF98" s="190">
        <v>8</v>
      </c>
      <c r="EG98" s="181">
        <f t="shared" si="525"/>
        <v>12</v>
      </c>
      <c r="EH98" s="37">
        <f t="shared" si="552"/>
        <v>216</v>
      </c>
      <c r="EI98" s="30">
        <f t="shared" si="526"/>
        <v>17</v>
      </c>
      <c r="EJ98" s="192"/>
      <c r="EK98" s="288"/>
      <c r="EL98" s="190">
        <v>8</v>
      </c>
      <c r="EM98" s="181">
        <f t="shared" si="527"/>
        <v>12</v>
      </c>
      <c r="EN98" s="37">
        <f t="shared" si="553"/>
        <v>216</v>
      </c>
      <c r="EO98" s="30">
        <f t="shared" si="528"/>
        <v>17</v>
      </c>
      <c r="EP98" s="192"/>
      <c r="EQ98" s="288"/>
      <c r="ER98" s="190">
        <v>8</v>
      </c>
      <c r="ES98" s="181">
        <f t="shared" si="529"/>
        <v>12</v>
      </c>
      <c r="ET98" s="37">
        <f t="shared" si="554"/>
        <v>216</v>
      </c>
      <c r="EU98" s="30">
        <f t="shared" si="530"/>
        <v>17</v>
      </c>
      <c r="EV98" s="192"/>
      <c r="EW98" s="287"/>
      <c r="EX98" s="201"/>
    </row>
    <row r="99" spans="1:154" ht="19.5" customHeight="1" x14ac:dyDescent="0.45">
      <c r="A99" s="272"/>
      <c r="B99" s="272"/>
      <c r="C99" s="272"/>
      <c r="D99" s="272"/>
      <c r="E99" s="272"/>
      <c r="K99" s="83"/>
      <c r="P99" s="125"/>
      <c r="Q99" s="135"/>
      <c r="R99" s="125"/>
      <c r="S99" s="125"/>
      <c r="T99" s="162"/>
    </row>
    <row r="102" spans="1:154" x14ac:dyDescent="0.45">
      <c r="A102" t="s">
        <v>163</v>
      </c>
    </row>
  </sheetData>
  <mergeCells count="258">
    <mergeCell ref="A16:F16"/>
    <mergeCell ref="I16:T16"/>
    <mergeCell ref="W16:AN16"/>
    <mergeCell ref="AQ16:BB16"/>
    <mergeCell ref="B18:E18"/>
    <mergeCell ref="A19:A28"/>
    <mergeCell ref="G19:G28"/>
    <mergeCell ref="I19:I28"/>
    <mergeCell ref="O19:O28"/>
    <mergeCell ref="U19:U28"/>
    <mergeCell ref="W19:W28"/>
    <mergeCell ref="AC19:AC28"/>
    <mergeCell ref="AI19:AI28"/>
    <mergeCell ref="U39:U48"/>
    <mergeCell ref="W39:W48"/>
    <mergeCell ref="AI29:AI38"/>
    <mergeCell ref="AO29:AO38"/>
    <mergeCell ref="AQ29:AQ38"/>
    <mergeCell ref="CC19:CC28"/>
    <mergeCell ref="A29:A38"/>
    <mergeCell ref="G29:G38"/>
    <mergeCell ref="I29:I38"/>
    <mergeCell ref="O29:O38"/>
    <mergeCell ref="U29:U38"/>
    <mergeCell ref="W29:W38"/>
    <mergeCell ref="AC29:AC38"/>
    <mergeCell ref="AO19:AO28"/>
    <mergeCell ref="AQ19:AQ28"/>
    <mergeCell ref="AW19:AW28"/>
    <mergeCell ref="BC19:BC28"/>
    <mergeCell ref="BE19:BE28"/>
    <mergeCell ref="BE29:BE38"/>
    <mergeCell ref="CC29:CC38"/>
    <mergeCell ref="BQ29:BQ38"/>
    <mergeCell ref="BK29:BK38"/>
    <mergeCell ref="AW29:AW38"/>
    <mergeCell ref="BC29:BC38"/>
    <mergeCell ref="BC39:BC48"/>
    <mergeCell ref="BE39:BE48"/>
    <mergeCell ref="BQ39:BQ48"/>
    <mergeCell ref="BK39:BK48"/>
    <mergeCell ref="A49:A58"/>
    <mergeCell ref="G49:G58"/>
    <mergeCell ref="I49:I58"/>
    <mergeCell ref="O49:O58"/>
    <mergeCell ref="U49:U58"/>
    <mergeCell ref="AC39:AC48"/>
    <mergeCell ref="AI39:AI48"/>
    <mergeCell ref="AO39:AO48"/>
    <mergeCell ref="AQ39:AQ48"/>
    <mergeCell ref="AW39:AW48"/>
    <mergeCell ref="BC49:BC58"/>
    <mergeCell ref="BE49:BE58"/>
    <mergeCell ref="BQ49:BQ58"/>
    <mergeCell ref="BK49:BK58"/>
    <mergeCell ref="W49:W58"/>
    <mergeCell ref="AC49:AC58"/>
    <mergeCell ref="A39:A48"/>
    <mergeCell ref="G39:G48"/>
    <mergeCell ref="I39:I48"/>
    <mergeCell ref="O39:O48"/>
    <mergeCell ref="AI49:AI58"/>
    <mergeCell ref="AO49:AO58"/>
    <mergeCell ref="AQ49:AQ58"/>
    <mergeCell ref="AW49:AW58"/>
    <mergeCell ref="BC59:BC68"/>
    <mergeCell ref="BE59:BE68"/>
    <mergeCell ref="BQ59:BQ68"/>
    <mergeCell ref="BK59:BK68"/>
    <mergeCell ref="AW59:AW68"/>
    <mergeCell ref="A69:A78"/>
    <mergeCell ref="G69:G78"/>
    <mergeCell ref="I69:I78"/>
    <mergeCell ref="O69:O78"/>
    <mergeCell ref="U69:U78"/>
    <mergeCell ref="AC59:AC68"/>
    <mergeCell ref="AI59:AI68"/>
    <mergeCell ref="AO59:AO68"/>
    <mergeCell ref="AQ59:AQ68"/>
    <mergeCell ref="A59:A68"/>
    <mergeCell ref="G59:G68"/>
    <mergeCell ref="I59:I68"/>
    <mergeCell ref="O59:O68"/>
    <mergeCell ref="U59:U68"/>
    <mergeCell ref="W59:W68"/>
    <mergeCell ref="BC69:BC78"/>
    <mergeCell ref="BE69:BE78"/>
    <mergeCell ref="BQ69:BQ78"/>
    <mergeCell ref="BK69:BK78"/>
    <mergeCell ref="W69:W78"/>
    <mergeCell ref="AC69:AC78"/>
    <mergeCell ref="AI69:AI78"/>
    <mergeCell ref="AO69:AO78"/>
    <mergeCell ref="AQ69:AQ78"/>
    <mergeCell ref="AW69:AW78"/>
    <mergeCell ref="BC79:BC88"/>
    <mergeCell ref="BE79:BE88"/>
    <mergeCell ref="BQ79:BQ88"/>
    <mergeCell ref="BK79:BK88"/>
    <mergeCell ref="A89:A98"/>
    <mergeCell ref="G89:G98"/>
    <mergeCell ref="I89:I98"/>
    <mergeCell ref="O89:O98"/>
    <mergeCell ref="U89:U98"/>
    <mergeCell ref="AC79:AC88"/>
    <mergeCell ref="AI79:AI88"/>
    <mergeCell ref="AO79:AO88"/>
    <mergeCell ref="AQ79:AQ88"/>
    <mergeCell ref="AW79:AW88"/>
    <mergeCell ref="A79:A88"/>
    <mergeCell ref="G79:G88"/>
    <mergeCell ref="I79:I88"/>
    <mergeCell ref="O79:O88"/>
    <mergeCell ref="U79:U88"/>
    <mergeCell ref="W79:W88"/>
    <mergeCell ref="A99:E99"/>
    <mergeCell ref="BC89:BC98"/>
    <mergeCell ref="BE89:BE98"/>
    <mergeCell ref="BQ89:BQ98"/>
    <mergeCell ref="BK89:BK98"/>
    <mergeCell ref="W89:W98"/>
    <mergeCell ref="AC89:AC98"/>
    <mergeCell ref="AI89:AI98"/>
    <mergeCell ref="AO89:AO98"/>
    <mergeCell ref="AQ89:AQ98"/>
    <mergeCell ref="AW89:AW98"/>
    <mergeCell ref="CE19:CE28"/>
    <mergeCell ref="CK19:CK28"/>
    <mergeCell ref="CQ19:CQ28"/>
    <mergeCell ref="CE49:CE58"/>
    <mergeCell ref="CK49:CK58"/>
    <mergeCell ref="CQ49:CQ58"/>
    <mergeCell ref="CE79:CE88"/>
    <mergeCell ref="CK79:CK88"/>
    <mergeCell ref="CQ79:CQ88"/>
    <mergeCell ref="CE29:CE38"/>
    <mergeCell ref="CK29:CK38"/>
    <mergeCell ref="CQ29:CQ38"/>
    <mergeCell ref="CE39:CE48"/>
    <mergeCell ref="CK39:CK48"/>
    <mergeCell ref="CQ39:CQ48"/>
    <mergeCell ref="CC39:CC48"/>
    <mergeCell ref="CE89:CE98"/>
    <mergeCell ref="CK89:CK98"/>
    <mergeCell ref="CQ89:CQ98"/>
    <mergeCell ref="DC89:DC98"/>
    <mergeCell ref="DC49:DC58"/>
    <mergeCell ref="CE59:CE68"/>
    <mergeCell ref="CK59:CK68"/>
    <mergeCell ref="CQ59:CQ68"/>
    <mergeCell ref="DC59:DC68"/>
    <mergeCell ref="CE69:CE78"/>
    <mergeCell ref="CK69:CK78"/>
    <mergeCell ref="CQ69:CQ78"/>
    <mergeCell ref="DC69:DC78"/>
    <mergeCell ref="DC79:DC88"/>
    <mergeCell ref="CC49:CC58"/>
    <mergeCell ref="CC59:CC68"/>
    <mergeCell ref="CC69:CC78"/>
    <mergeCell ref="CC79:CC88"/>
    <mergeCell ref="CC89:CC98"/>
    <mergeCell ref="DE16:DV16"/>
    <mergeCell ref="DE19:DE28"/>
    <mergeCell ref="DK19:DK28"/>
    <mergeCell ref="DQ19:DQ28"/>
    <mergeCell ref="DE49:DE58"/>
    <mergeCell ref="DK49:DK58"/>
    <mergeCell ref="DQ49:DQ58"/>
    <mergeCell ref="DE79:DE88"/>
    <mergeCell ref="DK79:DK88"/>
    <mergeCell ref="DQ79:DQ88"/>
    <mergeCell ref="DC19:DC28"/>
    <mergeCell ref="DE29:DE38"/>
    <mergeCell ref="DK29:DK38"/>
    <mergeCell ref="DQ29:DQ38"/>
    <mergeCell ref="DW29:DW38"/>
    <mergeCell ref="DE39:DE48"/>
    <mergeCell ref="DK39:DK48"/>
    <mergeCell ref="DQ39:DQ48"/>
    <mergeCell ref="DW39:DW48"/>
    <mergeCell ref="DC29:DC38"/>
    <mergeCell ref="DC39:DC48"/>
    <mergeCell ref="DW79:DW88"/>
    <mergeCell ref="DE89:DE98"/>
    <mergeCell ref="DK89:DK98"/>
    <mergeCell ref="DQ89:DQ98"/>
    <mergeCell ref="DW89:DW98"/>
    <mergeCell ref="DY19:DY28"/>
    <mergeCell ref="EE19:EE28"/>
    <mergeCell ref="EK19:EK28"/>
    <mergeCell ref="DY49:DY58"/>
    <mergeCell ref="EE49:EE58"/>
    <mergeCell ref="EK49:EK58"/>
    <mergeCell ref="DY79:DY88"/>
    <mergeCell ref="EE79:EE88"/>
    <mergeCell ref="EK79:EK88"/>
    <mergeCell ref="DW49:DW58"/>
    <mergeCell ref="DE59:DE68"/>
    <mergeCell ref="DK59:DK68"/>
    <mergeCell ref="DQ59:DQ68"/>
    <mergeCell ref="DW59:DW68"/>
    <mergeCell ref="DE69:DE78"/>
    <mergeCell ref="DK69:DK78"/>
    <mergeCell ref="DQ69:DQ78"/>
    <mergeCell ref="DW69:DW78"/>
    <mergeCell ref="DW19:DW28"/>
    <mergeCell ref="EK69:EK78"/>
    <mergeCell ref="EW69:EW78"/>
    <mergeCell ref="EQ49:EQ58"/>
    <mergeCell ref="EQ59:EQ68"/>
    <mergeCell ref="EQ69:EQ78"/>
    <mergeCell ref="EW19:EW28"/>
    <mergeCell ref="DY29:DY38"/>
    <mergeCell ref="EE29:EE38"/>
    <mergeCell ref="EK29:EK38"/>
    <mergeCell ref="EW29:EW38"/>
    <mergeCell ref="DY39:DY48"/>
    <mergeCell ref="EE39:EE48"/>
    <mergeCell ref="EK39:EK48"/>
    <mergeCell ref="EW39:EW48"/>
    <mergeCell ref="EQ19:EQ28"/>
    <mergeCell ref="EQ29:EQ38"/>
    <mergeCell ref="EQ39:EQ48"/>
    <mergeCell ref="BW19:BW28"/>
    <mergeCell ref="BW29:BW38"/>
    <mergeCell ref="BW39:BW48"/>
    <mergeCell ref="BW49:BW58"/>
    <mergeCell ref="BW59:BW68"/>
    <mergeCell ref="BW69:BW78"/>
    <mergeCell ref="BW79:BW88"/>
    <mergeCell ref="BW89:BW98"/>
    <mergeCell ref="BE16:CB16"/>
    <mergeCell ref="BK19:BK28"/>
    <mergeCell ref="BQ19:BQ28"/>
    <mergeCell ref="EQ79:EQ88"/>
    <mergeCell ref="EQ89:EQ98"/>
    <mergeCell ref="DY16:EW16"/>
    <mergeCell ref="EW79:EW88"/>
    <mergeCell ref="DY89:DY98"/>
    <mergeCell ref="EE89:EE98"/>
    <mergeCell ref="EK89:EK98"/>
    <mergeCell ref="EW89:EW98"/>
    <mergeCell ref="CW19:CW28"/>
    <mergeCell ref="CW29:CW38"/>
    <mergeCell ref="CW39:CW48"/>
    <mergeCell ref="CW49:CW58"/>
    <mergeCell ref="CW59:CW68"/>
    <mergeCell ref="CW69:CW78"/>
    <mergeCell ref="CW79:CW88"/>
    <mergeCell ref="CW89:CW98"/>
    <mergeCell ref="CE16:DB16"/>
    <mergeCell ref="EW49:EW58"/>
    <mergeCell ref="DY59:DY68"/>
    <mergeCell ref="EE59:EE68"/>
    <mergeCell ref="EK59:EK68"/>
    <mergeCell ref="EW59:EW68"/>
    <mergeCell ref="DY69:DY78"/>
    <mergeCell ref="EE69:EE78"/>
  </mergeCells>
  <phoneticPr fontId="2" type="noConversion"/>
  <pageMargins left="0.7" right="0.7" top="0.75" bottom="0.75" header="0.3" footer="0.3"/>
  <pageSetup paperSize="9" scale="34" orientation="portrait" r:id="rId1"/>
  <rowBreaks count="1" manualBreakCount="1">
    <brk id="98" max="16383" man="1"/>
  </rowBreaks>
  <colBreaks count="4" manualBreakCount="4">
    <brk id="56" max="101" man="1"/>
    <brk id="81" max="1048575" man="1"/>
    <brk id="82" max="101" man="1"/>
    <brk id="108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B87D-BA15-48A6-B69A-8B4E594E5601}">
  <dimension ref="A1:FP102"/>
  <sheetViews>
    <sheetView view="pageBreakPreview" zoomScaleNormal="55" zoomScaleSheetLayoutView="100" workbookViewId="0">
      <selection activeCell="X20" sqref="X20"/>
    </sheetView>
  </sheetViews>
  <sheetFormatPr defaultRowHeight="21" x14ac:dyDescent="0.45"/>
  <cols>
    <col min="2" max="2" width="9" customWidth="1"/>
    <col min="3" max="3" width="9.33203125" bestFit="1" customWidth="1"/>
    <col min="4" max="4" width="13.5" customWidth="1"/>
    <col min="5" max="5" width="12.5" customWidth="1"/>
    <col min="6" max="6" width="12.33203125" customWidth="1"/>
    <col min="7" max="7" width="9" customWidth="1"/>
    <col min="8" max="8" width="8.83203125" customWidth="1"/>
    <col min="10" max="10" width="10.25" customWidth="1"/>
    <col min="12" max="12" width="12.08203125" style="138" customWidth="1"/>
    <col min="15" max="15" width="11.58203125" bestFit="1" customWidth="1"/>
    <col min="16" max="16" width="9" customWidth="1"/>
    <col min="17" max="17" width="9.33203125" customWidth="1"/>
    <col min="18" max="18" width="10.83203125" customWidth="1"/>
    <col min="19" max="19" width="9.75" customWidth="1"/>
    <col min="20" max="20" width="15.25" customWidth="1"/>
    <col min="21" max="21" width="9" customWidth="1"/>
    <col min="22" max="22" width="8.83203125" customWidth="1"/>
    <col min="24" max="24" width="10.25" customWidth="1"/>
    <col min="26" max="26" width="12.08203125" style="138" customWidth="1"/>
    <col min="27" max="27" width="9" customWidth="1"/>
    <col min="28" max="28" width="8.83203125" customWidth="1"/>
    <col min="30" max="30" width="10.25" customWidth="1"/>
    <col min="32" max="32" width="12.08203125" style="138" customWidth="1"/>
    <col min="37" max="37" width="9" customWidth="1"/>
    <col min="44" max="44" width="10.08203125" customWidth="1"/>
    <col min="50" max="50" width="10.08203125" customWidth="1"/>
    <col min="58" max="58" width="9.58203125" customWidth="1"/>
    <col min="80" max="80" width="9" style="138"/>
  </cols>
  <sheetData>
    <row r="1" spans="1:172" ht="17" x14ac:dyDescent="0.45">
      <c r="A1" s="59" t="s">
        <v>181</v>
      </c>
      <c r="B1" s="59"/>
      <c r="C1" s="59"/>
      <c r="D1" s="59">
        <v>5</v>
      </c>
      <c r="E1" s="59"/>
      <c r="F1" s="59"/>
      <c r="G1" s="59"/>
      <c r="H1" s="59">
        <f>D1</f>
        <v>5</v>
      </c>
      <c r="I1" s="59"/>
      <c r="J1" s="59"/>
      <c r="K1" s="59"/>
      <c r="L1" s="59"/>
      <c r="M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s="59"/>
      <c r="CD1" s="59"/>
      <c r="CE1" s="59"/>
      <c r="CF1" s="59"/>
      <c r="CG1" s="59"/>
      <c r="CH1" s="59"/>
      <c r="CI1" s="59"/>
      <c r="CJ1" s="59"/>
      <c r="CK1" s="59"/>
      <c r="CL1" s="59"/>
      <c r="CM1" s="59"/>
      <c r="CN1" s="59"/>
      <c r="CO1" s="59"/>
      <c r="CP1" s="59"/>
      <c r="CQ1" s="59"/>
      <c r="CR1" s="59"/>
      <c r="CS1" s="59"/>
      <c r="CT1" s="59"/>
      <c r="CU1" s="59"/>
      <c r="CV1" s="59"/>
      <c r="CW1" s="59"/>
      <c r="CX1" s="59"/>
      <c r="CY1" s="59"/>
      <c r="CZ1" s="59"/>
      <c r="DA1" s="59"/>
      <c r="DB1" s="59"/>
      <c r="DC1" s="59"/>
      <c r="DD1" s="59"/>
      <c r="DE1" s="59"/>
      <c r="DF1" s="59"/>
      <c r="DG1" s="59"/>
      <c r="DH1" s="59"/>
      <c r="DI1" s="59"/>
      <c r="DJ1" s="59"/>
      <c r="DK1" s="59"/>
      <c r="DL1" s="59"/>
      <c r="DM1" s="59"/>
      <c r="DN1" s="59"/>
      <c r="DO1" s="59"/>
      <c r="DP1" s="59"/>
      <c r="DQ1" s="59"/>
      <c r="DR1" s="59"/>
      <c r="DS1" s="59"/>
      <c r="DT1" s="59"/>
      <c r="DU1" s="59"/>
      <c r="DV1" s="59"/>
      <c r="DW1" s="59"/>
      <c r="DX1" s="59"/>
      <c r="DY1" s="59"/>
      <c r="DZ1" s="59"/>
      <c r="EA1" s="59"/>
      <c r="EB1" s="59"/>
      <c r="EC1" s="59"/>
      <c r="ED1" s="59"/>
      <c r="EE1" s="59"/>
      <c r="EF1" s="59"/>
      <c r="EG1" s="59"/>
      <c r="EH1" s="59"/>
      <c r="EI1" s="59"/>
      <c r="EJ1" s="59"/>
      <c r="EK1" s="59"/>
      <c r="EL1" s="59"/>
      <c r="EM1" s="59"/>
      <c r="EN1" s="59"/>
      <c r="EO1" s="59"/>
      <c r="EP1" s="59"/>
      <c r="EQ1" s="59"/>
      <c r="ER1" s="59"/>
      <c r="ES1" s="59"/>
      <c r="ET1" s="59"/>
      <c r="EU1" s="59"/>
      <c r="EV1" s="59"/>
      <c r="EW1" s="59"/>
      <c r="EX1" s="59"/>
      <c r="EY1" s="59"/>
      <c r="EZ1" s="59"/>
      <c r="FA1" s="59"/>
      <c r="FB1" s="59"/>
      <c r="FC1" s="59"/>
      <c r="FD1" s="59"/>
      <c r="FE1" s="59"/>
      <c r="FF1" s="59"/>
      <c r="FG1" s="59"/>
      <c r="FH1" s="59"/>
      <c r="FI1" s="59"/>
      <c r="FJ1" s="59"/>
      <c r="FK1" s="59"/>
      <c r="FL1" s="59"/>
      <c r="FM1" s="59"/>
      <c r="FN1" s="59"/>
      <c r="FO1" s="59"/>
      <c r="FP1" s="59"/>
    </row>
    <row r="2" spans="1:172" ht="17" x14ac:dyDescent="0.45">
      <c r="A2" s="59" t="s">
        <v>184</v>
      </c>
      <c r="B2" s="59"/>
      <c r="C2" s="59"/>
      <c r="D2" s="59"/>
      <c r="E2" s="202" t="s">
        <v>182</v>
      </c>
      <c r="F2" s="59"/>
      <c r="G2" s="59"/>
      <c r="H2" s="203">
        <f>2^H1</f>
        <v>32</v>
      </c>
      <c r="I2" s="203"/>
      <c r="J2" s="59"/>
      <c r="K2" s="59"/>
      <c r="L2" s="204"/>
      <c r="M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204"/>
      <c r="AA2" s="59"/>
      <c r="AB2" s="59"/>
      <c r="AC2" s="59"/>
      <c r="AD2" s="59"/>
      <c r="AE2" s="59"/>
      <c r="AF2" s="204"/>
      <c r="AG2" s="59"/>
      <c r="AH2" s="59"/>
      <c r="AI2" s="59"/>
      <c r="AJ2" s="59"/>
      <c r="AK2" s="59"/>
      <c r="AL2" s="59"/>
      <c r="AM2" s="204"/>
      <c r="AN2" s="59"/>
      <c r="AO2" s="59"/>
      <c r="AP2" s="59"/>
      <c r="AQ2" s="59"/>
      <c r="AR2" s="59"/>
      <c r="AS2" s="204"/>
      <c r="AT2" s="59"/>
      <c r="AU2" s="59"/>
      <c r="AV2" s="59"/>
      <c r="AW2" s="59"/>
      <c r="AX2" s="59"/>
      <c r="AY2" s="204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59"/>
      <c r="EI2" s="59"/>
      <c r="EJ2" s="59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59"/>
      <c r="EX2" s="59"/>
      <c r="EY2" s="59"/>
      <c r="EZ2" s="59"/>
      <c r="FA2" s="59"/>
      <c r="FB2" s="59"/>
      <c r="FC2" s="59"/>
      <c r="FD2" s="59"/>
      <c r="FE2" s="59"/>
      <c r="FF2" s="59"/>
      <c r="FG2" s="59"/>
      <c r="FH2" s="59"/>
      <c r="FI2" s="59"/>
      <c r="FJ2" s="59"/>
      <c r="FK2" s="59"/>
      <c r="FL2" s="59"/>
      <c r="FM2" s="59"/>
      <c r="FN2" s="59"/>
      <c r="FO2" s="59"/>
      <c r="FP2" s="59"/>
    </row>
    <row r="3" spans="1:172" ht="17" x14ac:dyDescent="0.45">
      <c r="A3" s="204" t="s">
        <v>185</v>
      </c>
      <c r="B3" s="204"/>
      <c r="C3" s="204">
        <v>4</v>
      </c>
      <c r="D3" s="204" t="s">
        <v>183</v>
      </c>
      <c r="E3" s="59">
        <f>1/C3</f>
        <v>0.25</v>
      </c>
      <c r="F3" s="203">
        <f>H2*E3</f>
        <v>8</v>
      </c>
      <c r="G3" s="59"/>
      <c r="H3" s="203">
        <f>ROUND(F3,0)</f>
        <v>8</v>
      </c>
      <c r="I3" s="59"/>
      <c r="J3" s="59">
        <f>1/(H2/8)*H2</f>
        <v>8</v>
      </c>
      <c r="K3" s="59"/>
      <c r="L3" s="59"/>
      <c r="M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59"/>
      <c r="EV3" s="59"/>
      <c r="EW3" s="59"/>
      <c r="EX3" s="59"/>
      <c r="EY3" s="59"/>
      <c r="EZ3" s="59"/>
      <c r="FA3" s="59"/>
      <c r="FB3" s="59"/>
      <c r="FC3" s="59"/>
      <c r="FD3" s="59"/>
      <c r="FE3" s="59"/>
      <c r="FF3" s="59"/>
      <c r="FG3" s="59"/>
      <c r="FH3" s="59"/>
      <c r="FI3" s="59"/>
      <c r="FJ3" s="59"/>
      <c r="FK3" s="59"/>
      <c r="FL3" s="59"/>
      <c r="FM3" s="59"/>
      <c r="FN3" s="59"/>
      <c r="FO3" s="59"/>
      <c r="FP3" s="59"/>
    </row>
    <row r="4" spans="1:172" ht="17" x14ac:dyDescent="0.45">
      <c r="A4" s="204" t="s">
        <v>173</v>
      </c>
      <c r="B4" s="204"/>
      <c r="C4" s="204"/>
      <c r="D4" s="204"/>
      <c r="E4" s="204"/>
      <c r="F4" s="204"/>
      <c r="G4" s="59"/>
      <c r="H4" s="204"/>
      <c r="I4" s="204"/>
      <c r="J4" s="59"/>
      <c r="K4" s="59"/>
      <c r="L4" s="59"/>
      <c r="M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59"/>
      <c r="DQ4" s="59"/>
      <c r="DR4" s="59"/>
      <c r="DS4" s="59"/>
      <c r="DT4" s="59"/>
      <c r="DU4" s="59"/>
      <c r="DV4" s="59"/>
      <c r="DW4" s="59"/>
      <c r="DX4" s="59"/>
      <c r="DY4" s="59"/>
      <c r="DZ4" s="59"/>
      <c r="EA4" s="59"/>
      <c r="EB4" s="59"/>
      <c r="EC4" s="59"/>
      <c r="ED4" s="59"/>
      <c r="EE4" s="59"/>
      <c r="EF4" s="59"/>
      <c r="EG4" s="59"/>
      <c r="EH4" s="59"/>
      <c r="EI4" s="59"/>
      <c r="EJ4" s="59"/>
      <c r="EK4" s="59"/>
      <c r="EL4" s="59"/>
      <c r="EM4" s="59"/>
      <c r="EN4" s="59"/>
      <c r="EO4" s="59"/>
      <c r="EP4" s="59"/>
      <c r="EQ4" s="59"/>
      <c r="ER4" s="59"/>
      <c r="ES4" s="59"/>
      <c r="ET4" s="59"/>
      <c r="EU4" s="59"/>
      <c r="EV4" s="59"/>
      <c r="EW4" s="59"/>
      <c r="EX4" s="59"/>
      <c r="EY4" s="59"/>
      <c r="EZ4" s="59"/>
      <c r="FA4" s="59"/>
      <c r="FB4" s="59"/>
      <c r="FC4" s="59"/>
      <c r="FD4" s="59"/>
      <c r="FE4" s="59"/>
      <c r="FF4" s="59"/>
      <c r="FG4" s="59"/>
      <c r="FH4" s="59"/>
      <c r="FI4" s="59"/>
      <c r="FJ4" s="59"/>
      <c r="FK4" s="59"/>
      <c r="FL4" s="59"/>
      <c r="FM4" s="59"/>
      <c r="FN4" s="59"/>
      <c r="FO4" s="59"/>
      <c r="FP4" s="59"/>
    </row>
    <row r="5" spans="1:172" ht="17" x14ac:dyDescent="0.45">
      <c r="A5" s="59"/>
      <c r="B5" s="205"/>
      <c r="C5" s="205" t="s">
        <v>24</v>
      </c>
      <c r="D5" s="206"/>
      <c r="E5" s="206" t="s">
        <v>3</v>
      </c>
      <c r="F5" s="207" t="s">
        <v>28</v>
      </c>
      <c r="G5" s="212" t="s">
        <v>6</v>
      </c>
      <c r="H5" s="208"/>
      <c r="I5" s="209"/>
      <c r="J5" s="59"/>
      <c r="K5" s="59"/>
      <c r="L5" s="59"/>
      <c r="M5" s="59"/>
      <c r="P5" s="59"/>
      <c r="Q5" s="205"/>
      <c r="R5" s="210" t="s">
        <v>26</v>
      </c>
      <c r="S5" s="211"/>
      <c r="T5" s="206" t="s">
        <v>27</v>
      </c>
      <c r="U5" s="212" t="s">
        <v>6</v>
      </c>
      <c r="V5" s="59"/>
      <c r="W5" s="59"/>
      <c r="X5" s="59"/>
      <c r="Y5" s="59"/>
      <c r="Z5" s="59"/>
      <c r="AA5" s="212" t="s">
        <v>6</v>
      </c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59"/>
      <c r="DH5" s="59"/>
      <c r="DI5" s="59"/>
      <c r="DJ5" s="59"/>
      <c r="DK5" s="59"/>
      <c r="DL5" s="59"/>
      <c r="DM5" s="59"/>
      <c r="DN5" s="59"/>
      <c r="DO5" s="59"/>
      <c r="DP5" s="59"/>
      <c r="DQ5" s="59"/>
      <c r="DR5" s="59"/>
      <c r="DS5" s="59"/>
      <c r="DT5" s="59"/>
      <c r="DU5" s="59"/>
      <c r="DV5" s="59"/>
      <c r="DW5" s="59"/>
      <c r="DX5" s="59"/>
      <c r="DY5" s="59"/>
      <c r="DZ5" s="59"/>
      <c r="EA5" s="59"/>
      <c r="EB5" s="59"/>
      <c r="EC5" s="59"/>
      <c r="ED5" s="59"/>
      <c r="EE5" s="59"/>
      <c r="EF5" s="59"/>
      <c r="EG5" s="59"/>
      <c r="EH5" s="59"/>
      <c r="EI5" s="59"/>
      <c r="EJ5" s="59"/>
      <c r="EK5" s="59"/>
      <c r="EL5" s="59"/>
      <c r="EM5" s="59"/>
      <c r="EN5" s="59"/>
      <c r="EO5" s="59"/>
      <c r="EP5" s="59"/>
      <c r="EQ5" s="59"/>
      <c r="ER5" s="59"/>
      <c r="ES5" s="59"/>
      <c r="ET5" s="59"/>
      <c r="EU5" s="59"/>
      <c r="EV5" s="59"/>
      <c r="EW5" s="59"/>
      <c r="EX5" s="59"/>
      <c r="EY5" s="59"/>
      <c r="EZ5" s="59"/>
      <c r="FA5" s="59"/>
      <c r="FB5" s="59"/>
      <c r="FC5" s="59"/>
      <c r="FD5" s="59"/>
      <c r="FE5" s="59"/>
      <c r="FF5" s="59"/>
      <c r="FG5" s="59"/>
      <c r="FH5" s="59"/>
      <c r="FI5" s="59"/>
      <c r="FJ5" s="59"/>
      <c r="FK5" s="59"/>
      <c r="FL5" s="59"/>
      <c r="FM5" s="59"/>
      <c r="FN5" s="59"/>
      <c r="FO5" s="59"/>
      <c r="FP5" s="59"/>
    </row>
    <row r="6" spans="1:172" ht="17" x14ac:dyDescent="0.45">
      <c r="A6" s="59"/>
      <c r="B6" s="213" t="s">
        <v>9</v>
      </c>
      <c r="C6" s="214" t="s">
        <v>33</v>
      </c>
      <c r="D6" s="214"/>
      <c r="E6" s="214" t="s">
        <v>2</v>
      </c>
      <c r="F6" s="215">
        <f t="shared" ref="F6:F13" si="0">HEX2DEC(E6)</f>
        <v>975202823</v>
      </c>
      <c r="G6" s="219">
        <f t="shared" ref="G6:G13" si="1">MOD(F6,$H$2)</f>
        <v>7</v>
      </c>
      <c r="H6" s="216">
        <f t="shared" ref="H6:H13" si="2">MOD(F6,$H$2)</f>
        <v>7</v>
      </c>
      <c r="I6" s="217"/>
      <c r="J6" s="59"/>
      <c r="K6" s="59"/>
      <c r="L6" s="59"/>
      <c r="M6" s="59"/>
      <c r="P6" s="59"/>
      <c r="Q6" s="213" t="s">
        <v>9</v>
      </c>
      <c r="R6" s="218" t="s">
        <v>107</v>
      </c>
      <c r="S6" s="214"/>
      <c r="T6" s="214">
        <v>1694767713</v>
      </c>
      <c r="U6" s="219">
        <f>MOD(T6,$H$2)</f>
        <v>1</v>
      </c>
      <c r="V6" s="59"/>
      <c r="W6" s="59"/>
      <c r="X6" s="59"/>
      <c r="Y6" s="59"/>
      <c r="Z6" s="59"/>
      <c r="AA6" s="219">
        <f t="shared" ref="AA6:AA13" si="3">MOD(Z6,$H$2)</f>
        <v>0</v>
      </c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59"/>
      <c r="EI6" s="59"/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59"/>
      <c r="EZ6" s="59"/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59"/>
    </row>
    <row r="7" spans="1:172" ht="17" x14ac:dyDescent="0.45">
      <c r="A7" s="59"/>
      <c r="B7" s="213" t="s">
        <v>8</v>
      </c>
      <c r="C7" s="214" t="s">
        <v>34</v>
      </c>
      <c r="D7" s="214"/>
      <c r="E7" s="214" t="s">
        <v>1</v>
      </c>
      <c r="F7" s="215">
        <f t="shared" si="0"/>
        <v>2369628931</v>
      </c>
      <c r="G7" s="222">
        <f t="shared" si="1"/>
        <v>3</v>
      </c>
      <c r="H7" s="216">
        <f t="shared" si="2"/>
        <v>3</v>
      </c>
      <c r="I7" s="217"/>
      <c r="J7" s="59"/>
      <c r="K7" s="59"/>
      <c r="L7" s="59"/>
      <c r="M7" s="59"/>
      <c r="P7" s="59"/>
      <c r="Q7" s="213" t="s">
        <v>8</v>
      </c>
      <c r="R7" s="220" t="s">
        <v>109</v>
      </c>
      <c r="S7" s="221"/>
      <c r="T7" s="221">
        <v>1694780381</v>
      </c>
      <c r="U7" s="222">
        <f>MOD(T7,$H$2)</f>
        <v>29</v>
      </c>
      <c r="V7" s="59"/>
      <c r="W7" s="59"/>
      <c r="X7" s="59"/>
      <c r="Y7" s="59"/>
      <c r="Z7" s="59"/>
      <c r="AA7" s="222">
        <f t="shared" si="3"/>
        <v>0</v>
      </c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59"/>
      <c r="DJ7" s="59"/>
      <c r="DK7" s="59"/>
      <c r="DL7" s="59"/>
      <c r="DM7" s="59"/>
      <c r="DN7" s="59"/>
      <c r="DO7" s="59"/>
      <c r="DP7" s="59"/>
      <c r="DQ7" s="59"/>
      <c r="DR7" s="59"/>
      <c r="DS7" s="59"/>
      <c r="DT7" s="59"/>
      <c r="DU7" s="59"/>
      <c r="DV7" s="59"/>
      <c r="DW7" s="59"/>
      <c r="DX7" s="59"/>
      <c r="DY7" s="59"/>
      <c r="DZ7" s="59"/>
      <c r="EA7" s="59"/>
      <c r="EB7" s="59"/>
      <c r="EC7" s="59"/>
      <c r="ED7" s="59"/>
      <c r="EE7" s="59"/>
      <c r="EF7" s="59"/>
      <c r="EG7" s="59"/>
      <c r="EH7" s="59"/>
      <c r="EI7" s="59"/>
      <c r="EJ7" s="59"/>
      <c r="EK7" s="59"/>
      <c r="EL7" s="59"/>
      <c r="EM7" s="59"/>
      <c r="EN7" s="59"/>
      <c r="EO7" s="59"/>
      <c r="EP7" s="59"/>
      <c r="EQ7" s="59"/>
      <c r="ER7" s="59"/>
      <c r="ES7" s="59"/>
      <c r="ET7" s="59"/>
      <c r="EU7" s="59"/>
      <c r="EV7" s="59"/>
      <c r="EW7" s="59"/>
      <c r="EX7" s="59"/>
      <c r="EY7" s="59"/>
      <c r="EZ7" s="59"/>
      <c r="FA7" s="59"/>
      <c r="FB7" s="59"/>
      <c r="FC7" s="59"/>
      <c r="FD7" s="59"/>
      <c r="FE7" s="59"/>
      <c r="FF7" s="59"/>
      <c r="FG7" s="59"/>
      <c r="FH7" s="59"/>
      <c r="FI7" s="59"/>
      <c r="FJ7" s="59"/>
      <c r="FK7" s="59"/>
      <c r="FL7" s="59"/>
      <c r="FM7" s="59"/>
      <c r="FN7" s="59"/>
      <c r="FO7" s="59"/>
      <c r="FP7" s="59"/>
    </row>
    <row r="8" spans="1:172" ht="17" x14ac:dyDescent="0.45">
      <c r="A8" s="59"/>
      <c r="B8" s="213" t="s">
        <v>7</v>
      </c>
      <c r="C8" s="214" t="s">
        <v>35</v>
      </c>
      <c r="D8" s="214"/>
      <c r="E8" s="214" t="s">
        <v>0</v>
      </c>
      <c r="F8" s="215">
        <f t="shared" si="0"/>
        <v>1411115022</v>
      </c>
      <c r="G8" s="219">
        <f t="shared" si="1"/>
        <v>14</v>
      </c>
      <c r="H8" s="216">
        <f t="shared" si="2"/>
        <v>14</v>
      </c>
      <c r="I8" s="217"/>
      <c r="J8" s="59"/>
      <c r="K8" s="59"/>
      <c r="L8" s="59"/>
      <c r="M8" s="59"/>
      <c r="P8" s="59"/>
      <c r="Q8" s="213" t="s">
        <v>7</v>
      </c>
      <c r="R8" s="218" t="s">
        <v>110</v>
      </c>
      <c r="S8" s="214"/>
      <c r="T8" s="214">
        <v>1694866776</v>
      </c>
      <c r="U8" s="219">
        <f>MOD(T8,'8. Peer 경로(개별 CTR, 수신자) '!$H$2)</f>
        <v>24</v>
      </c>
      <c r="V8" s="59"/>
      <c r="W8" s="59"/>
      <c r="X8" s="59"/>
      <c r="Y8" s="59"/>
      <c r="Z8" s="59"/>
      <c r="AA8" s="219">
        <f t="shared" si="3"/>
        <v>0</v>
      </c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Q8" s="59"/>
      <c r="CR8" s="59"/>
      <c r="CS8" s="59"/>
      <c r="CT8" s="59"/>
      <c r="CU8" s="59"/>
      <c r="CV8" s="59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59"/>
      <c r="DJ8" s="59"/>
      <c r="DK8" s="59"/>
      <c r="DL8" s="59"/>
      <c r="DM8" s="59"/>
      <c r="DN8" s="59"/>
      <c r="DO8" s="59"/>
      <c r="DP8" s="59"/>
      <c r="DQ8" s="59"/>
      <c r="DR8" s="59"/>
      <c r="DS8" s="59"/>
      <c r="DT8" s="59"/>
      <c r="DU8" s="59"/>
      <c r="DV8" s="59"/>
      <c r="DW8" s="59"/>
      <c r="DX8" s="59"/>
      <c r="DY8" s="59"/>
      <c r="DZ8" s="59"/>
      <c r="EA8" s="59"/>
      <c r="EB8" s="59"/>
      <c r="EC8" s="59"/>
      <c r="ED8" s="59"/>
      <c r="EE8" s="59"/>
      <c r="EF8" s="59"/>
      <c r="EG8" s="59"/>
      <c r="EH8" s="59"/>
      <c r="EI8" s="59"/>
      <c r="EJ8" s="59"/>
      <c r="EK8" s="59"/>
      <c r="EL8" s="59"/>
      <c r="EM8" s="59"/>
      <c r="EN8" s="59"/>
      <c r="EO8" s="59"/>
      <c r="EP8" s="59"/>
      <c r="EQ8" s="59"/>
      <c r="ER8" s="59"/>
      <c r="ES8" s="59"/>
      <c r="ET8" s="59"/>
      <c r="EU8" s="59"/>
      <c r="EV8" s="59"/>
      <c r="EW8" s="59"/>
      <c r="EX8" s="59"/>
      <c r="EY8" s="59"/>
      <c r="EZ8" s="59"/>
      <c r="FA8" s="59"/>
      <c r="FB8" s="59"/>
      <c r="FC8" s="59"/>
      <c r="FD8" s="59"/>
      <c r="FE8" s="59"/>
      <c r="FF8" s="59"/>
      <c r="FG8" s="59"/>
      <c r="FH8" s="59"/>
      <c r="FI8" s="59"/>
      <c r="FJ8" s="59"/>
      <c r="FK8" s="59"/>
      <c r="FL8" s="59"/>
      <c r="FM8" s="59"/>
      <c r="FN8" s="59"/>
      <c r="FO8" s="59"/>
      <c r="FP8" s="59"/>
    </row>
    <row r="9" spans="1:172" ht="17" x14ac:dyDescent="0.45">
      <c r="A9" s="59"/>
      <c r="B9" s="213" t="s">
        <v>19</v>
      </c>
      <c r="C9" s="214" t="s">
        <v>36</v>
      </c>
      <c r="D9" s="214"/>
      <c r="E9" s="214" t="s">
        <v>12</v>
      </c>
      <c r="F9" s="215">
        <f t="shared" si="0"/>
        <v>3808831754</v>
      </c>
      <c r="G9" s="219">
        <f t="shared" si="1"/>
        <v>10</v>
      </c>
      <c r="H9" s="216">
        <f t="shared" si="2"/>
        <v>10</v>
      </c>
      <c r="I9" s="217"/>
      <c r="J9" s="59"/>
      <c r="K9" s="59"/>
      <c r="L9" s="59"/>
      <c r="M9" s="59"/>
      <c r="P9" s="59"/>
      <c r="Q9" s="213" t="s">
        <v>19</v>
      </c>
      <c r="R9" s="218" t="s">
        <v>111</v>
      </c>
      <c r="S9" s="214"/>
      <c r="T9" s="214">
        <v>1694870435</v>
      </c>
      <c r="U9" s="219">
        <f>MOD(T9,$H$2)</f>
        <v>3</v>
      </c>
      <c r="V9" s="59"/>
      <c r="W9" s="59"/>
      <c r="X9" s="59"/>
      <c r="Y9" s="59"/>
      <c r="Z9" s="59"/>
      <c r="AA9" s="219">
        <f t="shared" si="3"/>
        <v>0</v>
      </c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59"/>
      <c r="DN9" s="59"/>
      <c r="DO9" s="59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59"/>
      <c r="FF9" s="59"/>
      <c r="FG9" s="59"/>
      <c r="FH9" s="59"/>
      <c r="FI9" s="59"/>
      <c r="FJ9" s="59"/>
      <c r="FK9" s="59"/>
      <c r="FL9" s="59"/>
      <c r="FM9" s="59"/>
      <c r="FN9" s="59"/>
      <c r="FO9" s="59"/>
      <c r="FP9" s="59"/>
    </row>
    <row r="10" spans="1:172" ht="17" x14ac:dyDescent="0.45">
      <c r="A10" s="59"/>
      <c r="B10" s="213" t="s">
        <v>20</v>
      </c>
      <c r="C10" s="214" t="s">
        <v>37</v>
      </c>
      <c r="D10" s="214"/>
      <c r="E10" s="214" t="s">
        <v>14</v>
      </c>
      <c r="F10" s="215">
        <f t="shared" si="0"/>
        <v>3864423956</v>
      </c>
      <c r="G10" s="219">
        <f t="shared" si="1"/>
        <v>20</v>
      </c>
      <c r="H10" s="216">
        <f t="shared" si="2"/>
        <v>20</v>
      </c>
      <c r="I10" s="217"/>
      <c r="J10" s="59"/>
      <c r="K10" s="59"/>
      <c r="L10" s="59"/>
      <c r="M10" s="59"/>
      <c r="P10" s="59"/>
      <c r="Q10" s="213" t="s">
        <v>20</v>
      </c>
      <c r="R10" s="218" t="s">
        <v>112</v>
      </c>
      <c r="S10" s="214"/>
      <c r="T10" s="214">
        <v>1694956842</v>
      </c>
      <c r="U10" s="219">
        <f>MOD(T10,$H$2)</f>
        <v>10</v>
      </c>
      <c r="V10" s="59"/>
      <c r="W10" s="59"/>
      <c r="X10" s="59"/>
      <c r="Y10" s="59"/>
      <c r="Z10" s="59"/>
      <c r="AA10" s="219">
        <f t="shared" si="3"/>
        <v>0</v>
      </c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59"/>
      <c r="CV10" s="59"/>
      <c r="CW10" s="59"/>
      <c r="CX10" s="59"/>
      <c r="CY10" s="59"/>
      <c r="CZ10" s="59"/>
      <c r="DA10" s="59"/>
      <c r="DB10" s="59"/>
      <c r="DC10" s="59"/>
      <c r="DD10" s="59"/>
      <c r="DE10" s="59"/>
      <c r="DF10" s="59"/>
      <c r="DG10" s="59"/>
      <c r="DH10" s="59"/>
      <c r="DI10" s="59"/>
      <c r="DJ10" s="59"/>
      <c r="DK10" s="59"/>
      <c r="DL10" s="59"/>
      <c r="DM10" s="59"/>
      <c r="DN10" s="59"/>
      <c r="DO10" s="59"/>
      <c r="DP10" s="59"/>
      <c r="DQ10" s="59"/>
      <c r="DR10" s="59"/>
      <c r="DS10" s="59"/>
      <c r="DT10" s="59"/>
      <c r="DU10" s="59"/>
      <c r="DV10" s="59"/>
      <c r="DW10" s="59"/>
      <c r="DX10" s="59"/>
      <c r="DY10" s="59"/>
      <c r="DZ10" s="59"/>
      <c r="EA10" s="59"/>
      <c r="EB10" s="59"/>
      <c r="EC10" s="59"/>
      <c r="ED10" s="59"/>
      <c r="EE10" s="59"/>
      <c r="EF10" s="59"/>
      <c r="EG10" s="59"/>
      <c r="EH10" s="59"/>
      <c r="EI10" s="59"/>
      <c r="EJ10" s="59"/>
      <c r="EK10" s="59"/>
      <c r="EL10" s="59"/>
      <c r="EM10" s="59"/>
      <c r="EN10" s="59"/>
      <c r="EO10" s="59"/>
      <c r="EP10" s="59"/>
      <c r="EQ10" s="59"/>
      <c r="ER10" s="59"/>
      <c r="ES10" s="59"/>
      <c r="ET10" s="59"/>
      <c r="EU10" s="59"/>
      <c r="EV10" s="59"/>
      <c r="EW10" s="59"/>
      <c r="EX10" s="59"/>
      <c r="EY10" s="59"/>
      <c r="EZ10" s="59"/>
      <c r="FA10" s="59"/>
      <c r="FB10" s="59"/>
      <c r="FC10" s="59"/>
      <c r="FD10" s="59"/>
      <c r="FE10" s="59"/>
      <c r="FF10" s="59"/>
      <c r="FG10" s="59"/>
      <c r="FH10" s="59"/>
      <c r="FI10" s="59"/>
      <c r="FJ10" s="59"/>
      <c r="FK10" s="59"/>
      <c r="FL10" s="59"/>
      <c r="FM10" s="59"/>
      <c r="FN10" s="59"/>
      <c r="FO10" s="59"/>
      <c r="FP10" s="59"/>
    </row>
    <row r="11" spans="1:172" ht="17" x14ac:dyDescent="0.45">
      <c r="A11" s="59"/>
      <c r="B11" s="213" t="s">
        <v>21</v>
      </c>
      <c r="C11" s="214" t="s">
        <v>38</v>
      </c>
      <c r="D11" s="214"/>
      <c r="E11" s="214" t="s">
        <v>15</v>
      </c>
      <c r="F11" s="215">
        <f t="shared" si="0"/>
        <v>1363914512</v>
      </c>
      <c r="G11" s="219">
        <f t="shared" si="1"/>
        <v>16</v>
      </c>
      <c r="H11" s="216">
        <f t="shared" si="2"/>
        <v>16</v>
      </c>
      <c r="I11" s="217"/>
      <c r="J11" s="59"/>
      <c r="K11" s="59"/>
      <c r="L11" s="59"/>
      <c r="M11" s="59"/>
      <c r="P11" s="59"/>
      <c r="Q11" s="213" t="s">
        <v>21</v>
      </c>
      <c r="R11" s="218" t="s">
        <v>115</v>
      </c>
      <c r="S11" s="214"/>
      <c r="T11" s="214">
        <v>1695027046</v>
      </c>
      <c r="U11" s="219">
        <f>MOD(T11,$H$2)</f>
        <v>6</v>
      </c>
      <c r="V11" s="59"/>
      <c r="W11" s="59"/>
      <c r="X11" s="59"/>
      <c r="Y11" s="59"/>
      <c r="Z11" s="59"/>
      <c r="AA11" s="219">
        <f t="shared" si="3"/>
        <v>0</v>
      </c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9"/>
      <c r="DA11" s="59"/>
      <c r="DB11" s="59"/>
      <c r="DC11" s="59"/>
      <c r="DD11" s="59"/>
      <c r="DE11" s="59"/>
      <c r="DF11" s="59"/>
      <c r="DG11" s="59"/>
      <c r="DH11" s="59"/>
      <c r="DI11" s="59"/>
      <c r="DJ11" s="59"/>
      <c r="DK11" s="59"/>
      <c r="DL11" s="59"/>
      <c r="DM11" s="59"/>
      <c r="DN11" s="59"/>
      <c r="DO11" s="59"/>
      <c r="DP11" s="59"/>
      <c r="DQ11" s="59"/>
      <c r="DR11" s="59"/>
      <c r="DS11" s="59"/>
      <c r="DT11" s="59"/>
      <c r="DU11" s="59"/>
      <c r="DV11" s="59"/>
      <c r="DW11" s="59"/>
      <c r="DX11" s="59"/>
      <c r="DY11" s="59"/>
      <c r="DZ11" s="59"/>
      <c r="EA11" s="59"/>
      <c r="EB11" s="59"/>
      <c r="EC11" s="59"/>
      <c r="ED11" s="59"/>
      <c r="EE11" s="59"/>
      <c r="EF11" s="59"/>
      <c r="EG11" s="59"/>
      <c r="EH11" s="59"/>
      <c r="EI11" s="59"/>
      <c r="EJ11" s="59"/>
      <c r="EK11" s="59"/>
      <c r="EL11" s="59"/>
      <c r="EM11" s="59"/>
      <c r="EN11" s="59"/>
      <c r="EO11" s="59"/>
      <c r="EP11" s="59"/>
      <c r="EQ11" s="59"/>
      <c r="ER11" s="59"/>
      <c r="ES11" s="59"/>
      <c r="ET11" s="59"/>
      <c r="EU11" s="59"/>
      <c r="EV11" s="59"/>
      <c r="EW11" s="59"/>
      <c r="EX11" s="59"/>
      <c r="EY11" s="59"/>
      <c r="EZ11" s="59"/>
      <c r="FA11" s="59"/>
      <c r="FB11" s="59"/>
      <c r="FC11" s="59"/>
      <c r="FD11" s="59"/>
      <c r="FE11" s="59"/>
      <c r="FF11" s="59"/>
      <c r="FG11" s="59"/>
      <c r="FH11" s="59"/>
      <c r="FI11" s="59"/>
      <c r="FJ11" s="59"/>
      <c r="FK11" s="59"/>
      <c r="FL11" s="59"/>
      <c r="FM11" s="59"/>
      <c r="FN11" s="59"/>
      <c r="FO11" s="59"/>
      <c r="FP11" s="59"/>
    </row>
    <row r="12" spans="1:172" ht="17" x14ac:dyDescent="0.45">
      <c r="A12" s="59"/>
      <c r="B12" s="213" t="s">
        <v>22</v>
      </c>
      <c r="C12" s="214" t="s">
        <v>39</v>
      </c>
      <c r="D12" s="214"/>
      <c r="E12" s="214" t="s">
        <v>16</v>
      </c>
      <c r="F12" s="215">
        <f t="shared" si="0"/>
        <v>2288905245</v>
      </c>
      <c r="G12" s="219">
        <f t="shared" si="1"/>
        <v>29</v>
      </c>
      <c r="H12" s="216">
        <f t="shared" si="2"/>
        <v>29</v>
      </c>
      <c r="I12" s="217"/>
      <c r="J12" s="59"/>
      <c r="K12" s="59"/>
      <c r="L12" s="59"/>
      <c r="M12" s="59"/>
      <c r="P12" s="59"/>
      <c r="Q12" s="213" t="s">
        <v>22</v>
      </c>
      <c r="R12" s="218" t="s">
        <v>113</v>
      </c>
      <c r="S12" s="214"/>
      <c r="T12" s="214">
        <v>1695027404</v>
      </c>
      <c r="U12" s="219">
        <f>MOD(T12,$H$2)</f>
        <v>12</v>
      </c>
      <c r="V12" s="59"/>
      <c r="W12" s="59"/>
      <c r="X12" s="59"/>
      <c r="Y12" s="59"/>
      <c r="Z12" s="59"/>
      <c r="AA12" s="219">
        <f t="shared" si="3"/>
        <v>0</v>
      </c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59"/>
      <c r="CU12" s="59"/>
      <c r="CV12" s="59"/>
      <c r="CW12" s="59"/>
      <c r="CX12" s="59"/>
      <c r="CY12" s="59"/>
      <c r="CZ12" s="59"/>
      <c r="DA12" s="59"/>
      <c r="DB12" s="59"/>
      <c r="DC12" s="59"/>
      <c r="DD12" s="59"/>
      <c r="DE12" s="59"/>
      <c r="DF12" s="59"/>
      <c r="DG12" s="59"/>
      <c r="DH12" s="59"/>
      <c r="DI12" s="59"/>
      <c r="DJ12" s="59"/>
      <c r="DK12" s="59"/>
      <c r="DL12" s="59"/>
      <c r="DM12" s="59"/>
      <c r="DN12" s="59"/>
      <c r="DO12" s="59"/>
      <c r="DP12" s="59"/>
      <c r="DQ12" s="59"/>
      <c r="DR12" s="59"/>
      <c r="DS12" s="59"/>
      <c r="DT12" s="59"/>
      <c r="DU12" s="59"/>
      <c r="DV12" s="59"/>
      <c r="DW12" s="59"/>
      <c r="DX12" s="59"/>
      <c r="DY12" s="59"/>
      <c r="DZ12" s="59"/>
      <c r="EA12" s="59"/>
      <c r="EB12" s="59"/>
      <c r="EC12" s="59"/>
      <c r="ED12" s="59"/>
      <c r="EE12" s="59"/>
      <c r="EF12" s="59"/>
      <c r="EG12" s="59"/>
      <c r="EH12" s="59"/>
      <c r="EI12" s="59"/>
      <c r="EJ12" s="59"/>
      <c r="EK12" s="59"/>
      <c r="EL12" s="59"/>
      <c r="EM12" s="59"/>
      <c r="EN12" s="59"/>
      <c r="EO12" s="59"/>
      <c r="EP12" s="59"/>
      <c r="EQ12" s="59"/>
      <c r="ER12" s="59"/>
      <c r="ES12" s="59"/>
      <c r="ET12" s="59"/>
      <c r="EU12" s="59"/>
      <c r="EV12" s="59"/>
      <c r="EW12" s="59"/>
      <c r="EX12" s="59"/>
      <c r="EY12" s="59"/>
      <c r="EZ12" s="59"/>
      <c r="FA12" s="59"/>
      <c r="FB12" s="59"/>
      <c r="FC12" s="59"/>
      <c r="FD12" s="59"/>
      <c r="FE12" s="59"/>
      <c r="FF12" s="59"/>
      <c r="FG12" s="59"/>
      <c r="FH12" s="59"/>
      <c r="FI12" s="59"/>
      <c r="FJ12" s="59"/>
      <c r="FK12" s="59"/>
      <c r="FL12" s="59"/>
      <c r="FM12" s="59"/>
      <c r="FN12" s="59"/>
      <c r="FO12" s="59"/>
      <c r="FP12" s="59"/>
    </row>
    <row r="13" spans="1:172" ht="17" x14ac:dyDescent="0.45">
      <c r="A13" s="59"/>
      <c r="B13" s="223" t="s">
        <v>23</v>
      </c>
      <c r="C13" s="221" t="s">
        <v>40</v>
      </c>
      <c r="D13" s="221"/>
      <c r="E13" s="221" t="s">
        <v>17</v>
      </c>
      <c r="F13" s="224">
        <f t="shared" si="0"/>
        <v>1064316185</v>
      </c>
      <c r="G13" s="219">
        <f t="shared" si="1"/>
        <v>25</v>
      </c>
      <c r="H13" s="225">
        <f t="shared" si="2"/>
        <v>25</v>
      </c>
      <c r="I13" s="217"/>
      <c r="J13" s="59"/>
      <c r="K13" s="59"/>
      <c r="L13" s="59"/>
      <c r="M13" s="59"/>
      <c r="P13" s="59"/>
      <c r="Q13" s="223" t="s">
        <v>23</v>
      </c>
      <c r="R13" s="218" t="s">
        <v>114</v>
      </c>
      <c r="S13" s="214"/>
      <c r="T13" s="214">
        <v>1695027407</v>
      </c>
      <c r="U13" s="219">
        <f>MOD(T13,$H$2)</f>
        <v>15</v>
      </c>
      <c r="V13" s="59"/>
      <c r="W13" s="59"/>
      <c r="X13" s="59"/>
      <c r="Y13" s="59"/>
      <c r="Z13" s="59"/>
      <c r="AA13" s="219">
        <f t="shared" si="3"/>
        <v>0</v>
      </c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59"/>
      <c r="CM13" s="59"/>
      <c r="CN13" s="59"/>
      <c r="CO13" s="59"/>
      <c r="CP13" s="59"/>
      <c r="CQ13" s="59"/>
      <c r="CR13" s="59"/>
      <c r="CS13" s="59"/>
      <c r="CT13" s="59"/>
      <c r="CU13" s="59"/>
      <c r="CV13" s="59"/>
      <c r="CW13" s="59"/>
      <c r="CX13" s="59"/>
      <c r="CY13" s="59"/>
      <c r="CZ13" s="59"/>
      <c r="DA13" s="59"/>
      <c r="DB13" s="59"/>
      <c r="DC13" s="59"/>
      <c r="DD13" s="59"/>
      <c r="DE13" s="59"/>
      <c r="DF13" s="59"/>
      <c r="DG13" s="59"/>
      <c r="DH13" s="59"/>
      <c r="DI13" s="59"/>
      <c r="DJ13" s="59"/>
      <c r="DK13" s="59"/>
      <c r="DL13" s="59"/>
      <c r="DM13" s="59"/>
      <c r="DN13" s="59"/>
      <c r="DO13" s="59"/>
      <c r="DP13" s="59"/>
      <c r="DQ13" s="59"/>
      <c r="DR13" s="59"/>
      <c r="DS13" s="59"/>
      <c r="DT13" s="59"/>
      <c r="DU13" s="59"/>
      <c r="DV13" s="59"/>
      <c r="DW13" s="59"/>
      <c r="DX13" s="59"/>
      <c r="DY13" s="59"/>
      <c r="DZ13" s="59"/>
      <c r="EA13" s="59"/>
      <c r="EB13" s="59"/>
      <c r="EC13" s="59"/>
      <c r="ED13" s="59"/>
      <c r="EE13" s="59"/>
      <c r="EF13" s="59"/>
      <c r="EG13" s="59"/>
      <c r="EH13" s="59"/>
      <c r="EI13" s="59"/>
      <c r="EJ13" s="59"/>
      <c r="EK13" s="59"/>
      <c r="EL13" s="59"/>
      <c r="EM13" s="59"/>
      <c r="EN13" s="59"/>
      <c r="EO13" s="59"/>
      <c r="EP13" s="59"/>
      <c r="EQ13" s="59"/>
      <c r="ER13" s="59"/>
      <c r="ES13" s="59"/>
      <c r="ET13" s="59"/>
      <c r="EU13" s="59"/>
      <c r="EV13" s="59"/>
      <c r="EW13" s="59"/>
      <c r="EX13" s="59"/>
      <c r="EY13" s="59"/>
      <c r="EZ13" s="59"/>
      <c r="FA13" s="59"/>
      <c r="FB13" s="59"/>
      <c r="FC13" s="59"/>
      <c r="FD13" s="59"/>
      <c r="FE13" s="59"/>
      <c r="FF13" s="59"/>
      <c r="FG13" s="59"/>
      <c r="FH13" s="59"/>
      <c r="FI13" s="59"/>
      <c r="FJ13" s="59"/>
      <c r="FK13" s="59"/>
      <c r="FL13" s="59"/>
      <c r="FM13" s="59"/>
      <c r="FN13" s="59"/>
      <c r="FO13" s="59"/>
      <c r="FP13" s="59"/>
    </row>
    <row r="14" spans="1:172" ht="17" x14ac:dyDescent="0.45">
      <c r="A14" s="226" t="s">
        <v>179</v>
      </c>
      <c r="B14" s="226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>
        <f>2^$H$3</f>
        <v>256</v>
      </c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>
        <f>IF(COUNT(AN20:AN28,AT20:AT28,AZ20:AZ28) &gt;0, COUNT(AN20:AN28,AT20:AT28,AZ20:AZ28) /2,"")</f>
        <v>2</v>
      </c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 t="str">
        <f>IF(COUNT(CB20:CB28,CH20:CH28,CN20:CN28,CT20:CT28) &gt;0, COUNT(CB20:CB28,CH20:CH28,CN20:CN28,CT20:CT28) /2,"")</f>
        <v/>
      </c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</row>
    <row r="15" spans="1:172" ht="17.5" thickBot="1" x14ac:dyDescent="0.5">
      <c r="A15" s="226" t="s">
        <v>180</v>
      </c>
      <c r="B15" s="226"/>
      <c r="C15" s="59">
        <f>(8+ 2^(1-1))</f>
        <v>9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227"/>
      <c r="AO15" s="59"/>
      <c r="AP15" s="59"/>
      <c r="AQ15" s="59"/>
      <c r="AR15" s="59"/>
      <c r="AS15" s="59"/>
      <c r="AT15" s="227"/>
      <c r="AU15" s="59"/>
      <c r="AV15" s="59"/>
      <c r="AW15" s="59"/>
      <c r="AX15" s="59"/>
      <c r="AY15" s="59"/>
      <c r="AZ15" s="227"/>
      <c r="BA15" s="59"/>
      <c r="BB15" s="59"/>
      <c r="BC15" s="59"/>
      <c r="BD15" s="228"/>
      <c r="BE15" s="227"/>
      <c r="BF15" s="59"/>
      <c r="BG15" s="227"/>
      <c r="BH15" s="227"/>
      <c r="BI15" s="227"/>
      <c r="BJ15" s="227"/>
      <c r="BK15" s="227"/>
      <c r="BL15" s="59"/>
      <c r="BM15" s="227"/>
      <c r="BN15" s="227"/>
      <c r="BO15" s="227"/>
      <c r="BP15" s="227"/>
      <c r="BQ15" s="227"/>
      <c r="BR15" s="59"/>
      <c r="BS15" s="227"/>
      <c r="BT15" s="227"/>
      <c r="BU15" s="227"/>
      <c r="BV15" s="227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59"/>
      <c r="CV15" s="59"/>
      <c r="CW15" s="59"/>
      <c r="CX15" s="59"/>
      <c r="CY15" s="59"/>
      <c r="CZ15" s="59"/>
      <c r="DA15" s="59"/>
      <c r="DB15" s="59"/>
      <c r="DC15" s="59"/>
      <c r="DD15" s="59"/>
      <c r="DE15" s="59"/>
      <c r="DF15" s="59"/>
      <c r="DG15" s="59"/>
      <c r="DH15" s="59"/>
      <c r="DI15" s="59"/>
      <c r="DJ15" s="59"/>
      <c r="DK15" s="59"/>
      <c r="DL15" s="59"/>
      <c r="DM15" s="59"/>
      <c r="DN15" s="59"/>
      <c r="DO15" s="59"/>
      <c r="DP15" s="59"/>
      <c r="DQ15" s="59"/>
      <c r="DR15" s="59"/>
      <c r="DS15" s="59"/>
      <c r="DT15" s="59"/>
      <c r="DU15" s="59"/>
      <c r="DV15" s="59"/>
      <c r="DW15" s="59"/>
      <c r="DX15" s="59"/>
      <c r="DY15" s="59"/>
      <c r="DZ15" s="59"/>
      <c r="EA15" s="59"/>
      <c r="EB15" s="59"/>
      <c r="EC15" s="59"/>
      <c r="ED15" s="59"/>
      <c r="EE15" s="59"/>
      <c r="EF15" s="59"/>
      <c r="EG15" s="59"/>
      <c r="EH15" s="59"/>
      <c r="EI15" s="59"/>
      <c r="EJ15" s="59"/>
      <c r="EK15" s="59"/>
      <c r="EL15" s="59"/>
      <c r="EM15" s="59"/>
      <c r="EN15" s="59"/>
      <c r="EO15" s="59"/>
      <c r="EP15" s="59"/>
      <c r="EQ15" s="59"/>
      <c r="ER15" s="59"/>
      <c r="ES15" s="59"/>
      <c r="ET15" s="59"/>
      <c r="EU15" s="59"/>
      <c r="EV15" s="59"/>
      <c r="EW15" s="59"/>
      <c r="EX15" s="59"/>
      <c r="EY15" s="59"/>
      <c r="EZ15" s="59"/>
      <c r="FA15" s="59"/>
      <c r="FB15" s="59"/>
      <c r="FC15" s="59"/>
      <c r="FD15" s="59"/>
      <c r="FE15" s="59"/>
      <c r="FF15" s="59"/>
      <c r="FG15" s="59"/>
      <c r="FH15" s="59"/>
      <c r="FI15" s="59"/>
      <c r="FJ15" s="59"/>
      <c r="FK15" s="59"/>
      <c r="FL15" s="59"/>
      <c r="FM15" s="59"/>
      <c r="FN15" s="59"/>
      <c r="FO15" s="59"/>
      <c r="FP15" s="59"/>
    </row>
    <row r="16" spans="1:172" ht="37.5" customHeight="1" thickBot="1" x14ac:dyDescent="0.5">
      <c r="A16" s="310" t="s">
        <v>164</v>
      </c>
      <c r="B16" s="311"/>
      <c r="C16" s="311"/>
      <c r="D16" s="311"/>
      <c r="E16" s="311"/>
      <c r="F16" s="312"/>
      <c r="G16" s="269"/>
      <c r="H16" s="269"/>
      <c r="I16" s="269"/>
      <c r="J16" s="269"/>
      <c r="K16" s="269"/>
      <c r="L16" s="269"/>
      <c r="M16" s="59"/>
      <c r="N16" s="59"/>
      <c r="O16" s="310" t="s">
        <v>166</v>
      </c>
      <c r="P16" s="311"/>
      <c r="Q16" s="311"/>
      <c r="R16" s="311"/>
      <c r="S16" s="311"/>
      <c r="T16" s="311"/>
      <c r="U16" s="311"/>
      <c r="V16" s="311"/>
      <c r="W16" s="311"/>
      <c r="X16" s="311"/>
      <c r="Y16" s="311"/>
      <c r="Z16" s="312"/>
      <c r="AA16" s="269"/>
      <c r="AB16" s="269"/>
      <c r="AC16" s="269"/>
      <c r="AD16" s="269"/>
      <c r="AE16" s="269"/>
      <c r="AF16" s="269"/>
      <c r="AG16" s="59"/>
      <c r="AH16" s="59"/>
      <c r="AI16" s="310" t="s">
        <v>167</v>
      </c>
      <c r="AJ16" s="311"/>
      <c r="AK16" s="311"/>
      <c r="AL16" s="311"/>
      <c r="AM16" s="311"/>
      <c r="AN16" s="311"/>
      <c r="AO16" s="311"/>
      <c r="AP16" s="311"/>
      <c r="AQ16" s="311"/>
      <c r="AR16" s="311"/>
      <c r="AS16" s="311"/>
      <c r="AT16" s="311"/>
      <c r="AU16" s="269"/>
      <c r="AV16" s="269"/>
      <c r="AW16" s="269"/>
      <c r="AX16" s="269"/>
      <c r="AY16" s="269"/>
      <c r="AZ16" s="269"/>
      <c r="BA16" s="59"/>
      <c r="BB16" s="59"/>
      <c r="BC16" s="310" t="s">
        <v>168</v>
      </c>
      <c r="BD16" s="311"/>
      <c r="BE16" s="311"/>
      <c r="BF16" s="311"/>
      <c r="BG16" s="311"/>
      <c r="BH16" s="311"/>
      <c r="BI16" s="311"/>
      <c r="BJ16" s="311"/>
      <c r="BK16" s="311"/>
      <c r="BL16" s="311"/>
      <c r="BM16" s="311"/>
      <c r="BN16" s="312"/>
      <c r="BO16" s="269"/>
      <c r="BP16" s="269"/>
      <c r="BQ16" s="269"/>
      <c r="BR16" s="269"/>
      <c r="BS16" s="269"/>
      <c r="BT16" s="269"/>
      <c r="BU16" s="59"/>
      <c r="BV16" s="59"/>
      <c r="BW16" s="310" t="s">
        <v>170</v>
      </c>
      <c r="BX16" s="311"/>
      <c r="BY16" s="311"/>
      <c r="BZ16" s="311"/>
      <c r="CA16" s="311"/>
      <c r="CB16" s="311"/>
      <c r="CC16" s="311"/>
      <c r="CD16" s="311"/>
      <c r="CE16" s="311"/>
      <c r="CF16" s="311"/>
      <c r="CG16" s="311"/>
      <c r="CH16" s="311"/>
      <c r="CI16" s="311"/>
      <c r="CJ16" s="311"/>
      <c r="CK16" s="311"/>
      <c r="CL16" s="311"/>
      <c r="CM16" s="311"/>
      <c r="CN16" s="311"/>
      <c r="CO16" s="311"/>
      <c r="CP16" s="311"/>
      <c r="CQ16" s="311"/>
      <c r="CR16" s="311"/>
      <c r="CS16" s="311"/>
      <c r="CT16" s="312"/>
      <c r="CU16" s="59"/>
      <c r="CV16" s="59"/>
      <c r="CW16" s="310" t="s">
        <v>188</v>
      </c>
      <c r="CX16" s="311"/>
      <c r="CY16" s="311"/>
      <c r="CZ16" s="311"/>
      <c r="DA16" s="311"/>
      <c r="DB16" s="311"/>
      <c r="DC16" s="311"/>
      <c r="DD16" s="311"/>
      <c r="DE16" s="311"/>
      <c r="DF16" s="311"/>
      <c r="DG16" s="311"/>
      <c r="DH16" s="311"/>
      <c r="DI16" s="311"/>
      <c r="DJ16" s="311"/>
      <c r="DK16" s="311"/>
      <c r="DL16" s="311"/>
      <c r="DM16" s="311"/>
      <c r="DN16" s="311"/>
      <c r="DO16" s="311"/>
      <c r="DP16" s="311"/>
      <c r="DQ16" s="311"/>
      <c r="DR16" s="311"/>
      <c r="DS16" s="311"/>
      <c r="DT16" s="312"/>
      <c r="DU16" s="59"/>
      <c r="DV16" s="59"/>
      <c r="DW16" s="310" t="s">
        <v>189</v>
      </c>
      <c r="DX16" s="311"/>
      <c r="DY16" s="311"/>
      <c r="DZ16" s="311"/>
      <c r="EA16" s="311"/>
      <c r="EB16" s="311"/>
      <c r="EC16" s="311"/>
      <c r="ED16" s="311"/>
      <c r="EE16" s="311"/>
      <c r="EF16" s="311"/>
      <c r="EG16" s="311"/>
      <c r="EH16" s="311"/>
      <c r="EI16" s="311"/>
      <c r="EJ16" s="311"/>
      <c r="EK16" s="311"/>
      <c r="EL16" s="311"/>
      <c r="EM16" s="311"/>
      <c r="EN16" s="312"/>
      <c r="EO16" s="59"/>
      <c r="EP16" s="59"/>
      <c r="EQ16" s="310" t="s">
        <v>190</v>
      </c>
      <c r="ER16" s="311"/>
      <c r="ES16" s="311"/>
      <c r="ET16" s="311"/>
      <c r="EU16" s="311"/>
      <c r="EV16" s="311"/>
      <c r="EW16" s="311"/>
      <c r="EX16" s="311"/>
      <c r="EY16" s="311"/>
      <c r="EZ16" s="311"/>
      <c r="FA16" s="311"/>
      <c r="FB16" s="311"/>
      <c r="FC16" s="311"/>
      <c r="FD16" s="311"/>
      <c r="FE16" s="311"/>
      <c r="FF16" s="311"/>
      <c r="FG16" s="311"/>
      <c r="FH16" s="311"/>
      <c r="FI16" s="311"/>
      <c r="FJ16" s="311"/>
      <c r="FK16" s="311"/>
      <c r="FL16" s="311"/>
      <c r="FM16" s="311"/>
      <c r="FN16" s="311"/>
      <c r="FO16" s="312"/>
      <c r="FP16" s="59"/>
    </row>
    <row r="17" spans="1:172" ht="21" customHeight="1" thickBot="1" x14ac:dyDescent="0.5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229">
        <f>COUNT(M19:M98)</f>
        <v>8</v>
      </c>
      <c r="N17" s="59" t="s">
        <v>187</v>
      </c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229">
        <f>COUNT(AG19:AG98)</f>
        <v>8</v>
      </c>
      <c r="AH17" s="59" t="s">
        <v>187</v>
      </c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229">
        <f>COUNT(BA19:BA98)</f>
        <v>8</v>
      </c>
      <c r="BB17" s="59" t="s">
        <v>187</v>
      </c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229">
        <f>COUNT(BU19:BU98)</f>
        <v>6</v>
      </c>
      <c r="BV17" s="59" t="s">
        <v>187</v>
      </c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229">
        <f>COUNT(CU19:CU98)</f>
        <v>0</v>
      </c>
      <c r="CV17" s="59" t="s">
        <v>187</v>
      </c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59"/>
      <c r="DR17" s="59"/>
      <c r="DS17" s="59"/>
      <c r="DT17" s="59"/>
      <c r="DU17" s="229">
        <f>COUNT(DU19:DU98)</f>
        <v>0</v>
      </c>
      <c r="DV17" s="59" t="s">
        <v>187</v>
      </c>
      <c r="DW17" s="59"/>
      <c r="DX17" s="59"/>
      <c r="DY17" s="59"/>
      <c r="DZ17" s="59"/>
      <c r="EA17" s="59"/>
      <c r="EB17" s="59"/>
      <c r="EC17" s="59"/>
      <c r="ED17" s="59"/>
      <c r="EE17" s="59"/>
      <c r="EF17" s="59"/>
      <c r="EG17" s="59"/>
      <c r="EH17" s="59"/>
      <c r="EI17" s="59"/>
      <c r="EJ17" s="59"/>
      <c r="EK17" s="59"/>
      <c r="EL17" s="59"/>
      <c r="EM17" s="59"/>
      <c r="EN17" s="59"/>
      <c r="EO17" s="229">
        <f>COUNT(EO19:EO98)</f>
        <v>0</v>
      </c>
      <c r="EP17" s="59" t="s">
        <v>187</v>
      </c>
      <c r="EQ17" s="59"/>
      <c r="ER17" s="59"/>
      <c r="ES17" s="59"/>
      <c r="ET17" s="59"/>
      <c r="EU17" s="59"/>
      <c r="EV17" s="59"/>
      <c r="EW17" s="59"/>
      <c r="EX17" s="59"/>
      <c r="EY17" s="59"/>
      <c r="EZ17" s="59"/>
      <c r="FA17" s="59"/>
      <c r="FB17" s="59"/>
      <c r="FC17" s="59"/>
      <c r="FD17" s="59"/>
      <c r="FE17" s="59"/>
      <c r="FF17" s="59"/>
      <c r="FG17" s="59"/>
      <c r="FH17" s="59"/>
      <c r="FI17" s="59"/>
      <c r="FJ17" s="59"/>
      <c r="FK17" s="59"/>
      <c r="FL17" s="59"/>
      <c r="FM17" s="59"/>
      <c r="FN17" s="59"/>
      <c r="FO17" s="229">
        <f>COUNT(FO19:FO98)</f>
        <v>0</v>
      </c>
      <c r="FP17" s="59" t="s">
        <v>187</v>
      </c>
    </row>
    <row r="18" spans="1:172" s="138" customFormat="1" ht="20.25" customHeight="1" thickBot="1" x14ac:dyDescent="0.5">
      <c r="A18" s="230" t="s">
        <v>165</v>
      </c>
      <c r="B18" s="313"/>
      <c r="C18" s="313"/>
      <c r="D18" s="313"/>
      <c r="E18" s="313"/>
      <c r="F18" s="231">
        <f>COUNT(F19:F98)/2</f>
        <v>8</v>
      </c>
      <c r="G18" s="59" t="s">
        <v>165</v>
      </c>
      <c r="H18" s="234"/>
      <c r="I18" s="234"/>
      <c r="J18" s="234"/>
      <c r="K18" s="234"/>
      <c r="L18" s="231">
        <f>COUNT(L19:L98)/2</f>
        <v>1</v>
      </c>
      <c r="M18" s="232">
        <f>SUM(M19:M98)</f>
        <v>9</v>
      </c>
      <c r="N18" s="59" t="s">
        <v>177</v>
      </c>
      <c r="O18" s="230" t="s">
        <v>165</v>
      </c>
      <c r="P18" s="233"/>
      <c r="Q18" s="234"/>
      <c r="R18" s="234"/>
      <c r="S18" s="234"/>
      <c r="T18" s="234">
        <f>COUNT(T19:T98)/2</f>
        <v>4</v>
      </c>
      <c r="U18" s="59" t="s">
        <v>165</v>
      </c>
      <c r="V18" s="234"/>
      <c r="W18" s="234"/>
      <c r="X18" s="234"/>
      <c r="Y18" s="234"/>
      <c r="Z18" s="231">
        <f>COUNT(Z19:Z98)/2</f>
        <v>5</v>
      </c>
      <c r="AA18" s="59" t="s">
        <v>165</v>
      </c>
      <c r="AB18" s="234"/>
      <c r="AC18" s="234"/>
      <c r="AD18" s="234"/>
      <c r="AE18" s="234"/>
      <c r="AF18" s="231">
        <f>COUNT(AF19:AF98)/2</f>
        <v>3</v>
      </c>
      <c r="AG18" s="232">
        <f>SUM(AG19:AG98)</f>
        <v>12</v>
      </c>
      <c r="AH18" s="59" t="s">
        <v>177</v>
      </c>
      <c r="AI18" s="230" t="s">
        <v>165</v>
      </c>
      <c r="AJ18" s="235"/>
      <c r="AK18" s="235"/>
      <c r="AL18" s="235"/>
      <c r="AM18" s="235"/>
      <c r="AN18" s="236">
        <f>COUNT(AN19:AN98)/2</f>
        <v>5</v>
      </c>
      <c r="AO18" s="237" t="s">
        <v>165</v>
      </c>
      <c r="AP18" s="237"/>
      <c r="AQ18" s="238"/>
      <c r="AR18" s="238"/>
      <c r="AS18" s="238"/>
      <c r="AT18" s="236">
        <f>COUNT(AT19:AT98)/2</f>
        <v>6</v>
      </c>
      <c r="AU18" s="237" t="s">
        <v>165</v>
      </c>
      <c r="AV18" s="237"/>
      <c r="AW18" s="238"/>
      <c r="AX18" s="238"/>
      <c r="AY18" s="238"/>
      <c r="AZ18" s="236">
        <f>COUNT(AZ19:AZ98)/2</f>
        <v>2</v>
      </c>
      <c r="BA18" s="232">
        <f>SUM(BA19:BA98)</f>
        <v>13</v>
      </c>
      <c r="BB18" s="59" t="s">
        <v>177</v>
      </c>
      <c r="BC18" s="230" t="s">
        <v>165</v>
      </c>
      <c r="BD18" s="239"/>
      <c r="BE18" s="239"/>
      <c r="BF18" s="238"/>
      <c r="BG18" s="239"/>
      <c r="BH18" s="236">
        <f>COUNT(BH19:BH98)/2</f>
        <v>3</v>
      </c>
      <c r="BI18" s="240" t="s">
        <v>165</v>
      </c>
      <c r="BJ18" s="239"/>
      <c r="BK18" s="239"/>
      <c r="BL18" s="238"/>
      <c r="BM18" s="239"/>
      <c r="BN18" s="236">
        <f>COUNT(BN19:BN98)/2</f>
        <v>4</v>
      </c>
      <c r="BO18" s="240" t="s">
        <v>165</v>
      </c>
      <c r="BP18" s="239"/>
      <c r="BQ18" s="239"/>
      <c r="BR18" s="238"/>
      <c r="BS18" s="239"/>
      <c r="BT18" s="236">
        <f>COUNT(BT19:BT98)/2</f>
        <v>2</v>
      </c>
      <c r="BU18" s="232">
        <f>SUM(BU19:BU98)</f>
        <v>9</v>
      </c>
      <c r="BV18" s="59" t="s">
        <v>177</v>
      </c>
      <c r="BW18" s="230" t="s">
        <v>165</v>
      </c>
      <c r="BX18" s="235"/>
      <c r="BY18" s="235"/>
      <c r="BZ18" s="238"/>
      <c r="CA18" s="235"/>
      <c r="CB18" s="231">
        <f>COUNT(CB19:CB98)/2</f>
        <v>0</v>
      </c>
      <c r="CC18" s="240" t="s">
        <v>165</v>
      </c>
      <c r="CD18" s="239"/>
      <c r="CE18" s="239"/>
      <c r="CF18" s="238"/>
      <c r="CG18" s="239"/>
      <c r="CH18" s="236">
        <f>COUNT(CH19:CH98)/2</f>
        <v>0</v>
      </c>
      <c r="CI18" s="240" t="s">
        <v>165</v>
      </c>
      <c r="CJ18" s="239"/>
      <c r="CK18" s="239"/>
      <c r="CL18" s="238"/>
      <c r="CM18" s="239"/>
      <c r="CN18" s="236">
        <f>COUNT(CN19:CN98)/2</f>
        <v>0</v>
      </c>
      <c r="CO18" s="240" t="s">
        <v>165</v>
      </c>
      <c r="CP18" s="239"/>
      <c r="CQ18" s="239"/>
      <c r="CR18" s="238"/>
      <c r="CS18" s="239"/>
      <c r="CT18" s="236">
        <f>COUNT(CT19:CT98)/2</f>
        <v>0</v>
      </c>
      <c r="CU18" s="232">
        <f>SUM(CU19:CU98)</f>
        <v>0</v>
      </c>
      <c r="CV18" s="59" t="s">
        <v>177</v>
      </c>
      <c r="CW18" s="230" t="s">
        <v>165</v>
      </c>
      <c r="CX18" s="239"/>
      <c r="CY18" s="239"/>
      <c r="CZ18" s="238"/>
      <c r="DA18" s="239"/>
      <c r="DB18" s="236">
        <f>COUNT(DB19:DB98)/2</f>
        <v>0</v>
      </c>
      <c r="DC18" s="240" t="s">
        <v>165</v>
      </c>
      <c r="DD18" s="239"/>
      <c r="DE18" s="239"/>
      <c r="DF18" s="238"/>
      <c r="DG18" s="239"/>
      <c r="DH18" s="236">
        <f>COUNT(DH19:DH98)/2</f>
        <v>0</v>
      </c>
      <c r="DI18" s="240" t="s">
        <v>165</v>
      </c>
      <c r="DJ18" s="239"/>
      <c r="DK18" s="239"/>
      <c r="DL18" s="238"/>
      <c r="DM18" s="239"/>
      <c r="DN18" s="236">
        <f>COUNT(DN19:DN98)/2</f>
        <v>0</v>
      </c>
      <c r="DO18" s="240" t="s">
        <v>165</v>
      </c>
      <c r="DP18" s="239"/>
      <c r="DQ18" s="239"/>
      <c r="DR18" s="238"/>
      <c r="DS18" s="239"/>
      <c r="DT18" s="236">
        <f>COUNT(DT19:DT98)/2</f>
        <v>0</v>
      </c>
      <c r="DU18" s="232">
        <f>SUM(DU19:DU98)</f>
        <v>0</v>
      </c>
      <c r="DV18" s="59" t="s">
        <v>177</v>
      </c>
      <c r="DW18" s="230" t="s">
        <v>165</v>
      </c>
      <c r="DX18" s="239"/>
      <c r="DY18" s="239"/>
      <c r="DZ18" s="238"/>
      <c r="EA18" s="239"/>
      <c r="EB18" s="236">
        <f>COUNT(EB19:EB98)/2</f>
        <v>0</v>
      </c>
      <c r="EC18" s="240" t="s">
        <v>165</v>
      </c>
      <c r="ED18" s="239"/>
      <c r="EE18" s="239"/>
      <c r="EF18" s="238"/>
      <c r="EG18" s="239"/>
      <c r="EH18" s="236">
        <f>COUNT(EH19:EH98)/2</f>
        <v>0</v>
      </c>
      <c r="EI18" s="240" t="s">
        <v>165</v>
      </c>
      <c r="EJ18" s="239"/>
      <c r="EK18" s="239"/>
      <c r="EL18" s="238"/>
      <c r="EM18" s="239"/>
      <c r="EN18" s="236">
        <f>COUNT(EN19:EN98)/2</f>
        <v>0</v>
      </c>
      <c r="EO18" s="232">
        <f>SUM(EO19:EO98)</f>
        <v>0</v>
      </c>
      <c r="EP18" s="59" t="s">
        <v>177</v>
      </c>
      <c r="EQ18" s="230" t="s">
        <v>165</v>
      </c>
      <c r="ER18" s="239"/>
      <c r="ES18" s="239"/>
      <c r="ET18" s="238"/>
      <c r="EU18" s="239"/>
      <c r="EV18" s="236">
        <f>COUNT(EV19:EV98)/2</f>
        <v>0</v>
      </c>
      <c r="EW18" s="240" t="s">
        <v>165</v>
      </c>
      <c r="EX18" s="239"/>
      <c r="EY18" s="239"/>
      <c r="EZ18" s="238"/>
      <c r="FA18" s="239"/>
      <c r="FB18" s="236">
        <f>COUNT(FB19:FB98)/2</f>
        <v>0</v>
      </c>
      <c r="FC18" s="240" t="s">
        <v>165</v>
      </c>
      <c r="FD18" s="239"/>
      <c r="FE18" s="239"/>
      <c r="FF18" s="238"/>
      <c r="FG18" s="239"/>
      <c r="FH18" s="236">
        <f>COUNT(FH19:FH98)/2</f>
        <v>0</v>
      </c>
      <c r="FI18" s="240" t="s">
        <v>165</v>
      </c>
      <c r="FJ18" s="239"/>
      <c r="FK18" s="239"/>
      <c r="FL18" s="238"/>
      <c r="FM18" s="239"/>
      <c r="FN18" s="236">
        <f>COUNT(FN19:FN98)/2</f>
        <v>0</v>
      </c>
      <c r="FO18" s="232">
        <f>SUM(FO19:FO98)</f>
        <v>0</v>
      </c>
      <c r="FP18" s="59" t="s">
        <v>177</v>
      </c>
    </row>
    <row r="19" spans="1:172" ht="17" x14ac:dyDescent="0.45">
      <c r="A19" s="306">
        <v>1</v>
      </c>
      <c r="B19" s="241">
        <f>U6</f>
        <v>1</v>
      </c>
      <c r="C19" s="206" t="s">
        <v>154</v>
      </c>
      <c r="D19" s="206" t="s">
        <v>149</v>
      </c>
      <c r="E19" s="242" t="s">
        <v>152</v>
      </c>
      <c r="F19" s="243" t="s">
        <v>153</v>
      </c>
      <c r="G19" s="304">
        <v>1</v>
      </c>
      <c r="H19" s="245"/>
      <c r="I19" s="246" t="s">
        <v>154</v>
      </c>
      <c r="J19" s="206" t="s">
        <v>149</v>
      </c>
      <c r="K19" s="242" t="s">
        <v>152</v>
      </c>
      <c r="L19" s="247" t="s">
        <v>153</v>
      </c>
      <c r="M19" s="305">
        <f>IF(COUNT(#REF!,F20:F28,L20:L28) &gt;0, COUNT(#REF!,F20:F28,L20:L28) /2,"")</f>
        <v>1</v>
      </c>
      <c r="N19" s="244"/>
      <c r="O19" s="306">
        <v>1</v>
      </c>
      <c r="P19" s="245"/>
      <c r="Q19" s="245" t="s">
        <v>154</v>
      </c>
      <c r="R19" s="206" t="s">
        <v>149</v>
      </c>
      <c r="S19" s="242" t="s">
        <v>152</v>
      </c>
      <c r="T19" s="243" t="s">
        <v>153</v>
      </c>
      <c r="U19" s="304">
        <v>1</v>
      </c>
      <c r="V19" s="245"/>
      <c r="W19" s="246" t="s">
        <v>154</v>
      </c>
      <c r="X19" s="206" t="s">
        <v>149</v>
      </c>
      <c r="Y19" s="242" t="s">
        <v>152</v>
      </c>
      <c r="Z19" s="247" t="s">
        <v>153</v>
      </c>
      <c r="AA19" s="304">
        <v>1</v>
      </c>
      <c r="AB19" s="245"/>
      <c r="AC19" s="246" t="s">
        <v>154</v>
      </c>
      <c r="AD19" s="206" t="s">
        <v>149</v>
      </c>
      <c r="AE19" s="242" t="s">
        <v>152</v>
      </c>
      <c r="AF19" s="247" t="s">
        <v>153</v>
      </c>
      <c r="AG19" s="305">
        <f>IF(COUNT(N20:N28,T20:T28,Z20:Z28,AF20:AF28) &gt;0, COUNT(N20:N28,T20:T28,Z20:Z28,AF20:AF28) /2,"")</f>
        <v>2</v>
      </c>
      <c r="AH19" s="244"/>
      <c r="AI19" s="306">
        <v>1</v>
      </c>
      <c r="AJ19" s="245"/>
      <c r="AK19" s="206" t="s">
        <v>154</v>
      </c>
      <c r="AL19" s="206" t="s">
        <v>149</v>
      </c>
      <c r="AM19" s="242" t="s">
        <v>152</v>
      </c>
      <c r="AN19" s="248" t="s">
        <v>153</v>
      </c>
      <c r="AO19" s="304">
        <v>1</v>
      </c>
      <c r="AP19" s="245"/>
      <c r="AQ19" s="206" t="s">
        <v>154</v>
      </c>
      <c r="AR19" s="206" t="s">
        <v>149</v>
      </c>
      <c r="AS19" s="242" t="s">
        <v>152</v>
      </c>
      <c r="AT19" s="248" t="s">
        <v>153</v>
      </c>
      <c r="AU19" s="304">
        <v>1</v>
      </c>
      <c r="AV19" s="245"/>
      <c r="AW19" s="206" t="s">
        <v>154</v>
      </c>
      <c r="AX19" s="206" t="s">
        <v>149</v>
      </c>
      <c r="AY19" s="242" t="s">
        <v>152</v>
      </c>
      <c r="AZ19" s="248" t="s">
        <v>153</v>
      </c>
      <c r="BA19" s="305">
        <f>IF(COUNT(AN20:AN28,AT20:AT28,AZ20:AZ28) &gt;0, COUNT(AN20:AN28,AT20:AT28,AZ20:AZ28) /2,"")</f>
        <v>2</v>
      </c>
      <c r="BB19" s="244"/>
      <c r="BC19" s="306">
        <v>1</v>
      </c>
      <c r="BD19" s="245"/>
      <c r="BE19" s="59" t="s">
        <v>154</v>
      </c>
      <c r="BF19" s="206" t="s">
        <v>149</v>
      </c>
      <c r="BG19" s="242" t="s">
        <v>152</v>
      </c>
      <c r="BH19" s="248" t="s">
        <v>153</v>
      </c>
      <c r="BI19" s="304">
        <v>1</v>
      </c>
      <c r="BJ19" s="245"/>
      <c r="BK19" s="59" t="s">
        <v>154</v>
      </c>
      <c r="BL19" s="206" t="s">
        <v>149</v>
      </c>
      <c r="BM19" s="242" t="s">
        <v>152</v>
      </c>
      <c r="BN19" s="248" t="s">
        <v>153</v>
      </c>
      <c r="BO19" s="304">
        <v>1</v>
      </c>
      <c r="BP19" s="245"/>
      <c r="BQ19" s="59" t="s">
        <v>154</v>
      </c>
      <c r="BR19" s="206" t="s">
        <v>149</v>
      </c>
      <c r="BS19" s="242" t="s">
        <v>152</v>
      </c>
      <c r="BT19" s="248" t="s">
        <v>153</v>
      </c>
      <c r="BU19" s="305">
        <f>IF(COUNT(BH20:BH28,BN20:BN28,BT20:BT28) &gt;0, COUNT(BH20:BH28,BN20:BN28,BT20:BT28) /2,"")</f>
        <v>2</v>
      </c>
      <c r="BV19" s="244"/>
      <c r="BW19" s="306">
        <v>1</v>
      </c>
      <c r="BX19" s="245"/>
      <c r="BY19" s="59" t="s">
        <v>154</v>
      </c>
      <c r="BZ19" s="206" t="s">
        <v>149</v>
      </c>
      <c r="CA19" s="242" t="s">
        <v>152</v>
      </c>
      <c r="CB19" s="248" t="s">
        <v>153</v>
      </c>
      <c r="CC19" s="304">
        <v>1</v>
      </c>
      <c r="CD19" s="245"/>
      <c r="CE19" s="59" t="s">
        <v>154</v>
      </c>
      <c r="CF19" s="206" t="s">
        <v>149</v>
      </c>
      <c r="CG19" s="242" t="s">
        <v>152</v>
      </c>
      <c r="CH19" s="248" t="s">
        <v>153</v>
      </c>
      <c r="CI19" s="304">
        <v>1</v>
      </c>
      <c r="CJ19" s="245"/>
      <c r="CK19" s="59" t="s">
        <v>154</v>
      </c>
      <c r="CL19" s="206" t="s">
        <v>149</v>
      </c>
      <c r="CM19" s="242" t="s">
        <v>152</v>
      </c>
      <c r="CN19" s="248" t="s">
        <v>153</v>
      </c>
      <c r="CO19" s="304">
        <v>1</v>
      </c>
      <c r="CP19" s="245"/>
      <c r="CQ19" s="59" t="s">
        <v>154</v>
      </c>
      <c r="CR19" s="206" t="s">
        <v>149</v>
      </c>
      <c r="CS19" s="242" t="s">
        <v>152</v>
      </c>
      <c r="CT19" s="248" t="s">
        <v>153</v>
      </c>
      <c r="CU19" s="305" t="str">
        <f>IF(COUNT(CB20:CB28,CH20:CH28,CN20:CN28,CT20:CT28) &gt;0, COUNT(CB20:CB28,CH20:CH28,CN20:CN28,CT20:CT28) /2,"")</f>
        <v/>
      </c>
      <c r="CV19" s="244"/>
      <c r="CW19" s="306">
        <v>1</v>
      </c>
      <c r="CX19" s="245"/>
      <c r="CY19" s="206" t="s">
        <v>154</v>
      </c>
      <c r="CZ19" s="206" t="s">
        <v>149</v>
      </c>
      <c r="DA19" s="242" t="s">
        <v>152</v>
      </c>
      <c r="DB19" s="248" t="s">
        <v>153</v>
      </c>
      <c r="DC19" s="304">
        <v>1</v>
      </c>
      <c r="DD19" s="245"/>
      <c r="DE19" s="59" t="s">
        <v>154</v>
      </c>
      <c r="DF19" s="206" t="s">
        <v>149</v>
      </c>
      <c r="DG19" s="242" t="s">
        <v>152</v>
      </c>
      <c r="DH19" s="248" t="s">
        <v>153</v>
      </c>
      <c r="DI19" s="304">
        <v>1</v>
      </c>
      <c r="DJ19" s="245"/>
      <c r="DK19" s="59" t="s">
        <v>154</v>
      </c>
      <c r="DL19" s="206" t="s">
        <v>149</v>
      </c>
      <c r="DM19" s="242" t="s">
        <v>152</v>
      </c>
      <c r="DN19" s="248" t="s">
        <v>153</v>
      </c>
      <c r="DO19" s="304">
        <v>1</v>
      </c>
      <c r="DP19" s="245"/>
      <c r="DQ19" s="59" t="s">
        <v>154</v>
      </c>
      <c r="DR19" s="206" t="s">
        <v>149</v>
      </c>
      <c r="DS19" s="242" t="s">
        <v>152</v>
      </c>
      <c r="DT19" s="248" t="s">
        <v>153</v>
      </c>
      <c r="DU19" s="305" t="str">
        <f>IF(COUNT(DB20:DB28,DH20:DH28,DN20:DN28,DT20:DT28) &gt;0, COUNT(DB20:DB28,DH20:DH28,DN20:DN28,DT20:DT28) /2,"")</f>
        <v/>
      </c>
      <c r="DV19" s="244"/>
      <c r="DW19" s="306">
        <v>1</v>
      </c>
      <c r="DX19" s="245"/>
      <c r="DY19" s="59" t="s">
        <v>154</v>
      </c>
      <c r="DZ19" s="206" t="s">
        <v>149</v>
      </c>
      <c r="EA19" s="242" t="s">
        <v>152</v>
      </c>
      <c r="EB19" s="248" t="s">
        <v>153</v>
      </c>
      <c r="EC19" s="304">
        <v>1</v>
      </c>
      <c r="ED19" s="245"/>
      <c r="EE19" s="59" t="s">
        <v>154</v>
      </c>
      <c r="EF19" s="206" t="s">
        <v>149</v>
      </c>
      <c r="EG19" s="242" t="s">
        <v>152</v>
      </c>
      <c r="EH19" s="248" t="s">
        <v>153</v>
      </c>
      <c r="EI19" s="304">
        <v>1</v>
      </c>
      <c r="EJ19" s="245"/>
      <c r="EK19" s="59" t="s">
        <v>154</v>
      </c>
      <c r="EL19" s="206" t="s">
        <v>149</v>
      </c>
      <c r="EM19" s="242" t="s">
        <v>152</v>
      </c>
      <c r="EN19" s="248" t="s">
        <v>153</v>
      </c>
      <c r="EO19" s="305" t="str">
        <f>IF(COUNT(EB20:EB28,EH20:EH28,EN20:EN28) &gt;0, COUNT(EB20:EB28,EH20:EH28,EN20:EN28) /2,"")</f>
        <v/>
      </c>
      <c r="EP19" s="244"/>
      <c r="EQ19" s="306">
        <v>1</v>
      </c>
      <c r="ER19" s="245"/>
      <c r="ES19" s="59" t="s">
        <v>154</v>
      </c>
      <c r="ET19" s="206" t="s">
        <v>149</v>
      </c>
      <c r="EU19" s="242" t="s">
        <v>152</v>
      </c>
      <c r="EV19" s="248" t="s">
        <v>153</v>
      </c>
      <c r="EW19" s="304">
        <v>1</v>
      </c>
      <c r="EX19" s="245"/>
      <c r="EY19" s="59" t="s">
        <v>154</v>
      </c>
      <c r="EZ19" s="206" t="s">
        <v>149</v>
      </c>
      <c r="FA19" s="242" t="s">
        <v>152</v>
      </c>
      <c r="FB19" s="248" t="s">
        <v>153</v>
      </c>
      <c r="FC19" s="304">
        <v>1</v>
      </c>
      <c r="FD19" s="245"/>
      <c r="FE19" s="59" t="s">
        <v>154</v>
      </c>
      <c r="FF19" s="206" t="s">
        <v>149</v>
      </c>
      <c r="FG19" s="242" t="s">
        <v>152</v>
      </c>
      <c r="FH19" s="248" t="s">
        <v>153</v>
      </c>
      <c r="FI19" s="304">
        <v>1</v>
      </c>
      <c r="FJ19" s="245"/>
      <c r="FK19" s="59" t="s">
        <v>154</v>
      </c>
      <c r="FL19" s="206" t="s">
        <v>149</v>
      </c>
      <c r="FM19" s="242" t="s">
        <v>152</v>
      </c>
      <c r="FN19" s="248" t="s">
        <v>153</v>
      </c>
      <c r="FO19" s="305" t="str">
        <f>IF(COUNT(EV20:EV28,FB20:FB28,FH20:FH28,FN20:FN28) &gt;0, COUNT(EV20:EV28,FB20:FB28,FH20:FH28,FN20:FN28) /2,"")</f>
        <v/>
      </c>
      <c r="FP19" s="244"/>
    </row>
    <row r="20" spans="1:172" ht="27.75" customHeight="1" x14ac:dyDescent="0.45">
      <c r="A20" s="307"/>
      <c r="B20" s="249" t="s">
        <v>162</v>
      </c>
      <c r="C20" s="41" t="s">
        <v>156</v>
      </c>
      <c r="D20" s="41" t="s">
        <v>186</v>
      </c>
      <c r="E20" s="249" t="s">
        <v>174</v>
      </c>
      <c r="F20" s="250"/>
      <c r="G20" s="301"/>
      <c r="H20" s="249" t="s">
        <v>162</v>
      </c>
      <c r="I20" s="59" t="s">
        <v>155</v>
      </c>
      <c r="J20" s="41" t="s">
        <v>186</v>
      </c>
      <c r="K20" s="249" t="s">
        <v>174</v>
      </c>
      <c r="L20" s="251"/>
      <c r="M20" s="305"/>
      <c r="N20" s="244"/>
      <c r="O20" s="307"/>
      <c r="P20" s="249" t="s">
        <v>162</v>
      </c>
      <c r="Q20" s="59" t="s">
        <v>155</v>
      </c>
      <c r="R20" s="41" t="s">
        <v>186</v>
      </c>
      <c r="S20" s="249" t="s">
        <v>174</v>
      </c>
      <c r="T20" s="250"/>
      <c r="U20" s="301"/>
      <c r="V20" s="249" t="s">
        <v>162</v>
      </c>
      <c r="W20" s="59" t="s">
        <v>155</v>
      </c>
      <c r="X20" s="41" t="s">
        <v>186</v>
      </c>
      <c r="Y20" s="249" t="s">
        <v>174</v>
      </c>
      <c r="Z20" s="251"/>
      <c r="AA20" s="301"/>
      <c r="AB20" s="249" t="s">
        <v>162</v>
      </c>
      <c r="AC20" s="59" t="s">
        <v>155</v>
      </c>
      <c r="AD20" s="41" t="s">
        <v>186</v>
      </c>
      <c r="AE20" s="249" t="s">
        <v>174</v>
      </c>
      <c r="AF20" s="251"/>
      <c r="AG20" s="305"/>
      <c r="AH20" s="244"/>
      <c r="AI20" s="307"/>
      <c r="AJ20" s="249" t="s">
        <v>162</v>
      </c>
      <c r="AK20" s="59" t="s">
        <v>155</v>
      </c>
      <c r="AL20" s="41" t="s">
        <v>186</v>
      </c>
      <c r="AM20" s="249" t="s">
        <v>174</v>
      </c>
      <c r="AN20" s="250"/>
      <c r="AO20" s="301"/>
      <c r="AP20" s="249" t="s">
        <v>162</v>
      </c>
      <c r="AQ20" s="59" t="s">
        <v>155</v>
      </c>
      <c r="AR20" s="41" t="s">
        <v>186</v>
      </c>
      <c r="AS20" s="249" t="s">
        <v>174</v>
      </c>
      <c r="AT20" s="250"/>
      <c r="AU20" s="301"/>
      <c r="AV20" s="249" t="s">
        <v>162</v>
      </c>
      <c r="AW20" s="59" t="s">
        <v>155</v>
      </c>
      <c r="AX20" s="41" t="s">
        <v>186</v>
      </c>
      <c r="AY20" s="249" t="s">
        <v>174</v>
      </c>
      <c r="AZ20" s="250"/>
      <c r="BA20" s="305"/>
      <c r="BB20" s="244"/>
      <c r="BC20" s="307"/>
      <c r="BD20" s="249" t="s">
        <v>162</v>
      </c>
      <c r="BE20" s="59" t="s">
        <v>155</v>
      </c>
      <c r="BF20" s="41" t="s">
        <v>186</v>
      </c>
      <c r="BG20" s="249" t="s">
        <v>174</v>
      </c>
      <c r="BH20" s="250"/>
      <c r="BI20" s="301"/>
      <c r="BJ20" s="249" t="s">
        <v>162</v>
      </c>
      <c r="BK20" s="59" t="s">
        <v>155</v>
      </c>
      <c r="BL20" s="41" t="s">
        <v>186</v>
      </c>
      <c r="BM20" s="249" t="s">
        <v>174</v>
      </c>
      <c r="BN20" s="250"/>
      <c r="BO20" s="301"/>
      <c r="BP20" s="249" t="s">
        <v>162</v>
      </c>
      <c r="BQ20" s="59" t="s">
        <v>155</v>
      </c>
      <c r="BR20" s="41" t="s">
        <v>186</v>
      </c>
      <c r="BS20" s="249" t="s">
        <v>174</v>
      </c>
      <c r="BT20" s="250"/>
      <c r="BU20" s="305"/>
      <c r="BV20" s="244"/>
      <c r="BW20" s="307"/>
      <c r="BX20" s="249" t="s">
        <v>162</v>
      </c>
      <c r="BY20" s="59" t="s">
        <v>155</v>
      </c>
      <c r="BZ20" s="41" t="s">
        <v>186</v>
      </c>
      <c r="CA20" s="249" t="s">
        <v>174</v>
      </c>
      <c r="CB20" s="250"/>
      <c r="CC20" s="301"/>
      <c r="CD20" s="249" t="s">
        <v>162</v>
      </c>
      <c r="CE20" s="59" t="s">
        <v>155</v>
      </c>
      <c r="CF20" s="41" t="s">
        <v>186</v>
      </c>
      <c r="CG20" s="249" t="s">
        <v>174</v>
      </c>
      <c r="CH20" s="250"/>
      <c r="CI20" s="301"/>
      <c r="CJ20" s="249" t="s">
        <v>162</v>
      </c>
      <c r="CK20" s="59" t="s">
        <v>155</v>
      </c>
      <c r="CL20" s="41" t="s">
        <v>186</v>
      </c>
      <c r="CM20" s="249" t="s">
        <v>174</v>
      </c>
      <c r="CN20" s="250"/>
      <c r="CO20" s="301"/>
      <c r="CP20" s="249" t="s">
        <v>162</v>
      </c>
      <c r="CQ20" s="59" t="s">
        <v>155</v>
      </c>
      <c r="CR20" s="41" t="s">
        <v>186</v>
      </c>
      <c r="CS20" s="249" t="s">
        <v>174</v>
      </c>
      <c r="CT20" s="250"/>
      <c r="CU20" s="305"/>
      <c r="CV20" s="244"/>
      <c r="CW20" s="307"/>
      <c r="CX20" s="249" t="s">
        <v>162</v>
      </c>
      <c r="CY20" s="59" t="s">
        <v>155</v>
      </c>
      <c r="CZ20" s="41" t="s">
        <v>186</v>
      </c>
      <c r="DA20" s="249" t="s">
        <v>174</v>
      </c>
      <c r="DB20" s="250"/>
      <c r="DC20" s="301"/>
      <c r="DD20" s="249" t="s">
        <v>162</v>
      </c>
      <c r="DE20" s="59" t="s">
        <v>155</v>
      </c>
      <c r="DF20" s="41" t="s">
        <v>186</v>
      </c>
      <c r="DG20" s="249" t="s">
        <v>174</v>
      </c>
      <c r="DH20" s="250"/>
      <c r="DI20" s="301"/>
      <c r="DJ20" s="249" t="s">
        <v>162</v>
      </c>
      <c r="DK20" s="59" t="s">
        <v>155</v>
      </c>
      <c r="DL20" s="41" t="s">
        <v>186</v>
      </c>
      <c r="DM20" s="249" t="s">
        <v>174</v>
      </c>
      <c r="DN20" s="250"/>
      <c r="DO20" s="301"/>
      <c r="DP20" s="249" t="s">
        <v>162</v>
      </c>
      <c r="DQ20" s="59" t="s">
        <v>155</v>
      </c>
      <c r="DR20" s="41" t="s">
        <v>186</v>
      </c>
      <c r="DS20" s="249" t="s">
        <v>174</v>
      </c>
      <c r="DT20" s="250"/>
      <c r="DU20" s="305"/>
      <c r="DV20" s="244"/>
      <c r="DW20" s="307"/>
      <c r="DX20" s="249" t="s">
        <v>162</v>
      </c>
      <c r="DY20" s="59" t="s">
        <v>155</v>
      </c>
      <c r="DZ20" s="41" t="s">
        <v>186</v>
      </c>
      <c r="EA20" s="249" t="s">
        <v>174</v>
      </c>
      <c r="EB20" s="250"/>
      <c r="EC20" s="301"/>
      <c r="ED20" s="249" t="s">
        <v>162</v>
      </c>
      <c r="EE20" s="59" t="s">
        <v>155</v>
      </c>
      <c r="EF20" s="41" t="s">
        <v>186</v>
      </c>
      <c r="EG20" s="249" t="s">
        <v>174</v>
      </c>
      <c r="EH20" s="250"/>
      <c r="EI20" s="301"/>
      <c r="EJ20" s="249" t="s">
        <v>162</v>
      </c>
      <c r="EK20" s="59" t="s">
        <v>155</v>
      </c>
      <c r="EL20" s="41" t="s">
        <v>186</v>
      </c>
      <c r="EM20" s="249" t="s">
        <v>174</v>
      </c>
      <c r="EN20" s="250"/>
      <c r="EO20" s="305"/>
      <c r="EP20" s="244"/>
      <c r="EQ20" s="307"/>
      <c r="ER20" s="249" t="s">
        <v>162</v>
      </c>
      <c r="ES20" s="59" t="s">
        <v>155</v>
      </c>
      <c r="ET20" s="41" t="s">
        <v>186</v>
      </c>
      <c r="EU20" s="249" t="s">
        <v>174</v>
      </c>
      <c r="EV20" s="250"/>
      <c r="EW20" s="301"/>
      <c r="EX20" s="249" t="s">
        <v>162</v>
      </c>
      <c r="EY20" s="59" t="s">
        <v>155</v>
      </c>
      <c r="EZ20" s="41" t="s">
        <v>186</v>
      </c>
      <c r="FA20" s="249" t="s">
        <v>174</v>
      </c>
      <c r="FB20" s="250"/>
      <c r="FC20" s="301"/>
      <c r="FD20" s="249" t="s">
        <v>162</v>
      </c>
      <c r="FE20" s="59" t="s">
        <v>155</v>
      </c>
      <c r="FF20" s="41" t="s">
        <v>186</v>
      </c>
      <c r="FG20" s="249" t="s">
        <v>174</v>
      </c>
      <c r="FH20" s="250"/>
      <c r="FI20" s="301"/>
      <c r="FJ20" s="249" t="s">
        <v>162</v>
      </c>
      <c r="FK20" s="59" t="s">
        <v>155</v>
      </c>
      <c r="FL20" s="41" t="s">
        <v>186</v>
      </c>
      <c r="FM20" s="249" t="s">
        <v>174</v>
      </c>
      <c r="FN20" s="250"/>
      <c r="FO20" s="305"/>
      <c r="FP20" s="244"/>
    </row>
    <row r="21" spans="1:172" s="181" customFormat="1" ht="17" x14ac:dyDescent="0.45">
      <c r="A21" s="307"/>
      <c r="B21" s="252">
        <v>1</v>
      </c>
      <c r="C21" s="59">
        <v>0</v>
      </c>
      <c r="D21" s="254">
        <f t="shared" ref="D21:D28" si="4">(C21+$B$19)*$H$3</f>
        <v>8</v>
      </c>
      <c r="E21" s="255">
        <f t="shared" ref="E21:E28" si="5">MOD($F6+D21,$H$2)</f>
        <v>15</v>
      </c>
      <c r="F21" s="256">
        <v>1</v>
      </c>
      <c r="G21" s="301"/>
      <c r="H21" s="252">
        <v>1</v>
      </c>
      <c r="I21" s="253">
        <f>IF(F21="",C21,IF(F21=MAX(F$21:F$28),C21+1,0))</f>
        <v>0</v>
      </c>
      <c r="J21" s="254">
        <f t="shared" ref="J21:J28" si="6">(I21+$B$19)*$H$3</f>
        <v>8</v>
      </c>
      <c r="K21" s="255">
        <f t="shared" ref="K21:K28" si="7">MOD($F6+J21,$H$2)</f>
        <v>15</v>
      </c>
      <c r="L21" s="256"/>
      <c r="M21" s="305"/>
      <c r="N21" s="244"/>
      <c r="O21" s="307"/>
      <c r="P21" s="252">
        <v>1</v>
      </c>
      <c r="Q21" s="253">
        <f t="shared" ref="Q21:Q28" si="8">IF(F21="",C21,IF(F21=MAX(F$21:F$28),C21+1,0))</f>
        <v>0</v>
      </c>
      <c r="R21" s="254">
        <f t="shared" ref="R21:R28" si="9">(Q21+$B$19)*$H$3</f>
        <v>8</v>
      </c>
      <c r="S21" s="255">
        <f t="shared" ref="S21:S28" si="10">MOD($F6+R21,$H$2)</f>
        <v>15</v>
      </c>
      <c r="T21" s="256">
        <v>1</v>
      </c>
      <c r="U21" s="301"/>
      <c r="V21" s="252">
        <v>1</v>
      </c>
      <c r="W21" s="253">
        <f t="shared" ref="W21:W28" si="11">IF(T21="",Q21,IF(T21=MAX(T$21:T$28),Q21+1,0))</f>
        <v>0</v>
      </c>
      <c r="X21" s="254">
        <f t="shared" ref="X21:X28" si="12">(W21+$B$19)*$H$3</f>
        <v>8</v>
      </c>
      <c r="Y21" s="255">
        <f t="shared" ref="Y21:Y28" si="13">MOD($F6+X21,$H$2)</f>
        <v>15</v>
      </c>
      <c r="Z21" s="256">
        <v>9</v>
      </c>
      <c r="AA21" s="301"/>
      <c r="AB21" s="252">
        <v>1</v>
      </c>
      <c r="AC21" s="253">
        <f t="shared" ref="AC21:AC28" si="14">IF(Z21="",W21,IF(Z21=MAX(Z$21:Z$28),W21+1,0))</f>
        <v>0</v>
      </c>
      <c r="AD21" s="254">
        <f t="shared" ref="AD21:AD28" si="15">(AC21+$B$19)*$H$3</f>
        <v>8</v>
      </c>
      <c r="AE21" s="255">
        <f t="shared" ref="AE21:AE28" si="16">MOD($F6+AD21,$H$2)</f>
        <v>15</v>
      </c>
      <c r="AF21" s="256"/>
      <c r="AG21" s="305"/>
      <c r="AH21" s="244"/>
      <c r="AI21" s="307"/>
      <c r="AJ21" s="252">
        <v>1</v>
      </c>
      <c r="AK21" s="253">
        <f t="shared" ref="AK21:AK28" si="17">IF(AF21="",AC21,IF(AF21=MAX(AF$21:AF$28),AC21+1,0))</f>
        <v>0</v>
      </c>
      <c r="AL21" s="254">
        <f t="shared" ref="AL21:AL28" si="18">(AK21+$B$19)*$H$3</f>
        <v>8</v>
      </c>
      <c r="AM21" s="255">
        <f t="shared" ref="AM21:AM28" si="19">MOD($F6+AL21,$H$2)</f>
        <v>15</v>
      </c>
      <c r="AN21" s="256">
        <v>1</v>
      </c>
      <c r="AO21" s="301"/>
      <c r="AP21" s="252">
        <v>1</v>
      </c>
      <c r="AQ21" s="253">
        <f t="shared" ref="AQ21:AQ28" si="20">IF(AN21="",AK21,IF(AN21=MAX(AN$21:AN$28),AK21+1,0))</f>
        <v>0</v>
      </c>
      <c r="AR21" s="254">
        <f t="shared" ref="AR21:AR28" si="21">(AQ21+$B$19)*$H$3</f>
        <v>8</v>
      </c>
      <c r="AS21" s="255">
        <f t="shared" ref="AS21:AS28" si="22">MOD($F6+AR21,$H$2)</f>
        <v>15</v>
      </c>
      <c r="AT21" s="256">
        <v>21</v>
      </c>
      <c r="AU21" s="301"/>
      <c r="AV21" s="252">
        <v>1</v>
      </c>
      <c r="AW21" s="253">
        <f t="shared" ref="AW21:AW28" si="23">IF(AT21="",AQ21,IF(AT21=MAX(AT$21:AT$28),AQ21+1,0))</f>
        <v>0</v>
      </c>
      <c r="AX21" s="254">
        <f t="shared" ref="AX21:AX28" si="24">(AW21+$B$19)*$H$3</f>
        <v>8</v>
      </c>
      <c r="AY21" s="255">
        <f t="shared" ref="AY21:AY28" si="25">MOD($F6+AX21,$H$2)</f>
        <v>15</v>
      </c>
      <c r="AZ21" s="256"/>
      <c r="BA21" s="305"/>
      <c r="BB21" s="244"/>
      <c r="BC21" s="307"/>
      <c r="BD21" s="252">
        <v>1</v>
      </c>
      <c r="BE21" s="253">
        <f t="shared" ref="BE21:BE28" si="26">IF(AZ21="",AW21,IF(AZ21=MAX(AZ$21:AZ$28),AW21+1,0))</f>
        <v>0</v>
      </c>
      <c r="BF21" s="254">
        <f t="shared" ref="BF21:BF28" si="27">(BE21+$B$19)*$H$3</f>
        <v>8</v>
      </c>
      <c r="BG21" s="255">
        <f t="shared" ref="BG21:BG28" si="28">MOD($F6+BF21,$H$2)</f>
        <v>15</v>
      </c>
      <c r="BH21" s="256">
        <v>1</v>
      </c>
      <c r="BI21" s="301"/>
      <c r="BJ21" s="252">
        <v>1</v>
      </c>
      <c r="BK21" s="253">
        <f t="shared" ref="BK21:BK28" si="29">IF(BH21="",BE21,IF(BH21=MAX(BH$21:BH$28),BE21+1,0))</f>
        <v>0</v>
      </c>
      <c r="BL21" s="254">
        <f t="shared" ref="BL21:BL28" si="30">(BK21+$B$19)*$H$3</f>
        <v>8</v>
      </c>
      <c r="BM21" s="255">
        <f t="shared" ref="BM21:BM28" si="31">MOD($F6+BL21,$H$2)</f>
        <v>15</v>
      </c>
      <c r="BN21" s="256">
        <v>7</v>
      </c>
      <c r="BO21" s="301"/>
      <c r="BP21" s="252">
        <v>1</v>
      </c>
      <c r="BQ21" s="253">
        <f t="shared" ref="BQ21:BQ28" si="32">IF(BN21="",BK21,IF(BN21=MAX(BN$21:BN$28),BK21+1,0))</f>
        <v>0</v>
      </c>
      <c r="BR21" s="254">
        <f t="shared" ref="BR21:BR28" si="33">(BQ21+$B$19)*$H$3</f>
        <v>8</v>
      </c>
      <c r="BS21" s="255">
        <f t="shared" ref="BS21:BS28" si="34">MOD($F6+BR21,$H$2)</f>
        <v>15</v>
      </c>
      <c r="BT21" s="256"/>
      <c r="BU21" s="305"/>
      <c r="BV21" s="244"/>
      <c r="BW21" s="307"/>
      <c r="BX21" s="252">
        <v>1</v>
      </c>
      <c r="BY21" s="253">
        <f t="shared" ref="BY21:BY28" si="35">IF(BT21="",BQ21,IF(BT21=MAX(BT$21:BT$28),BQ21+1,0))</f>
        <v>0</v>
      </c>
      <c r="BZ21" s="254">
        <f t="shared" ref="BZ21:BZ28" si="36">(BY21+$B$19)*$H$3</f>
        <v>8</v>
      </c>
      <c r="CA21" s="255">
        <f t="shared" ref="CA21:CA28" si="37">MOD($F6+BZ21,$H$2)</f>
        <v>15</v>
      </c>
      <c r="CB21" s="256"/>
      <c r="CC21" s="301"/>
      <c r="CD21" s="252">
        <v>1</v>
      </c>
      <c r="CE21" s="253">
        <f t="shared" ref="CE21:CE28" si="38">IF(CB21="",BY21,IF(CB21=MAX(CB$21:CB$28),BY21+1,0))</f>
        <v>0</v>
      </c>
      <c r="CF21" s="254">
        <f t="shared" ref="CF21:CF28" si="39">(CE21+$B$19)*$H$3</f>
        <v>8</v>
      </c>
      <c r="CG21" s="255">
        <f t="shared" ref="CG21:CG28" si="40">MOD($F6+CF21,$H$2)</f>
        <v>15</v>
      </c>
      <c r="CH21" s="256"/>
      <c r="CI21" s="301"/>
      <c r="CJ21" s="252">
        <v>1</v>
      </c>
      <c r="CK21" s="253">
        <f t="shared" ref="CK21:CK28" si="41">IF(CH21="",CE21,IF(CH21=MAX(CH$21:CH$28),CE21+1,0))</f>
        <v>0</v>
      </c>
      <c r="CL21" s="254">
        <f t="shared" ref="CL21:CL28" si="42">(CK21+$B$19)*$H$3</f>
        <v>8</v>
      </c>
      <c r="CM21" s="255">
        <f t="shared" ref="CM21:CM28" si="43">MOD($F6+CL21,$H$2)</f>
        <v>15</v>
      </c>
      <c r="CN21" s="256"/>
      <c r="CO21" s="301"/>
      <c r="CP21" s="252">
        <v>1</v>
      </c>
      <c r="CQ21" s="253">
        <f t="shared" ref="CQ21:CQ28" si="44">IF(CN21="",CK21,IF(CN21=MAX(CN$21:CN$28),CK21+1,0))</f>
        <v>0</v>
      </c>
      <c r="CR21" s="254">
        <f t="shared" ref="CR21:CR28" si="45">(CQ21+$B$19)*$H$3</f>
        <v>8</v>
      </c>
      <c r="CS21" s="255">
        <f t="shared" ref="CS21:CS28" si="46">MOD($F6+CR21,$H$2)</f>
        <v>15</v>
      </c>
      <c r="CT21" s="256"/>
      <c r="CU21" s="305"/>
      <c r="CV21" s="244"/>
      <c r="CW21" s="307"/>
      <c r="CX21" s="252">
        <v>1</v>
      </c>
      <c r="CY21" s="253">
        <f t="shared" ref="CY21:CY28" si="47">IF(CT21="",CQ21,IF(CT21=MAX(CT$21:CT$28),CQ21+1,0))</f>
        <v>0</v>
      </c>
      <c r="CZ21" s="254">
        <f t="shared" ref="CZ21:CZ28" si="48">(CY21+$B$19)*$H$3</f>
        <v>8</v>
      </c>
      <c r="DA21" s="255">
        <f t="shared" ref="DA21:DA28" si="49">MOD($F6+CZ21,$H$2)</f>
        <v>15</v>
      </c>
      <c r="DB21" s="256"/>
      <c r="DC21" s="301"/>
      <c r="DD21" s="252">
        <v>1</v>
      </c>
      <c r="DE21" s="253">
        <f t="shared" ref="DE21:DE28" si="50">IF(DB21="",CY21,IF(DB21=MAX(DB$21:DB$28),CY21+1,0))</f>
        <v>0</v>
      </c>
      <c r="DF21" s="254">
        <f t="shared" ref="DF21:DF28" si="51">(DE21+$B$19)*$H$3</f>
        <v>8</v>
      </c>
      <c r="DG21" s="255">
        <f t="shared" ref="DG21:DG28" si="52">MOD($F6+DF21,$H$2)</f>
        <v>15</v>
      </c>
      <c r="DH21" s="256"/>
      <c r="DI21" s="301"/>
      <c r="DJ21" s="252">
        <v>1</v>
      </c>
      <c r="DK21" s="253">
        <f t="shared" ref="DK21:DK28" si="53">IF(DH21="",DE21,IF(DH21=MAX(DH$21:DH$28),DE21+1,0))</f>
        <v>0</v>
      </c>
      <c r="DL21" s="254">
        <f t="shared" ref="DL21:DL28" si="54">(DK21+$B$19)*$H$3</f>
        <v>8</v>
      </c>
      <c r="DM21" s="255">
        <f t="shared" ref="DM21:DM28" si="55">MOD($F6+DL21,$H$2)</f>
        <v>15</v>
      </c>
      <c r="DN21" s="256"/>
      <c r="DO21" s="301"/>
      <c r="DP21" s="252">
        <v>1</v>
      </c>
      <c r="DQ21" s="253">
        <f t="shared" ref="DQ21:DQ28" si="56">IF(DN21="",DK21,IF(DN21=MAX(DN$21:DN$28),DK21+1,0))</f>
        <v>0</v>
      </c>
      <c r="DR21" s="254">
        <f t="shared" ref="DR21:DR28" si="57">(DQ21+$B$19)*$H$3</f>
        <v>8</v>
      </c>
      <c r="DS21" s="255">
        <f t="shared" ref="DS21:DS28" si="58">MOD($F6+DR21,$H$2)</f>
        <v>15</v>
      </c>
      <c r="DT21" s="256"/>
      <c r="DU21" s="305"/>
      <c r="DV21" s="244"/>
      <c r="DW21" s="307"/>
      <c r="DX21" s="252">
        <v>1</v>
      </c>
      <c r="DY21" s="253">
        <f t="shared" ref="DY21:DY28" si="59">IF(DN21="",DK21,IF(DN21=MAX(DN$21:DN$28),DK21+1,0))</f>
        <v>0</v>
      </c>
      <c r="DZ21" s="254">
        <f t="shared" ref="DZ21:DZ28" si="60">(DY21+$B$19)*$H$3</f>
        <v>8</v>
      </c>
      <c r="EA21" s="255">
        <f t="shared" ref="EA21:EA28" si="61">MOD($F6+DZ21,$H$2)</f>
        <v>15</v>
      </c>
      <c r="EB21" s="256"/>
      <c r="EC21" s="301"/>
      <c r="ED21" s="252">
        <v>1</v>
      </c>
      <c r="EE21" s="253">
        <f t="shared" ref="EE21:EE28" si="62">IF(EB21="",DY21,IF(EB21=MAX(EB$21:EB$28),DY21+1,0))</f>
        <v>0</v>
      </c>
      <c r="EF21" s="254">
        <f t="shared" ref="EF21:EF28" si="63">(EE21+$B$19)*$H$3</f>
        <v>8</v>
      </c>
      <c r="EG21" s="255">
        <f t="shared" ref="EG21:EG28" si="64">MOD($F6+EF21,$H$2)</f>
        <v>15</v>
      </c>
      <c r="EH21" s="256"/>
      <c r="EI21" s="301"/>
      <c r="EJ21" s="252">
        <v>1</v>
      </c>
      <c r="EK21" s="253">
        <f t="shared" ref="EK21:EK28" si="65">IF(EH21="",EE21,IF(EH21=MAX(EH$21:EH$28),EE21+1,0))</f>
        <v>0</v>
      </c>
      <c r="EL21" s="254">
        <f t="shared" ref="EL21:EL28" si="66">(EK21+$B$19)*$H$3</f>
        <v>8</v>
      </c>
      <c r="EM21" s="255">
        <f t="shared" ref="EM21:EM28" si="67">MOD($F6+EL21,$H$2)</f>
        <v>15</v>
      </c>
      <c r="EN21" s="256"/>
      <c r="EO21" s="305"/>
      <c r="EP21" s="244"/>
      <c r="EQ21" s="307"/>
      <c r="ER21" s="252">
        <v>1</v>
      </c>
      <c r="ES21" s="253">
        <f t="shared" ref="ES21:ES28" si="68">IF(EN21="",EK21,IF(EN21=MAX(EN$21:EN$28),EK21+1,0))</f>
        <v>0</v>
      </c>
      <c r="ET21" s="254">
        <f t="shared" ref="ET21:ET28" si="69">(ES21+$B$19)*$H$3</f>
        <v>8</v>
      </c>
      <c r="EU21" s="255">
        <f t="shared" ref="EU21:EU28" si="70">MOD($F6+ET21,$H$2)</f>
        <v>15</v>
      </c>
      <c r="EV21" s="256"/>
      <c r="EW21" s="301"/>
      <c r="EX21" s="252">
        <v>1</v>
      </c>
      <c r="EY21" s="253">
        <f t="shared" ref="EY21:EY28" si="71">IF(EV21="",ES21,IF(EV21=MAX(EV$21:EV$28),ES21+1,0))</f>
        <v>0</v>
      </c>
      <c r="EZ21" s="254">
        <f t="shared" ref="EZ21:EZ28" si="72">(EY21+$B$19)*$H$3</f>
        <v>8</v>
      </c>
      <c r="FA21" s="255">
        <f t="shared" ref="FA21:FA28" si="73">MOD($F6+EZ21,$H$2)</f>
        <v>15</v>
      </c>
      <c r="FB21" s="256"/>
      <c r="FC21" s="301"/>
      <c r="FD21" s="252">
        <v>1</v>
      </c>
      <c r="FE21" s="253">
        <f t="shared" ref="FE21:FE28" si="74">IF(FB21="",EY21,IF(FB21=MAX(FB$21:FB$28),EY21+1,0))</f>
        <v>0</v>
      </c>
      <c r="FF21" s="254">
        <f t="shared" ref="FF21:FF28" si="75">(FE21+$B$19)*$H$3</f>
        <v>8</v>
      </c>
      <c r="FG21" s="255">
        <f t="shared" ref="FG21:FG28" si="76">MOD($F6+FF21,$H$2)</f>
        <v>15</v>
      </c>
      <c r="FH21" s="256"/>
      <c r="FI21" s="301"/>
      <c r="FJ21" s="252">
        <v>1</v>
      </c>
      <c r="FK21" s="253">
        <f t="shared" ref="FK21:FK28" si="77">IF(FH21="",FE21,IF(FH21=MAX(FH$21:FH$28),FE21+1,0))</f>
        <v>0</v>
      </c>
      <c r="FL21" s="254">
        <f t="shared" ref="FL21:FL28" si="78">(FK21+$B$19)*$H$3</f>
        <v>8</v>
      </c>
      <c r="FM21" s="255">
        <f t="shared" ref="FM21:FM28" si="79">MOD($F6+FL21,$H$2)</f>
        <v>15</v>
      </c>
      <c r="FN21" s="256"/>
      <c r="FO21" s="305"/>
      <c r="FP21" s="244"/>
    </row>
    <row r="22" spans="1:172" ht="17" x14ac:dyDescent="0.45">
      <c r="A22" s="307"/>
      <c r="B22" s="257">
        <v>2</v>
      </c>
      <c r="C22" s="59">
        <v>0</v>
      </c>
      <c r="D22" s="254">
        <f t="shared" si="4"/>
        <v>8</v>
      </c>
      <c r="E22" s="258">
        <f t="shared" si="5"/>
        <v>11</v>
      </c>
      <c r="F22" s="248"/>
      <c r="G22" s="301"/>
      <c r="H22" s="226">
        <v>2</v>
      </c>
      <c r="I22" s="59">
        <f t="shared" ref="I22:I28" si="80">IF(F22="",C22,IF(F22=MAX(F$21:F$28),C22+1,0))</f>
        <v>0</v>
      </c>
      <c r="J22" s="254">
        <f t="shared" si="6"/>
        <v>8</v>
      </c>
      <c r="K22" s="258">
        <f t="shared" si="7"/>
        <v>11</v>
      </c>
      <c r="L22" s="248"/>
      <c r="M22" s="305"/>
      <c r="N22" s="244"/>
      <c r="O22" s="307"/>
      <c r="P22" s="226">
        <v>2</v>
      </c>
      <c r="Q22" s="59">
        <f t="shared" si="8"/>
        <v>0</v>
      </c>
      <c r="R22" s="254">
        <f t="shared" si="9"/>
        <v>8</v>
      </c>
      <c r="S22" s="258">
        <f t="shared" si="10"/>
        <v>11</v>
      </c>
      <c r="T22" s="248"/>
      <c r="U22" s="301"/>
      <c r="V22" s="226">
        <v>2</v>
      </c>
      <c r="W22" s="59">
        <f t="shared" si="11"/>
        <v>0</v>
      </c>
      <c r="X22" s="254">
        <f t="shared" si="12"/>
        <v>8</v>
      </c>
      <c r="Y22" s="258">
        <f t="shared" si="13"/>
        <v>11</v>
      </c>
      <c r="Z22" s="248"/>
      <c r="AA22" s="301"/>
      <c r="AB22" s="226">
        <v>2</v>
      </c>
      <c r="AC22" s="59">
        <f t="shared" si="14"/>
        <v>0</v>
      </c>
      <c r="AD22" s="254">
        <f t="shared" si="15"/>
        <v>8</v>
      </c>
      <c r="AE22" s="258">
        <f t="shared" si="16"/>
        <v>11</v>
      </c>
      <c r="AF22" s="248"/>
      <c r="AG22" s="305"/>
      <c r="AH22" s="244"/>
      <c r="AI22" s="307"/>
      <c r="AJ22" s="226">
        <v>2</v>
      </c>
      <c r="AK22" s="59">
        <f t="shared" si="17"/>
        <v>0</v>
      </c>
      <c r="AL22" s="254">
        <f t="shared" si="18"/>
        <v>8</v>
      </c>
      <c r="AM22" s="258">
        <f t="shared" si="19"/>
        <v>11</v>
      </c>
      <c r="AN22" s="248"/>
      <c r="AO22" s="301"/>
      <c r="AP22" s="226">
        <v>2</v>
      </c>
      <c r="AQ22" s="59">
        <f t="shared" si="20"/>
        <v>0</v>
      </c>
      <c r="AR22" s="254">
        <f t="shared" si="21"/>
        <v>8</v>
      </c>
      <c r="AS22" s="258">
        <f t="shared" si="22"/>
        <v>11</v>
      </c>
      <c r="AT22" s="248"/>
      <c r="AU22" s="301"/>
      <c r="AV22" s="226">
        <v>2</v>
      </c>
      <c r="AW22" s="59">
        <f t="shared" si="23"/>
        <v>0</v>
      </c>
      <c r="AX22" s="254">
        <f t="shared" si="24"/>
        <v>8</v>
      </c>
      <c r="AY22" s="258">
        <f t="shared" si="25"/>
        <v>11</v>
      </c>
      <c r="AZ22" s="248"/>
      <c r="BA22" s="305"/>
      <c r="BB22" s="244"/>
      <c r="BC22" s="307"/>
      <c r="BD22" s="226">
        <v>2</v>
      </c>
      <c r="BE22" s="59">
        <f t="shared" si="26"/>
        <v>0</v>
      </c>
      <c r="BF22" s="254">
        <f t="shared" si="27"/>
        <v>8</v>
      </c>
      <c r="BG22" s="258">
        <f t="shared" si="28"/>
        <v>11</v>
      </c>
      <c r="BH22" s="248"/>
      <c r="BI22" s="301"/>
      <c r="BJ22" s="226">
        <v>2</v>
      </c>
      <c r="BK22" s="59">
        <f t="shared" si="29"/>
        <v>0</v>
      </c>
      <c r="BL22" s="254">
        <f t="shared" si="30"/>
        <v>8</v>
      </c>
      <c r="BM22" s="258">
        <f t="shared" si="31"/>
        <v>11</v>
      </c>
      <c r="BN22" s="248"/>
      <c r="BO22" s="301"/>
      <c r="BP22" s="226">
        <v>2</v>
      </c>
      <c r="BQ22" s="59">
        <f t="shared" si="32"/>
        <v>0</v>
      </c>
      <c r="BR22" s="254">
        <f t="shared" si="33"/>
        <v>8</v>
      </c>
      <c r="BS22" s="258">
        <f t="shared" si="34"/>
        <v>11</v>
      </c>
      <c r="BT22" s="248"/>
      <c r="BU22" s="305"/>
      <c r="BV22" s="244"/>
      <c r="BW22" s="307"/>
      <c r="BX22" s="226">
        <v>2</v>
      </c>
      <c r="BY22" s="59">
        <f t="shared" si="35"/>
        <v>0</v>
      </c>
      <c r="BZ22" s="254">
        <f t="shared" si="36"/>
        <v>8</v>
      </c>
      <c r="CA22" s="258">
        <f t="shared" si="37"/>
        <v>11</v>
      </c>
      <c r="CB22" s="248"/>
      <c r="CC22" s="301"/>
      <c r="CD22" s="226">
        <v>2</v>
      </c>
      <c r="CE22" s="59">
        <f t="shared" si="38"/>
        <v>0</v>
      </c>
      <c r="CF22" s="254">
        <f t="shared" si="39"/>
        <v>8</v>
      </c>
      <c r="CG22" s="258">
        <f t="shared" si="40"/>
        <v>11</v>
      </c>
      <c r="CH22" s="248"/>
      <c r="CI22" s="301"/>
      <c r="CJ22" s="226">
        <v>2</v>
      </c>
      <c r="CK22" s="59">
        <f t="shared" si="41"/>
        <v>0</v>
      </c>
      <c r="CL22" s="254">
        <f t="shared" si="42"/>
        <v>8</v>
      </c>
      <c r="CM22" s="258">
        <f t="shared" si="43"/>
        <v>11</v>
      </c>
      <c r="CN22" s="248"/>
      <c r="CO22" s="301"/>
      <c r="CP22" s="226">
        <v>2</v>
      </c>
      <c r="CQ22" s="59">
        <f t="shared" si="44"/>
        <v>0</v>
      </c>
      <c r="CR22" s="254">
        <f t="shared" si="45"/>
        <v>8</v>
      </c>
      <c r="CS22" s="258">
        <f t="shared" si="46"/>
        <v>11</v>
      </c>
      <c r="CT22" s="248"/>
      <c r="CU22" s="305"/>
      <c r="CV22" s="244"/>
      <c r="CW22" s="307"/>
      <c r="CX22" s="226">
        <v>2</v>
      </c>
      <c r="CY22" s="59">
        <f t="shared" si="47"/>
        <v>0</v>
      </c>
      <c r="CZ22" s="254">
        <f t="shared" si="48"/>
        <v>8</v>
      </c>
      <c r="DA22" s="258">
        <f t="shared" si="49"/>
        <v>11</v>
      </c>
      <c r="DB22" s="248"/>
      <c r="DC22" s="301"/>
      <c r="DD22" s="226">
        <v>2</v>
      </c>
      <c r="DE22" s="59">
        <f t="shared" si="50"/>
        <v>0</v>
      </c>
      <c r="DF22" s="254">
        <f t="shared" si="51"/>
        <v>8</v>
      </c>
      <c r="DG22" s="258">
        <f t="shared" si="52"/>
        <v>11</v>
      </c>
      <c r="DH22" s="248"/>
      <c r="DI22" s="301"/>
      <c r="DJ22" s="226">
        <v>2</v>
      </c>
      <c r="DK22" s="59">
        <f t="shared" si="53"/>
        <v>0</v>
      </c>
      <c r="DL22" s="254">
        <f t="shared" si="54"/>
        <v>8</v>
      </c>
      <c r="DM22" s="258">
        <f t="shared" si="55"/>
        <v>11</v>
      </c>
      <c r="DN22" s="248"/>
      <c r="DO22" s="301"/>
      <c r="DP22" s="226">
        <v>2</v>
      </c>
      <c r="DQ22" s="59">
        <f t="shared" si="56"/>
        <v>0</v>
      </c>
      <c r="DR22" s="254">
        <f t="shared" si="57"/>
        <v>8</v>
      </c>
      <c r="DS22" s="258">
        <f t="shared" si="58"/>
        <v>11</v>
      </c>
      <c r="DT22" s="248"/>
      <c r="DU22" s="305"/>
      <c r="DV22" s="244"/>
      <c r="DW22" s="307"/>
      <c r="DX22" s="226">
        <v>2</v>
      </c>
      <c r="DY22" s="59">
        <f t="shared" si="59"/>
        <v>0</v>
      </c>
      <c r="DZ22" s="254">
        <f t="shared" si="60"/>
        <v>8</v>
      </c>
      <c r="EA22" s="258">
        <f t="shared" si="61"/>
        <v>11</v>
      </c>
      <c r="EB22" s="248"/>
      <c r="EC22" s="301"/>
      <c r="ED22" s="226">
        <v>2</v>
      </c>
      <c r="EE22" s="59">
        <f t="shared" si="62"/>
        <v>0</v>
      </c>
      <c r="EF22" s="254">
        <f t="shared" si="63"/>
        <v>8</v>
      </c>
      <c r="EG22" s="258">
        <f t="shared" si="64"/>
        <v>11</v>
      </c>
      <c r="EH22" s="248"/>
      <c r="EI22" s="301"/>
      <c r="EJ22" s="226">
        <v>2</v>
      </c>
      <c r="EK22" s="59">
        <f t="shared" si="65"/>
        <v>0</v>
      </c>
      <c r="EL22" s="254">
        <f t="shared" si="66"/>
        <v>8</v>
      </c>
      <c r="EM22" s="258">
        <f t="shared" si="67"/>
        <v>11</v>
      </c>
      <c r="EN22" s="248"/>
      <c r="EO22" s="305"/>
      <c r="EP22" s="244"/>
      <c r="EQ22" s="307"/>
      <c r="ER22" s="226">
        <v>2</v>
      </c>
      <c r="ES22" s="59">
        <f t="shared" si="68"/>
        <v>0</v>
      </c>
      <c r="ET22" s="254">
        <f t="shared" si="69"/>
        <v>8</v>
      </c>
      <c r="EU22" s="258">
        <f t="shared" si="70"/>
        <v>11</v>
      </c>
      <c r="EV22" s="248"/>
      <c r="EW22" s="301"/>
      <c r="EX22" s="226">
        <v>2</v>
      </c>
      <c r="EY22" s="59">
        <f t="shared" si="71"/>
        <v>0</v>
      </c>
      <c r="EZ22" s="254">
        <f t="shared" si="72"/>
        <v>8</v>
      </c>
      <c r="FA22" s="258">
        <f t="shared" si="73"/>
        <v>11</v>
      </c>
      <c r="FB22" s="248"/>
      <c r="FC22" s="301"/>
      <c r="FD22" s="226">
        <v>2</v>
      </c>
      <c r="FE22" s="59">
        <f t="shared" si="74"/>
        <v>0</v>
      </c>
      <c r="FF22" s="254">
        <f t="shared" si="75"/>
        <v>8</v>
      </c>
      <c r="FG22" s="258">
        <f t="shared" si="76"/>
        <v>11</v>
      </c>
      <c r="FH22" s="248"/>
      <c r="FI22" s="301"/>
      <c r="FJ22" s="226">
        <v>2</v>
      </c>
      <c r="FK22" s="59">
        <f t="shared" si="77"/>
        <v>0</v>
      </c>
      <c r="FL22" s="254">
        <f t="shared" si="78"/>
        <v>8</v>
      </c>
      <c r="FM22" s="258">
        <f t="shared" si="79"/>
        <v>11</v>
      </c>
      <c r="FN22" s="248"/>
      <c r="FO22" s="305"/>
      <c r="FP22" s="244"/>
    </row>
    <row r="23" spans="1:172" s="77" customFormat="1" ht="17" x14ac:dyDescent="0.45">
      <c r="A23" s="307"/>
      <c r="B23" s="257">
        <v>3</v>
      </c>
      <c r="C23" s="59">
        <v>0</v>
      </c>
      <c r="D23" s="254">
        <f t="shared" si="4"/>
        <v>8</v>
      </c>
      <c r="E23" s="258">
        <f t="shared" si="5"/>
        <v>22</v>
      </c>
      <c r="F23" s="248"/>
      <c r="G23" s="301"/>
      <c r="H23" s="226">
        <v>3</v>
      </c>
      <c r="I23" s="59">
        <f t="shared" si="80"/>
        <v>0</v>
      </c>
      <c r="J23" s="254">
        <f t="shared" si="6"/>
        <v>8</v>
      </c>
      <c r="K23" s="258">
        <f t="shared" si="7"/>
        <v>22</v>
      </c>
      <c r="L23" s="248"/>
      <c r="M23" s="305"/>
      <c r="N23" s="244"/>
      <c r="O23" s="307"/>
      <c r="P23" s="226">
        <v>3</v>
      </c>
      <c r="Q23" s="59">
        <f t="shared" si="8"/>
        <v>0</v>
      </c>
      <c r="R23" s="254">
        <f t="shared" si="9"/>
        <v>8</v>
      </c>
      <c r="S23" s="258">
        <f t="shared" si="10"/>
        <v>22</v>
      </c>
      <c r="T23" s="248">
        <v>2</v>
      </c>
      <c r="U23" s="301"/>
      <c r="V23" s="226">
        <v>3</v>
      </c>
      <c r="W23" s="59">
        <f t="shared" si="11"/>
        <v>1</v>
      </c>
      <c r="X23" s="254">
        <f t="shared" si="12"/>
        <v>16</v>
      </c>
      <c r="Y23" s="258">
        <f t="shared" si="13"/>
        <v>30</v>
      </c>
      <c r="Z23" s="248"/>
      <c r="AA23" s="301"/>
      <c r="AB23" s="226">
        <v>3</v>
      </c>
      <c r="AC23" s="59">
        <f t="shared" si="14"/>
        <v>1</v>
      </c>
      <c r="AD23" s="254">
        <f t="shared" si="15"/>
        <v>16</v>
      </c>
      <c r="AE23" s="258">
        <f t="shared" si="16"/>
        <v>30</v>
      </c>
      <c r="AF23" s="248"/>
      <c r="AG23" s="305"/>
      <c r="AH23" s="244"/>
      <c r="AI23" s="307"/>
      <c r="AJ23" s="226">
        <v>3</v>
      </c>
      <c r="AK23" s="59">
        <f t="shared" si="17"/>
        <v>1</v>
      </c>
      <c r="AL23" s="254">
        <f t="shared" si="18"/>
        <v>16</v>
      </c>
      <c r="AM23" s="258">
        <f t="shared" si="19"/>
        <v>30</v>
      </c>
      <c r="AN23" s="248"/>
      <c r="AO23" s="301"/>
      <c r="AP23" s="226">
        <v>3</v>
      </c>
      <c r="AQ23" s="59">
        <f t="shared" si="20"/>
        <v>1</v>
      </c>
      <c r="AR23" s="254">
        <f t="shared" si="21"/>
        <v>16</v>
      </c>
      <c r="AS23" s="258">
        <f t="shared" si="22"/>
        <v>30</v>
      </c>
      <c r="AT23" s="248"/>
      <c r="AU23" s="301"/>
      <c r="AV23" s="226">
        <v>3</v>
      </c>
      <c r="AW23" s="59">
        <f t="shared" si="23"/>
        <v>1</v>
      </c>
      <c r="AX23" s="254">
        <f t="shared" si="24"/>
        <v>16</v>
      </c>
      <c r="AY23" s="258">
        <f t="shared" si="25"/>
        <v>30</v>
      </c>
      <c r="AZ23" s="248"/>
      <c r="BA23" s="305"/>
      <c r="BB23" s="244"/>
      <c r="BC23" s="307"/>
      <c r="BD23" s="226">
        <v>3</v>
      </c>
      <c r="BE23" s="59">
        <f t="shared" si="26"/>
        <v>1</v>
      </c>
      <c r="BF23" s="254">
        <f t="shared" si="27"/>
        <v>16</v>
      </c>
      <c r="BG23" s="258">
        <f t="shared" si="28"/>
        <v>30</v>
      </c>
      <c r="BH23" s="248">
        <v>2</v>
      </c>
      <c r="BI23" s="301"/>
      <c r="BJ23" s="226">
        <v>3</v>
      </c>
      <c r="BK23" s="59">
        <f t="shared" si="29"/>
        <v>2</v>
      </c>
      <c r="BL23" s="254">
        <f t="shared" si="30"/>
        <v>24</v>
      </c>
      <c r="BM23" s="258">
        <f t="shared" si="31"/>
        <v>6</v>
      </c>
      <c r="BN23" s="248"/>
      <c r="BO23" s="301"/>
      <c r="BP23" s="226">
        <v>3</v>
      </c>
      <c r="BQ23" s="59">
        <f t="shared" si="32"/>
        <v>2</v>
      </c>
      <c r="BR23" s="254">
        <f t="shared" si="33"/>
        <v>24</v>
      </c>
      <c r="BS23" s="258">
        <f t="shared" si="34"/>
        <v>6</v>
      </c>
      <c r="BT23" s="248"/>
      <c r="BU23" s="305"/>
      <c r="BV23" s="244"/>
      <c r="BW23" s="307"/>
      <c r="BX23" s="226">
        <v>3</v>
      </c>
      <c r="BY23" s="59">
        <f t="shared" si="35"/>
        <v>2</v>
      </c>
      <c r="BZ23" s="254">
        <f t="shared" si="36"/>
        <v>24</v>
      </c>
      <c r="CA23" s="258">
        <f t="shared" si="37"/>
        <v>6</v>
      </c>
      <c r="CB23" s="248"/>
      <c r="CC23" s="301"/>
      <c r="CD23" s="226">
        <v>3</v>
      </c>
      <c r="CE23" s="59">
        <f t="shared" si="38"/>
        <v>2</v>
      </c>
      <c r="CF23" s="254">
        <f t="shared" si="39"/>
        <v>24</v>
      </c>
      <c r="CG23" s="258">
        <f t="shared" si="40"/>
        <v>6</v>
      </c>
      <c r="CH23" s="248"/>
      <c r="CI23" s="301"/>
      <c r="CJ23" s="226">
        <v>3</v>
      </c>
      <c r="CK23" s="59">
        <f t="shared" si="41"/>
        <v>2</v>
      </c>
      <c r="CL23" s="254">
        <f t="shared" si="42"/>
        <v>24</v>
      </c>
      <c r="CM23" s="258">
        <f t="shared" si="43"/>
        <v>6</v>
      </c>
      <c r="CN23" s="248"/>
      <c r="CO23" s="301"/>
      <c r="CP23" s="226">
        <v>3</v>
      </c>
      <c r="CQ23" s="59">
        <f t="shared" si="44"/>
        <v>2</v>
      </c>
      <c r="CR23" s="254">
        <f t="shared" si="45"/>
        <v>24</v>
      </c>
      <c r="CS23" s="258">
        <f t="shared" si="46"/>
        <v>6</v>
      </c>
      <c r="CT23" s="248"/>
      <c r="CU23" s="305"/>
      <c r="CV23" s="244"/>
      <c r="CW23" s="307"/>
      <c r="CX23" s="226">
        <v>3</v>
      </c>
      <c r="CY23" s="59">
        <f t="shared" si="47"/>
        <v>2</v>
      </c>
      <c r="CZ23" s="254">
        <f t="shared" si="48"/>
        <v>24</v>
      </c>
      <c r="DA23" s="258">
        <f t="shared" si="49"/>
        <v>6</v>
      </c>
      <c r="DB23" s="248"/>
      <c r="DC23" s="301"/>
      <c r="DD23" s="226">
        <v>3</v>
      </c>
      <c r="DE23" s="59">
        <f t="shared" si="50"/>
        <v>2</v>
      </c>
      <c r="DF23" s="254">
        <f t="shared" si="51"/>
        <v>24</v>
      </c>
      <c r="DG23" s="258">
        <f t="shared" si="52"/>
        <v>6</v>
      </c>
      <c r="DH23" s="248"/>
      <c r="DI23" s="301"/>
      <c r="DJ23" s="226">
        <v>3</v>
      </c>
      <c r="DK23" s="59">
        <f t="shared" si="53"/>
        <v>2</v>
      </c>
      <c r="DL23" s="254">
        <f t="shared" si="54"/>
        <v>24</v>
      </c>
      <c r="DM23" s="258">
        <f t="shared" si="55"/>
        <v>6</v>
      </c>
      <c r="DN23" s="248"/>
      <c r="DO23" s="301"/>
      <c r="DP23" s="226">
        <v>3</v>
      </c>
      <c r="DQ23" s="59">
        <f t="shared" si="56"/>
        <v>2</v>
      </c>
      <c r="DR23" s="254">
        <f t="shared" si="57"/>
        <v>24</v>
      </c>
      <c r="DS23" s="258">
        <f t="shared" si="58"/>
        <v>6</v>
      </c>
      <c r="DT23" s="248"/>
      <c r="DU23" s="305"/>
      <c r="DV23" s="244"/>
      <c r="DW23" s="307"/>
      <c r="DX23" s="226">
        <v>3</v>
      </c>
      <c r="DY23" s="59">
        <f t="shared" si="59"/>
        <v>2</v>
      </c>
      <c r="DZ23" s="254">
        <f t="shared" si="60"/>
        <v>24</v>
      </c>
      <c r="EA23" s="258">
        <f t="shared" si="61"/>
        <v>6</v>
      </c>
      <c r="EB23" s="248"/>
      <c r="EC23" s="301"/>
      <c r="ED23" s="226">
        <v>3</v>
      </c>
      <c r="EE23" s="59">
        <f t="shared" si="62"/>
        <v>2</v>
      </c>
      <c r="EF23" s="254">
        <f t="shared" si="63"/>
        <v>24</v>
      </c>
      <c r="EG23" s="258">
        <f t="shared" si="64"/>
        <v>6</v>
      </c>
      <c r="EH23" s="248"/>
      <c r="EI23" s="301"/>
      <c r="EJ23" s="226">
        <v>3</v>
      </c>
      <c r="EK23" s="59">
        <f t="shared" si="65"/>
        <v>2</v>
      </c>
      <c r="EL23" s="254">
        <f t="shared" si="66"/>
        <v>24</v>
      </c>
      <c r="EM23" s="258">
        <f t="shared" si="67"/>
        <v>6</v>
      </c>
      <c r="EN23" s="248"/>
      <c r="EO23" s="305"/>
      <c r="EP23" s="244"/>
      <c r="EQ23" s="307"/>
      <c r="ER23" s="226">
        <v>3</v>
      </c>
      <c r="ES23" s="59">
        <f t="shared" si="68"/>
        <v>2</v>
      </c>
      <c r="ET23" s="254">
        <f t="shared" si="69"/>
        <v>24</v>
      </c>
      <c r="EU23" s="258">
        <f t="shared" si="70"/>
        <v>6</v>
      </c>
      <c r="EV23" s="248"/>
      <c r="EW23" s="301"/>
      <c r="EX23" s="226">
        <v>3</v>
      </c>
      <c r="EY23" s="59">
        <f t="shared" si="71"/>
        <v>2</v>
      </c>
      <c r="EZ23" s="254">
        <f t="shared" si="72"/>
        <v>24</v>
      </c>
      <c r="FA23" s="258">
        <f t="shared" si="73"/>
        <v>6</v>
      </c>
      <c r="FB23" s="248"/>
      <c r="FC23" s="301"/>
      <c r="FD23" s="226">
        <v>3</v>
      </c>
      <c r="FE23" s="59">
        <f t="shared" si="74"/>
        <v>2</v>
      </c>
      <c r="FF23" s="254">
        <f t="shared" si="75"/>
        <v>24</v>
      </c>
      <c r="FG23" s="258">
        <f t="shared" si="76"/>
        <v>6</v>
      </c>
      <c r="FH23" s="248"/>
      <c r="FI23" s="301"/>
      <c r="FJ23" s="226">
        <v>3</v>
      </c>
      <c r="FK23" s="59">
        <f t="shared" si="77"/>
        <v>2</v>
      </c>
      <c r="FL23" s="254">
        <f t="shared" si="78"/>
        <v>24</v>
      </c>
      <c r="FM23" s="258">
        <f t="shared" si="79"/>
        <v>6</v>
      </c>
      <c r="FN23" s="248"/>
      <c r="FO23" s="305"/>
      <c r="FP23" s="244"/>
    </row>
    <row r="24" spans="1:172" ht="17" x14ac:dyDescent="0.45">
      <c r="A24" s="307"/>
      <c r="B24" s="257">
        <v>4</v>
      </c>
      <c r="C24" s="59">
        <v>0</v>
      </c>
      <c r="D24" s="254">
        <f t="shared" si="4"/>
        <v>8</v>
      </c>
      <c r="E24" s="258">
        <f t="shared" si="5"/>
        <v>18</v>
      </c>
      <c r="F24" s="248">
        <v>2</v>
      </c>
      <c r="G24" s="301"/>
      <c r="H24" s="226">
        <v>4</v>
      </c>
      <c r="I24" s="59">
        <f t="shared" si="80"/>
        <v>1</v>
      </c>
      <c r="J24" s="254">
        <f t="shared" si="6"/>
        <v>16</v>
      </c>
      <c r="K24" s="258">
        <f t="shared" si="7"/>
        <v>26</v>
      </c>
      <c r="L24" s="248"/>
      <c r="M24" s="305"/>
      <c r="N24" s="244"/>
      <c r="O24" s="307"/>
      <c r="P24" s="226">
        <v>4</v>
      </c>
      <c r="Q24" s="59">
        <f t="shared" si="8"/>
        <v>1</v>
      </c>
      <c r="R24" s="254">
        <f t="shared" si="9"/>
        <v>16</v>
      </c>
      <c r="S24" s="258">
        <f t="shared" si="10"/>
        <v>26</v>
      </c>
      <c r="T24" s="248"/>
      <c r="U24" s="301"/>
      <c r="V24" s="226">
        <v>4</v>
      </c>
      <c r="W24" s="59">
        <f t="shared" si="11"/>
        <v>1</v>
      </c>
      <c r="X24" s="254">
        <f t="shared" si="12"/>
        <v>16</v>
      </c>
      <c r="Y24" s="258">
        <f t="shared" si="13"/>
        <v>26</v>
      </c>
      <c r="Z24" s="248"/>
      <c r="AA24" s="301"/>
      <c r="AB24" s="226">
        <v>4</v>
      </c>
      <c r="AC24" s="59">
        <f t="shared" si="14"/>
        <v>1</v>
      </c>
      <c r="AD24" s="254">
        <f t="shared" si="15"/>
        <v>16</v>
      </c>
      <c r="AE24" s="258">
        <f t="shared" si="16"/>
        <v>26</v>
      </c>
      <c r="AF24" s="248"/>
      <c r="AG24" s="305"/>
      <c r="AH24" s="244"/>
      <c r="AI24" s="307"/>
      <c r="AJ24" s="226">
        <v>4</v>
      </c>
      <c r="AK24" s="59">
        <f t="shared" si="17"/>
        <v>1</v>
      </c>
      <c r="AL24" s="254">
        <f t="shared" si="18"/>
        <v>16</v>
      </c>
      <c r="AM24" s="258">
        <f t="shared" si="19"/>
        <v>26</v>
      </c>
      <c r="AN24" s="248">
        <v>2</v>
      </c>
      <c r="AO24" s="301"/>
      <c r="AP24" s="226">
        <v>4</v>
      </c>
      <c r="AQ24" s="59">
        <f t="shared" si="20"/>
        <v>2</v>
      </c>
      <c r="AR24" s="254">
        <f t="shared" si="21"/>
        <v>24</v>
      </c>
      <c r="AS24" s="258">
        <f t="shared" si="22"/>
        <v>2</v>
      </c>
      <c r="AT24" s="248"/>
      <c r="AU24" s="301"/>
      <c r="AV24" s="226">
        <v>4</v>
      </c>
      <c r="AW24" s="59">
        <f t="shared" si="23"/>
        <v>2</v>
      </c>
      <c r="AX24" s="254">
        <f t="shared" si="24"/>
        <v>24</v>
      </c>
      <c r="AY24" s="258">
        <f t="shared" si="25"/>
        <v>2</v>
      </c>
      <c r="AZ24" s="248"/>
      <c r="BA24" s="305"/>
      <c r="BB24" s="244"/>
      <c r="BC24" s="307"/>
      <c r="BD24" s="226">
        <v>4</v>
      </c>
      <c r="BE24" s="59">
        <f t="shared" si="26"/>
        <v>2</v>
      </c>
      <c r="BF24" s="254">
        <f t="shared" si="27"/>
        <v>24</v>
      </c>
      <c r="BG24" s="258">
        <f t="shared" si="28"/>
        <v>2</v>
      </c>
      <c r="BH24" s="248"/>
      <c r="BI24" s="301"/>
      <c r="BJ24" s="226">
        <v>4</v>
      </c>
      <c r="BK24" s="59">
        <f t="shared" si="29"/>
        <v>2</v>
      </c>
      <c r="BL24" s="254">
        <f t="shared" si="30"/>
        <v>24</v>
      </c>
      <c r="BM24" s="258">
        <f t="shared" si="31"/>
        <v>2</v>
      </c>
      <c r="BN24" s="248"/>
      <c r="BO24" s="301"/>
      <c r="BP24" s="226">
        <v>4</v>
      </c>
      <c r="BQ24" s="59">
        <f t="shared" si="32"/>
        <v>2</v>
      </c>
      <c r="BR24" s="254">
        <f t="shared" si="33"/>
        <v>24</v>
      </c>
      <c r="BS24" s="258">
        <f t="shared" si="34"/>
        <v>2</v>
      </c>
      <c r="BT24" s="248"/>
      <c r="BU24" s="305"/>
      <c r="BV24" s="244"/>
      <c r="BW24" s="307"/>
      <c r="BX24" s="226">
        <v>4</v>
      </c>
      <c r="BY24" s="59">
        <f t="shared" si="35"/>
        <v>2</v>
      </c>
      <c r="BZ24" s="254">
        <f t="shared" si="36"/>
        <v>24</v>
      </c>
      <c r="CA24" s="258">
        <f t="shared" si="37"/>
        <v>2</v>
      </c>
      <c r="CB24" s="248"/>
      <c r="CC24" s="301"/>
      <c r="CD24" s="226">
        <v>4</v>
      </c>
      <c r="CE24" s="59">
        <f t="shared" si="38"/>
        <v>2</v>
      </c>
      <c r="CF24" s="254">
        <f t="shared" si="39"/>
        <v>24</v>
      </c>
      <c r="CG24" s="258">
        <f t="shared" si="40"/>
        <v>2</v>
      </c>
      <c r="CH24" s="248"/>
      <c r="CI24" s="301"/>
      <c r="CJ24" s="226">
        <v>4</v>
      </c>
      <c r="CK24" s="59">
        <f t="shared" si="41"/>
        <v>2</v>
      </c>
      <c r="CL24" s="254">
        <f t="shared" si="42"/>
        <v>24</v>
      </c>
      <c r="CM24" s="258">
        <f t="shared" si="43"/>
        <v>2</v>
      </c>
      <c r="CN24" s="248"/>
      <c r="CO24" s="301"/>
      <c r="CP24" s="226">
        <v>4</v>
      </c>
      <c r="CQ24" s="59">
        <f t="shared" si="44"/>
        <v>2</v>
      </c>
      <c r="CR24" s="254">
        <f t="shared" si="45"/>
        <v>24</v>
      </c>
      <c r="CS24" s="258">
        <f t="shared" si="46"/>
        <v>2</v>
      </c>
      <c r="CT24" s="248"/>
      <c r="CU24" s="305"/>
      <c r="CV24" s="244"/>
      <c r="CW24" s="307"/>
      <c r="CX24" s="226">
        <v>4</v>
      </c>
      <c r="CY24" s="59">
        <f t="shared" si="47"/>
        <v>2</v>
      </c>
      <c r="CZ24" s="254">
        <f t="shared" si="48"/>
        <v>24</v>
      </c>
      <c r="DA24" s="258">
        <f t="shared" si="49"/>
        <v>2</v>
      </c>
      <c r="DB24" s="248"/>
      <c r="DC24" s="301"/>
      <c r="DD24" s="226">
        <v>4</v>
      </c>
      <c r="DE24" s="59">
        <f t="shared" si="50"/>
        <v>2</v>
      </c>
      <c r="DF24" s="254">
        <f t="shared" si="51"/>
        <v>24</v>
      </c>
      <c r="DG24" s="258">
        <f t="shared" si="52"/>
        <v>2</v>
      </c>
      <c r="DH24" s="248"/>
      <c r="DI24" s="301"/>
      <c r="DJ24" s="226">
        <v>4</v>
      </c>
      <c r="DK24" s="59">
        <f t="shared" si="53"/>
        <v>2</v>
      </c>
      <c r="DL24" s="254">
        <f t="shared" si="54"/>
        <v>24</v>
      </c>
      <c r="DM24" s="258">
        <f t="shared" si="55"/>
        <v>2</v>
      </c>
      <c r="DN24" s="248"/>
      <c r="DO24" s="301"/>
      <c r="DP24" s="226">
        <v>4</v>
      </c>
      <c r="DQ24" s="59">
        <f t="shared" si="56"/>
        <v>2</v>
      </c>
      <c r="DR24" s="254">
        <f t="shared" si="57"/>
        <v>24</v>
      </c>
      <c r="DS24" s="258">
        <f t="shared" si="58"/>
        <v>2</v>
      </c>
      <c r="DT24" s="248"/>
      <c r="DU24" s="305"/>
      <c r="DV24" s="244"/>
      <c r="DW24" s="307"/>
      <c r="DX24" s="226">
        <v>4</v>
      </c>
      <c r="DY24" s="59">
        <f t="shared" si="59"/>
        <v>2</v>
      </c>
      <c r="DZ24" s="254">
        <f t="shared" si="60"/>
        <v>24</v>
      </c>
      <c r="EA24" s="258">
        <f t="shared" si="61"/>
        <v>2</v>
      </c>
      <c r="EB24" s="248"/>
      <c r="EC24" s="301"/>
      <c r="ED24" s="226">
        <v>4</v>
      </c>
      <c r="EE24" s="59">
        <f t="shared" si="62"/>
        <v>2</v>
      </c>
      <c r="EF24" s="254">
        <f t="shared" si="63"/>
        <v>24</v>
      </c>
      <c r="EG24" s="258">
        <f t="shared" si="64"/>
        <v>2</v>
      </c>
      <c r="EH24" s="248"/>
      <c r="EI24" s="301"/>
      <c r="EJ24" s="226">
        <v>4</v>
      </c>
      <c r="EK24" s="59">
        <f t="shared" si="65"/>
        <v>2</v>
      </c>
      <c r="EL24" s="254">
        <f t="shared" si="66"/>
        <v>24</v>
      </c>
      <c r="EM24" s="258">
        <f t="shared" si="67"/>
        <v>2</v>
      </c>
      <c r="EN24" s="248"/>
      <c r="EO24" s="305"/>
      <c r="EP24" s="244"/>
      <c r="EQ24" s="307"/>
      <c r="ER24" s="226">
        <v>4</v>
      </c>
      <c r="ES24" s="59">
        <f t="shared" si="68"/>
        <v>2</v>
      </c>
      <c r="ET24" s="254">
        <f t="shared" si="69"/>
        <v>24</v>
      </c>
      <c r="EU24" s="258">
        <f t="shared" si="70"/>
        <v>2</v>
      </c>
      <c r="EV24" s="248"/>
      <c r="EW24" s="301"/>
      <c r="EX24" s="226">
        <v>4</v>
      </c>
      <c r="EY24" s="59">
        <f t="shared" si="71"/>
        <v>2</v>
      </c>
      <c r="EZ24" s="254">
        <f t="shared" si="72"/>
        <v>24</v>
      </c>
      <c r="FA24" s="258">
        <f t="shared" si="73"/>
        <v>2</v>
      </c>
      <c r="FB24" s="248"/>
      <c r="FC24" s="301"/>
      <c r="FD24" s="226">
        <v>4</v>
      </c>
      <c r="FE24" s="59">
        <f t="shared" si="74"/>
        <v>2</v>
      </c>
      <c r="FF24" s="254">
        <f t="shared" si="75"/>
        <v>24</v>
      </c>
      <c r="FG24" s="258">
        <f t="shared" si="76"/>
        <v>2</v>
      </c>
      <c r="FH24" s="248"/>
      <c r="FI24" s="301"/>
      <c r="FJ24" s="226">
        <v>4</v>
      </c>
      <c r="FK24" s="59">
        <f t="shared" si="77"/>
        <v>2</v>
      </c>
      <c r="FL24" s="254">
        <f t="shared" si="78"/>
        <v>24</v>
      </c>
      <c r="FM24" s="258">
        <f t="shared" si="79"/>
        <v>2</v>
      </c>
      <c r="FN24" s="248"/>
      <c r="FO24" s="305"/>
      <c r="FP24" s="244"/>
    </row>
    <row r="25" spans="1:172" ht="17" x14ac:dyDescent="0.45">
      <c r="A25" s="307"/>
      <c r="B25" s="257">
        <v>5</v>
      </c>
      <c r="C25" s="59">
        <v>0</v>
      </c>
      <c r="D25" s="254">
        <f t="shared" si="4"/>
        <v>8</v>
      </c>
      <c r="E25" s="258">
        <f t="shared" si="5"/>
        <v>28</v>
      </c>
      <c r="F25" s="248"/>
      <c r="G25" s="301"/>
      <c r="H25" s="226">
        <v>5</v>
      </c>
      <c r="I25" s="59">
        <f t="shared" si="80"/>
        <v>0</v>
      </c>
      <c r="J25" s="254">
        <f t="shared" si="6"/>
        <v>8</v>
      </c>
      <c r="K25" s="258">
        <f t="shared" si="7"/>
        <v>28</v>
      </c>
      <c r="L25" s="248"/>
      <c r="M25" s="305"/>
      <c r="N25" s="244"/>
      <c r="O25" s="307"/>
      <c r="P25" s="226">
        <v>5</v>
      </c>
      <c r="Q25" s="59">
        <f t="shared" si="8"/>
        <v>0</v>
      </c>
      <c r="R25" s="254">
        <f t="shared" si="9"/>
        <v>8</v>
      </c>
      <c r="S25" s="258">
        <f t="shared" si="10"/>
        <v>28</v>
      </c>
      <c r="T25" s="248"/>
      <c r="U25" s="301"/>
      <c r="V25" s="226">
        <v>5</v>
      </c>
      <c r="W25" s="59">
        <f t="shared" si="11"/>
        <v>0</v>
      </c>
      <c r="X25" s="254">
        <f t="shared" si="12"/>
        <v>8</v>
      </c>
      <c r="Y25" s="258">
        <f t="shared" si="13"/>
        <v>28</v>
      </c>
      <c r="Z25" s="248"/>
      <c r="AA25" s="301"/>
      <c r="AB25" s="226">
        <v>5</v>
      </c>
      <c r="AC25" s="59">
        <f t="shared" si="14"/>
        <v>0</v>
      </c>
      <c r="AD25" s="254">
        <f t="shared" si="15"/>
        <v>8</v>
      </c>
      <c r="AE25" s="258">
        <f t="shared" si="16"/>
        <v>28</v>
      </c>
      <c r="AF25" s="248"/>
      <c r="AG25" s="305"/>
      <c r="AH25" s="244"/>
      <c r="AI25" s="307"/>
      <c r="AJ25" s="226">
        <v>5</v>
      </c>
      <c r="AK25" s="59">
        <f t="shared" si="17"/>
        <v>0</v>
      </c>
      <c r="AL25" s="254">
        <f t="shared" si="18"/>
        <v>8</v>
      </c>
      <c r="AM25" s="258">
        <f t="shared" si="19"/>
        <v>28</v>
      </c>
      <c r="AN25" s="248"/>
      <c r="AO25" s="301"/>
      <c r="AP25" s="226">
        <v>5</v>
      </c>
      <c r="AQ25" s="59">
        <f t="shared" si="20"/>
        <v>0</v>
      </c>
      <c r="AR25" s="254">
        <f t="shared" si="21"/>
        <v>8</v>
      </c>
      <c r="AS25" s="258">
        <f t="shared" si="22"/>
        <v>28</v>
      </c>
      <c r="AT25" s="248">
        <v>22</v>
      </c>
      <c r="AU25" s="301"/>
      <c r="AV25" s="226">
        <v>5</v>
      </c>
      <c r="AW25" s="59">
        <f t="shared" si="23"/>
        <v>1</v>
      </c>
      <c r="AX25" s="254">
        <f t="shared" si="24"/>
        <v>16</v>
      </c>
      <c r="AY25" s="258">
        <f t="shared" si="25"/>
        <v>4</v>
      </c>
      <c r="AZ25" s="248"/>
      <c r="BA25" s="305"/>
      <c r="BB25" s="244"/>
      <c r="BC25" s="307"/>
      <c r="BD25" s="226">
        <v>5</v>
      </c>
      <c r="BE25" s="59">
        <f t="shared" si="26"/>
        <v>1</v>
      </c>
      <c r="BF25" s="254">
        <f t="shared" si="27"/>
        <v>16</v>
      </c>
      <c r="BG25" s="258">
        <f t="shared" si="28"/>
        <v>4</v>
      </c>
      <c r="BH25" s="248"/>
      <c r="BI25" s="301"/>
      <c r="BJ25" s="226">
        <v>5</v>
      </c>
      <c r="BK25" s="59">
        <f t="shared" si="29"/>
        <v>1</v>
      </c>
      <c r="BL25" s="254">
        <f t="shared" si="30"/>
        <v>16</v>
      </c>
      <c r="BM25" s="258">
        <f t="shared" si="31"/>
        <v>4</v>
      </c>
      <c r="BN25" s="248"/>
      <c r="BO25" s="301"/>
      <c r="BP25" s="226">
        <v>5</v>
      </c>
      <c r="BQ25" s="59">
        <f t="shared" si="32"/>
        <v>1</v>
      </c>
      <c r="BR25" s="254">
        <f t="shared" si="33"/>
        <v>16</v>
      </c>
      <c r="BS25" s="258">
        <f t="shared" si="34"/>
        <v>4</v>
      </c>
      <c r="BT25" s="248"/>
      <c r="BU25" s="305"/>
      <c r="BV25" s="244"/>
      <c r="BW25" s="307"/>
      <c r="BX25" s="226">
        <v>5</v>
      </c>
      <c r="BY25" s="59">
        <f t="shared" si="35"/>
        <v>1</v>
      </c>
      <c r="BZ25" s="254">
        <f t="shared" si="36"/>
        <v>16</v>
      </c>
      <c r="CA25" s="258">
        <f t="shared" si="37"/>
        <v>4</v>
      </c>
      <c r="CB25" s="248"/>
      <c r="CC25" s="301"/>
      <c r="CD25" s="226">
        <v>5</v>
      </c>
      <c r="CE25" s="59">
        <f t="shared" si="38"/>
        <v>1</v>
      </c>
      <c r="CF25" s="254">
        <f t="shared" si="39"/>
        <v>16</v>
      </c>
      <c r="CG25" s="258">
        <f t="shared" si="40"/>
        <v>4</v>
      </c>
      <c r="CH25" s="248"/>
      <c r="CI25" s="301"/>
      <c r="CJ25" s="226">
        <v>5</v>
      </c>
      <c r="CK25" s="59">
        <f t="shared" si="41"/>
        <v>1</v>
      </c>
      <c r="CL25" s="254">
        <f t="shared" si="42"/>
        <v>16</v>
      </c>
      <c r="CM25" s="258">
        <f t="shared" si="43"/>
        <v>4</v>
      </c>
      <c r="CN25" s="248"/>
      <c r="CO25" s="301"/>
      <c r="CP25" s="226">
        <v>5</v>
      </c>
      <c r="CQ25" s="59">
        <f t="shared" si="44"/>
        <v>1</v>
      </c>
      <c r="CR25" s="254">
        <f t="shared" si="45"/>
        <v>16</v>
      </c>
      <c r="CS25" s="258">
        <f t="shared" si="46"/>
        <v>4</v>
      </c>
      <c r="CT25" s="248"/>
      <c r="CU25" s="305"/>
      <c r="CV25" s="244"/>
      <c r="CW25" s="307"/>
      <c r="CX25" s="226">
        <v>5</v>
      </c>
      <c r="CY25" s="59">
        <f t="shared" si="47"/>
        <v>1</v>
      </c>
      <c r="CZ25" s="254">
        <f t="shared" si="48"/>
        <v>16</v>
      </c>
      <c r="DA25" s="258">
        <f t="shared" si="49"/>
        <v>4</v>
      </c>
      <c r="DB25" s="248"/>
      <c r="DC25" s="301"/>
      <c r="DD25" s="226">
        <v>5</v>
      </c>
      <c r="DE25" s="59">
        <f t="shared" si="50"/>
        <v>1</v>
      </c>
      <c r="DF25" s="254">
        <f t="shared" si="51"/>
        <v>16</v>
      </c>
      <c r="DG25" s="258">
        <f t="shared" si="52"/>
        <v>4</v>
      </c>
      <c r="DH25" s="248"/>
      <c r="DI25" s="301"/>
      <c r="DJ25" s="226">
        <v>5</v>
      </c>
      <c r="DK25" s="59">
        <f t="shared" si="53"/>
        <v>1</v>
      </c>
      <c r="DL25" s="254">
        <f t="shared" si="54"/>
        <v>16</v>
      </c>
      <c r="DM25" s="258">
        <f t="shared" si="55"/>
        <v>4</v>
      </c>
      <c r="DN25" s="248"/>
      <c r="DO25" s="301"/>
      <c r="DP25" s="226">
        <v>5</v>
      </c>
      <c r="DQ25" s="59">
        <f t="shared" si="56"/>
        <v>1</v>
      </c>
      <c r="DR25" s="254">
        <f t="shared" si="57"/>
        <v>16</v>
      </c>
      <c r="DS25" s="258">
        <f t="shared" si="58"/>
        <v>4</v>
      </c>
      <c r="DT25" s="248"/>
      <c r="DU25" s="305"/>
      <c r="DV25" s="244"/>
      <c r="DW25" s="307"/>
      <c r="DX25" s="226">
        <v>5</v>
      </c>
      <c r="DY25" s="59">
        <f t="shared" si="59"/>
        <v>1</v>
      </c>
      <c r="DZ25" s="254">
        <f t="shared" si="60"/>
        <v>16</v>
      </c>
      <c r="EA25" s="258">
        <f t="shared" si="61"/>
        <v>4</v>
      </c>
      <c r="EB25" s="248"/>
      <c r="EC25" s="301"/>
      <c r="ED25" s="226">
        <v>5</v>
      </c>
      <c r="EE25" s="59">
        <f t="shared" si="62"/>
        <v>1</v>
      </c>
      <c r="EF25" s="254">
        <f t="shared" si="63"/>
        <v>16</v>
      </c>
      <c r="EG25" s="258">
        <f t="shared" si="64"/>
        <v>4</v>
      </c>
      <c r="EH25" s="248"/>
      <c r="EI25" s="301"/>
      <c r="EJ25" s="226">
        <v>5</v>
      </c>
      <c r="EK25" s="59">
        <f t="shared" si="65"/>
        <v>1</v>
      </c>
      <c r="EL25" s="254">
        <f t="shared" si="66"/>
        <v>16</v>
      </c>
      <c r="EM25" s="258">
        <f t="shared" si="67"/>
        <v>4</v>
      </c>
      <c r="EN25" s="248"/>
      <c r="EO25" s="305"/>
      <c r="EP25" s="244"/>
      <c r="EQ25" s="307"/>
      <c r="ER25" s="226">
        <v>5</v>
      </c>
      <c r="ES25" s="59">
        <f t="shared" si="68"/>
        <v>1</v>
      </c>
      <c r="ET25" s="254">
        <f t="shared" si="69"/>
        <v>16</v>
      </c>
      <c r="EU25" s="258">
        <f t="shared" si="70"/>
        <v>4</v>
      </c>
      <c r="EV25" s="248"/>
      <c r="EW25" s="301"/>
      <c r="EX25" s="226">
        <v>5</v>
      </c>
      <c r="EY25" s="59">
        <f t="shared" si="71"/>
        <v>1</v>
      </c>
      <c r="EZ25" s="254">
        <f t="shared" si="72"/>
        <v>16</v>
      </c>
      <c r="FA25" s="258">
        <f t="shared" si="73"/>
        <v>4</v>
      </c>
      <c r="FB25" s="248"/>
      <c r="FC25" s="301"/>
      <c r="FD25" s="226">
        <v>5</v>
      </c>
      <c r="FE25" s="59">
        <f t="shared" si="74"/>
        <v>1</v>
      </c>
      <c r="FF25" s="254">
        <f t="shared" si="75"/>
        <v>16</v>
      </c>
      <c r="FG25" s="258">
        <f t="shared" si="76"/>
        <v>4</v>
      </c>
      <c r="FH25" s="248"/>
      <c r="FI25" s="301"/>
      <c r="FJ25" s="226">
        <v>5</v>
      </c>
      <c r="FK25" s="59">
        <f t="shared" si="77"/>
        <v>1</v>
      </c>
      <c r="FL25" s="254">
        <f t="shared" si="78"/>
        <v>16</v>
      </c>
      <c r="FM25" s="258">
        <f t="shared" si="79"/>
        <v>4</v>
      </c>
      <c r="FN25" s="248"/>
      <c r="FO25" s="305"/>
      <c r="FP25" s="244"/>
    </row>
    <row r="26" spans="1:172" ht="17" x14ac:dyDescent="0.45">
      <c r="A26" s="307"/>
      <c r="B26" s="257">
        <v>6</v>
      </c>
      <c r="C26" s="59">
        <v>0</v>
      </c>
      <c r="D26" s="254">
        <f t="shared" si="4"/>
        <v>8</v>
      </c>
      <c r="E26" s="258">
        <f t="shared" si="5"/>
        <v>24</v>
      </c>
      <c r="F26" s="248"/>
      <c r="G26" s="301"/>
      <c r="H26" s="226">
        <v>6</v>
      </c>
      <c r="I26" s="59">
        <f t="shared" si="80"/>
        <v>0</v>
      </c>
      <c r="J26" s="254">
        <f t="shared" si="6"/>
        <v>8</v>
      </c>
      <c r="K26" s="258">
        <f t="shared" si="7"/>
        <v>24</v>
      </c>
      <c r="L26" s="248"/>
      <c r="M26" s="305"/>
      <c r="N26" s="244"/>
      <c r="O26" s="307"/>
      <c r="P26" s="226">
        <v>6</v>
      </c>
      <c r="Q26" s="59">
        <f t="shared" si="8"/>
        <v>0</v>
      </c>
      <c r="R26" s="254">
        <f t="shared" si="9"/>
        <v>8</v>
      </c>
      <c r="S26" s="258">
        <f t="shared" si="10"/>
        <v>24</v>
      </c>
      <c r="T26" s="248"/>
      <c r="U26" s="301"/>
      <c r="V26" s="226">
        <v>6</v>
      </c>
      <c r="W26" s="59">
        <f t="shared" si="11"/>
        <v>0</v>
      </c>
      <c r="X26" s="254">
        <f t="shared" si="12"/>
        <v>8</v>
      </c>
      <c r="Y26" s="258">
        <f t="shared" si="13"/>
        <v>24</v>
      </c>
      <c r="Z26" s="248">
        <v>10</v>
      </c>
      <c r="AA26" s="301"/>
      <c r="AB26" s="226">
        <v>6</v>
      </c>
      <c r="AC26" s="59">
        <f t="shared" si="14"/>
        <v>1</v>
      </c>
      <c r="AD26" s="254">
        <f t="shared" si="15"/>
        <v>16</v>
      </c>
      <c r="AE26" s="258">
        <f t="shared" si="16"/>
        <v>0</v>
      </c>
      <c r="AF26" s="248"/>
      <c r="AG26" s="305"/>
      <c r="AH26" s="244"/>
      <c r="AI26" s="307"/>
      <c r="AJ26" s="226">
        <v>6</v>
      </c>
      <c r="AK26" s="59">
        <f t="shared" si="17"/>
        <v>1</v>
      </c>
      <c r="AL26" s="254">
        <f t="shared" si="18"/>
        <v>16</v>
      </c>
      <c r="AM26" s="258">
        <f t="shared" si="19"/>
        <v>0</v>
      </c>
      <c r="AN26" s="248"/>
      <c r="AO26" s="301"/>
      <c r="AP26" s="226">
        <v>6</v>
      </c>
      <c r="AQ26" s="59">
        <f t="shared" si="20"/>
        <v>1</v>
      </c>
      <c r="AR26" s="254">
        <f t="shared" si="21"/>
        <v>16</v>
      </c>
      <c r="AS26" s="258">
        <f t="shared" si="22"/>
        <v>0</v>
      </c>
      <c r="AT26" s="248"/>
      <c r="AU26" s="301"/>
      <c r="AV26" s="226">
        <v>6</v>
      </c>
      <c r="AW26" s="59">
        <f t="shared" si="23"/>
        <v>1</v>
      </c>
      <c r="AX26" s="254">
        <f t="shared" si="24"/>
        <v>16</v>
      </c>
      <c r="AY26" s="258">
        <f t="shared" si="25"/>
        <v>0</v>
      </c>
      <c r="AZ26" s="248"/>
      <c r="BA26" s="305"/>
      <c r="BB26" s="244"/>
      <c r="BC26" s="307"/>
      <c r="BD26" s="226">
        <v>6</v>
      </c>
      <c r="BE26" s="59">
        <f t="shared" si="26"/>
        <v>1</v>
      </c>
      <c r="BF26" s="254">
        <f t="shared" si="27"/>
        <v>16</v>
      </c>
      <c r="BG26" s="258">
        <f t="shared" si="28"/>
        <v>0</v>
      </c>
      <c r="BH26" s="248"/>
      <c r="BI26" s="301"/>
      <c r="BJ26" s="226">
        <v>6</v>
      </c>
      <c r="BK26" s="59">
        <f t="shared" si="29"/>
        <v>1</v>
      </c>
      <c r="BL26" s="254">
        <f t="shared" si="30"/>
        <v>16</v>
      </c>
      <c r="BM26" s="258">
        <f t="shared" si="31"/>
        <v>0</v>
      </c>
      <c r="BN26" s="248">
        <v>8</v>
      </c>
      <c r="BO26" s="301"/>
      <c r="BP26" s="226">
        <v>6</v>
      </c>
      <c r="BQ26" s="59">
        <f t="shared" si="32"/>
        <v>2</v>
      </c>
      <c r="BR26" s="254">
        <f t="shared" si="33"/>
        <v>24</v>
      </c>
      <c r="BS26" s="258">
        <f t="shared" si="34"/>
        <v>8</v>
      </c>
      <c r="BT26" s="248"/>
      <c r="BU26" s="305"/>
      <c r="BV26" s="244"/>
      <c r="BW26" s="307"/>
      <c r="BX26" s="226">
        <v>6</v>
      </c>
      <c r="BY26" s="59">
        <f t="shared" si="35"/>
        <v>2</v>
      </c>
      <c r="BZ26" s="254">
        <f t="shared" si="36"/>
        <v>24</v>
      </c>
      <c r="CA26" s="258">
        <f t="shared" si="37"/>
        <v>8</v>
      </c>
      <c r="CB26" s="248"/>
      <c r="CC26" s="301"/>
      <c r="CD26" s="226">
        <v>6</v>
      </c>
      <c r="CE26" s="59">
        <f t="shared" si="38"/>
        <v>2</v>
      </c>
      <c r="CF26" s="254">
        <f t="shared" si="39"/>
        <v>24</v>
      </c>
      <c r="CG26" s="258">
        <f t="shared" si="40"/>
        <v>8</v>
      </c>
      <c r="CH26" s="248"/>
      <c r="CI26" s="301"/>
      <c r="CJ26" s="226">
        <v>6</v>
      </c>
      <c r="CK26" s="59">
        <f t="shared" si="41"/>
        <v>2</v>
      </c>
      <c r="CL26" s="254">
        <f t="shared" si="42"/>
        <v>24</v>
      </c>
      <c r="CM26" s="258">
        <f t="shared" si="43"/>
        <v>8</v>
      </c>
      <c r="CN26" s="248"/>
      <c r="CO26" s="301"/>
      <c r="CP26" s="226">
        <v>6</v>
      </c>
      <c r="CQ26" s="59">
        <f t="shared" si="44"/>
        <v>2</v>
      </c>
      <c r="CR26" s="254">
        <f t="shared" si="45"/>
        <v>24</v>
      </c>
      <c r="CS26" s="258">
        <f t="shared" si="46"/>
        <v>8</v>
      </c>
      <c r="CT26" s="248"/>
      <c r="CU26" s="305"/>
      <c r="CV26" s="244"/>
      <c r="CW26" s="307"/>
      <c r="CX26" s="226">
        <v>6</v>
      </c>
      <c r="CY26" s="59">
        <f t="shared" si="47"/>
        <v>2</v>
      </c>
      <c r="CZ26" s="254">
        <f t="shared" si="48"/>
        <v>24</v>
      </c>
      <c r="DA26" s="258">
        <f t="shared" si="49"/>
        <v>8</v>
      </c>
      <c r="DB26" s="248"/>
      <c r="DC26" s="301"/>
      <c r="DD26" s="226">
        <v>6</v>
      </c>
      <c r="DE26" s="59">
        <f t="shared" si="50"/>
        <v>2</v>
      </c>
      <c r="DF26" s="254">
        <f t="shared" si="51"/>
        <v>24</v>
      </c>
      <c r="DG26" s="258">
        <f t="shared" si="52"/>
        <v>8</v>
      </c>
      <c r="DH26" s="248"/>
      <c r="DI26" s="301"/>
      <c r="DJ26" s="226">
        <v>6</v>
      </c>
      <c r="DK26" s="59">
        <f t="shared" si="53"/>
        <v>2</v>
      </c>
      <c r="DL26" s="254">
        <f t="shared" si="54"/>
        <v>24</v>
      </c>
      <c r="DM26" s="258">
        <f t="shared" si="55"/>
        <v>8</v>
      </c>
      <c r="DN26" s="248"/>
      <c r="DO26" s="301"/>
      <c r="DP26" s="226">
        <v>6</v>
      </c>
      <c r="DQ26" s="59">
        <f t="shared" si="56"/>
        <v>2</v>
      </c>
      <c r="DR26" s="254">
        <f t="shared" si="57"/>
        <v>24</v>
      </c>
      <c r="DS26" s="258">
        <f t="shared" si="58"/>
        <v>8</v>
      </c>
      <c r="DT26" s="248"/>
      <c r="DU26" s="305"/>
      <c r="DV26" s="244"/>
      <c r="DW26" s="307"/>
      <c r="DX26" s="226">
        <v>6</v>
      </c>
      <c r="DY26" s="59">
        <f t="shared" si="59"/>
        <v>2</v>
      </c>
      <c r="DZ26" s="254">
        <f t="shared" si="60"/>
        <v>24</v>
      </c>
      <c r="EA26" s="258">
        <f t="shared" si="61"/>
        <v>8</v>
      </c>
      <c r="EB26" s="248"/>
      <c r="EC26" s="301"/>
      <c r="ED26" s="226">
        <v>6</v>
      </c>
      <c r="EE26" s="59">
        <f t="shared" si="62"/>
        <v>2</v>
      </c>
      <c r="EF26" s="254">
        <f t="shared" si="63"/>
        <v>24</v>
      </c>
      <c r="EG26" s="258">
        <f t="shared" si="64"/>
        <v>8</v>
      </c>
      <c r="EH26" s="248"/>
      <c r="EI26" s="301"/>
      <c r="EJ26" s="226">
        <v>6</v>
      </c>
      <c r="EK26" s="59">
        <f t="shared" si="65"/>
        <v>2</v>
      </c>
      <c r="EL26" s="254">
        <f t="shared" si="66"/>
        <v>24</v>
      </c>
      <c r="EM26" s="258">
        <f t="shared" si="67"/>
        <v>8</v>
      </c>
      <c r="EN26" s="248"/>
      <c r="EO26" s="305"/>
      <c r="EP26" s="244"/>
      <c r="EQ26" s="307"/>
      <c r="ER26" s="226">
        <v>6</v>
      </c>
      <c r="ES26" s="59">
        <f t="shared" si="68"/>
        <v>2</v>
      </c>
      <c r="ET26" s="254">
        <f t="shared" si="69"/>
        <v>24</v>
      </c>
      <c r="EU26" s="258">
        <f t="shared" si="70"/>
        <v>8</v>
      </c>
      <c r="EV26" s="248"/>
      <c r="EW26" s="301"/>
      <c r="EX26" s="226">
        <v>6</v>
      </c>
      <c r="EY26" s="59">
        <f t="shared" si="71"/>
        <v>2</v>
      </c>
      <c r="EZ26" s="254">
        <f t="shared" si="72"/>
        <v>24</v>
      </c>
      <c r="FA26" s="258">
        <f t="shared" si="73"/>
        <v>8</v>
      </c>
      <c r="FB26" s="248"/>
      <c r="FC26" s="301"/>
      <c r="FD26" s="226">
        <v>6</v>
      </c>
      <c r="FE26" s="59">
        <f t="shared" si="74"/>
        <v>2</v>
      </c>
      <c r="FF26" s="254">
        <f t="shared" si="75"/>
        <v>24</v>
      </c>
      <c r="FG26" s="258">
        <f t="shared" si="76"/>
        <v>8</v>
      </c>
      <c r="FH26" s="248"/>
      <c r="FI26" s="301"/>
      <c r="FJ26" s="226">
        <v>6</v>
      </c>
      <c r="FK26" s="59">
        <f t="shared" si="77"/>
        <v>2</v>
      </c>
      <c r="FL26" s="254">
        <f t="shared" si="78"/>
        <v>24</v>
      </c>
      <c r="FM26" s="258">
        <f t="shared" si="79"/>
        <v>8</v>
      </c>
      <c r="FN26" s="248"/>
      <c r="FO26" s="305"/>
      <c r="FP26" s="244"/>
    </row>
    <row r="27" spans="1:172" ht="17" x14ac:dyDescent="0.45">
      <c r="A27" s="307"/>
      <c r="B27" s="257">
        <v>7</v>
      </c>
      <c r="C27" s="59">
        <v>0</v>
      </c>
      <c r="D27" s="254">
        <f t="shared" si="4"/>
        <v>8</v>
      </c>
      <c r="E27" s="258">
        <f t="shared" si="5"/>
        <v>5</v>
      </c>
      <c r="F27" s="248"/>
      <c r="G27" s="301"/>
      <c r="H27" s="226">
        <v>7</v>
      </c>
      <c r="I27" s="59">
        <f t="shared" si="80"/>
        <v>0</v>
      </c>
      <c r="J27" s="254">
        <f t="shared" si="6"/>
        <v>8</v>
      </c>
      <c r="K27" s="258">
        <f t="shared" si="7"/>
        <v>5</v>
      </c>
      <c r="L27" s="248"/>
      <c r="M27" s="305"/>
      <c r="N27" s="244"/>
      <c r="O27" s="307"/>
      <c r="P27" s="226">
        <v>7</v>
      </c>
      <c r="Q27" s="59">
        <f t="shared" si="8"/>
        <v>0</v>
      </c>
      <c r="R27" s="254">
        <f t="shared" si="9"/>
        <v>8</v>
      </c>
      <c r="S27" s="258">
        <f t="shared" si="10"/>
        <v>5</v>
      </c>
      <c r="T27" s="248"/>
      <c r="U27" s="301"/>
      <c r="V27" s="226">
        <v>7</v>
      </c>
      <c r="W27" s="59">
        <f t="shared" si="11"/>
        <v>0</v>
      </c>
      <c r="X27" s="254">
        <f t="shared" si="12"/>
        <v>8</v>
      </c>
      <c r="Y27" s="258">
        <f t="shared" si="13"/>
        <v>5</v>
      </c>
      <c r="Z27" s="248"/>
      <c r="AA27" s="301"/>
      <c r="AB27" s="226">
        <v>7</v>
      </c>
      <c r="AC27" s="59">
        <f t="shared" si="14"/>
        <v>0</v>
      </c>
      <c r="AD27" s="254">
        <f t="shared" si="15"/>
        <v>8</v>
      </c>
      <c r="AE27" s="258">
        <f t="shared" si="16"/>
        <v>5</v>
      </c>
      <c r="AF27" s="248"/>
      <c r="AG27" s="305"/>
      <c r="AH27" s="244"/>
      <c r="AI27" s="307"/>
      <c r="AJ27" s="226">
        <v>7</v>
      </c>
      <c r="AK27" s="59">
        <f t="shared" si="17"/>
        <v>0</v>
      </c>
      <c r="AL27" s="254">
        <f t="shared" si="18"/>
        <v>8</v>
      </c>
      <c r="AM27" s="258">
        <f t="shared" si="19"/>
        <v>5</v>
      </c>
      <c r="AN27" s="248"/>
      <c r="AO27" s="301"/>
      <c r="AP27" s="226">
        <v>7</v>
      </c>
      <c r="AQ27" s="59">
        <f t="shared" si="20"/>
        <v>0</v>
      </c>
      <c r="AR27" s="254">
        <f t="shared" si="21"/>
        <v>8</v>
      </c>
      <c r="AS27" s="258">
        <f t="shared" si="22"/>
        <v>5</v>
      </c>
      <c r="AT27" s="248"/>
      <c r="AU27" s="301"/>
      <c r="AV27" s="226">
        <v>7</v>
      </c>
      <c r="AW27" s="59">
        <f t="shared" si="23"/>
        <v>0</v>
      </c>
      <c r="AX27" s="254">
        <f t="shared" si="24"/>
        <v>8</v>
      </c>
      <c r="AY27" s="258">
        <f t="shared" si="25"/>
        <v>5</v>
      </c>
      <c r="AZ27" s="248"/>
      <c r="BA27" s="305"/>
      <c r="BB27" s="244"/>
      <c r="BC27" s="307"/>
      <c r="BD27" s="226">
        <v>7</v>
      </c>
      <c r="BE27" s="59">
        <f t="shared" si="26"/>
        <v>0</v>
      </c>
      <c r="BF27" s="254">
        <f t="shared" si="27"/>
        <v>8</v>
      </c>
      <c r="BG27" s="258">
        <f t="shared" si="28"/>
        <v>5</v>
      </c>
      <c r="BH27" s="248"/>
      <c r="BI27" s="301"/>
      <c r="BJ27" s="226">
        <v>7</v>
      </c>
      <c r="BK27" s="59">
        <f t="shared" si="29"/>
        <v>0</v>
      </c>
      <c r="BL27" s="254">
        <f t="shared" si="30"/>
        <v>8</v>
      </c>
      <c r="BM27" s="258">
        <f t="shared" si="31"/>
        <v>5</v>
      </c>
      <c r="BN27" s="248"/>
      <c r="BO27" s="301"/>
      <c r="BP27" s="226">
        <v>7</v>
      </c>
      <c r="BQ27" s="59">
        <f t="shared" si="32"/>
        <v>0</v>
      </c>
      <c r="BR27" s="254">
        <f t="shared" si="33"/>
        <v>8</v>
      </c>
      <c r="BS27" s="258">
        <f t="shared" si="34"/>
        <v>5</v>
      </c>
      <c r="BT27" s="248"/>
      <c r="BU27" s="305"/>
      <c r="BV27" s="244"/>
      <c r="BW27" s="307"/>
      <c r="BX27" s="226">
        <v>7</v>
      </c>
      <c r="BY27" s="59">
        <f t="shared" si="35"/>
        <v>0</v>
      </c>
      <c r="BZ27" s="254">
        <f t="shared" si="36"/>
        <v>8</v>
      </c>
      <c r="CA27" s="258">
        <f t="shared" si="37"/>
        <v>5</v>
      </c>
      <c r="CB27" s="248"/>
      <c r="CC27" s="301"/>
      <c r="CD27" s="226">
        <v>7</v>
      </c>
      <c r="CE27" s="59">
        <f t="shared" si="38"/>
        <v>0</v>
      </c>
      <c r="CF27" s="254">
        <f t="shared" si="39"/>
        <v>8</v>
      </c>
      <c r="CG27" s="258">
        <f t="shared" si="40"/>
        <v>5</v>
      </c>
      <c r="CH27" s="248"/>
      <c r="CI27" s="301"/>
      <c r="CJ27" s="226">
        <v>7</v>
      </c>
      <c r="CK27" s="59">
        <f t="shared" si="41"/>
        <v>0</v>
      </c>
      <c r="CL27" s="254">
        <f t="shared" si="42"/>
        <v>8</v>
      </c>
      <c r="CM27" s="258">
        <f t="shared" si="43"/>
        <v>5</v>
      </c>
      <c r="CN27" s="248"/>
      <c r="CO27" s="301"/>
      <c r="CP27" s="226">
        <v>7</v>
      </c>
      <c r="CQ27" s="59">
        <f t="shared" si="44"/>
        <v>0</v>
      </c>
      <c r="CR27" s="254">
        <f t="shared" si="45"/>
        <v>8</v>
      </c>
      <c r="CS27" s="258">
        <f t="shared" si="46"/>
        <v>5</v>
      </c>
      <c r="CT27" s="248"/>
      <c r="CU27" s="305"/>
      <c r="CV27" s="244"/>
      <c r="CW27" s="307"/>
      <c r="CX27" s="226">
        <v>7</v>
      </c>
      <c r="CY27" s="59">
        <f t="shared" si="47"/>
        <v>0</v>
      </c>
      <c r="CZ27" s="254">
        <f t="shared" si="48"/>
        <v>8</v>
      </c>
      <c r="DA27" s="258">
        <f t="shared" si="49"/>
        <v>5</v>
      </c>
      <c r="DB27" s="248"/>
      <c r="DC27" s="301"/>
      <c r="DD27" s="226">
        <v>7</v>
      </c>
      <c r="DE27" s="59">
        <f t="shared" si="50"/>
        <v>0</v>
      </c>
      <c r="DF27" s="254">
        <f t="shared" si="51"/>
        <v>8</v>
      </c>
      <c r="DG27" s="258">
        <f t="shared" si="52"/>
        <v>5</v>
      </c>
      <c r="DH27" s="248"/>
      <c r="DI27" s="301"/>
      <c r="DJ27" s="226">
        <v>7</v>
      </c>
      <c r="DK27" s="59">
        <f t="shared" si="53"/>
        <v>0</v>
      </c>
      <c r="DL27" s="254">
        <f t="shared" si="54"/>
        <v>8</v>
      </c>
      <c r="DM27" s="258">
        <f t="shared" si="55"/>
        <v>5</v>
      </c>
      <c r="DN27" s="248"/>
      <c r="DO27" s="301"/>
      <c r="DP27" s="226">
        <v>7</v>
      </c>
      <c r="DQ27" s="59">
        <f t="shared" si="56"/>
        <v>0</v>
      </c>
      <c r="DR27" s="254">
        <f t="shared" si="57"/>
        <v>8</v>
      </c>
      <c r="DS27" s="258">
        <f t="shared" si="58"/>
        <v>5</v>
      </c>
      <c r="DT27" s="248"/>
      <c r="DU27" s="305"/>
      <c r="DV27" s="244"/>
      <c r="DW27" s="307"/>
      <c r="DX27" s="226">
        <v>7</v>
      </c>
      <c r="DY27" s="59">
        <f t="shared" si="59"/>
        <v>0</v>
      </c>
      <c r="DZ27" s="254">
        <f t="shared" si="60"/>
        <v>8</v>
      </c>
      <c r="EA27" s="258">
        <f t="shared" si="61"/>
        <v>5</v>
      </c>
      <c r="EB27" s="248"/>
      <c r="EC27" s="301"/>
      <c r="ED27" s="226">
        <v>7</v>
      </c>
      <c r="EE27" s="59">
        <f t="shared" si="62"/>
        <v>0</v>
      </c>
      <c r="EF27" s="254">
        <f t="shared" si="63"/>
        <v>8</v>
      </c>
      <c r="EG27" s="258">
        <f t="shared" si="64"/>
        <v>5</v>
      </c>
      <c r="EH27" s="248"/>
      <c r="EI27" s="301"/>
      <c r="EJ27" s="226">
        <v>7</v>
      </c>
      <c r="EK27" s="59">
        <f t="shared" si="65"/>
        <v>0</v>
      </c>
      <c r="EL27" s="254">
        <f t="shared" si="66"/>
        <v>8</v>
      </c>
      <c r="EM27" s="258">
        <f t="shared" si="67"/>
        <v>5</v>
      </c>
      <c r="EN27" s="248"/>
      <c r="EO27" s="305"/>
      <c r="EP27" s="244"/>
      <c r="EQ27" s="307"/>
      <c r="ER27" s="226">
        <v>7</v>
      </c>
      <c r="ES27" s="59">
        <f t="shared" si="68"/>
        <v>0</v>
      </c>
      <c r="ET27" s="254">
        <f t="shared" si="69"/>
        <v>8</v>
      </c>
      <c r="EU27" s="258">
        <f t="shared" si="70"/>
        <v>5</v>
      </c>
      <c r="EV27" s="248"/>
      <c r="EW27" s="301"/>
      <c r="EX27" s="226">
        <v>7</v>
      </c>
      <c r="EY27" s="59">
        <f t="shared" si="71"/>
        <v>0</v>
      </c>
      <c r="EZ27" s="254">
        <f t="shared" si="72"/>
        <v>8</v>
      </c>
      <c r="FA27" s="258">
        <f t="shared" si="73"/>
        <v>5</v>
      </c>
      <c r="FB27" s="248"/>
      <c r="FC27" s="301"/>
      <c r="FD27" s="226">
        <v>7</v>
      </c>
      <c r="FE27" s="59">
        <f t="shared" si="74"/>
        <v>0</v>
      </c>
      <c r="FF27" s="254">
        <f t="shared" si="75"/>
        <v>8</v>
      </c>
      <c r="FG27" s="258">
        <f t="shared" si="76"/>
        <v>5</v>
      </c>
      <c r="FH27" s="248"/>
      <c r="FI27" s="301"/>
      <c r="FJ27" s="226">
        <v>7</v>
      </c>
      <c r="FK27" s="59">
        <f t="shared" si="77"/>
        <v>0</v>
      </c>
      <c r="FL27" s="254">
        <f t="shared" si="78"/>
        <v>8</v>
      </c>
      <c r="FM27" s="258">
        <f t="shared" si="79"/>
        <v>5</v>
      </c>
      <c r="FN27" s="248"/>
      <c r="FO27" s="305"/>
      <c r="FP27" s="244"/>
    </row>
    <row r="28" spans="1:172" ht="17.5" thickBot="1" x14ac:dyDescent="0.5">
      <c r="A28" s="309"/>
      <c r="B28" s="259">
        <v>8</v>
      </c>
      <c r="C28" s="59">
        <v>0</v>
      </c>
      <c r="D28" s="254">
        <f t="shared" si="4"/>
        <v>8</v>
      </c>
      <c r="E28" s="258">
        <f t="shared" si="5"/>
        <v>1</v>
      </c>
      <c r="F28" s="260"/>
      <c r="G28" s="302"/>
      <c r="H28" s="261">
        <v>8</v>
      </c>
      <c r="I28" s="59">
        <f t="shared" si="80"/>
        <v>0</v>
      </c>
      <c r="J28" s="254">
        <f t="shared" si="6"/>
        <v>8</v>
      </c>
      <c r="K28" s="258">
        <f t="shared" si="7"/>
        <v>1</v>
      </c>
      <c r="L28" s="260"/>
      <c r="M28" s="305"/>
      <c r="N28" s="244"/>
      <c r="O28" s="309"/>
      <c r="P28" s="261">
        <v>8</v>
      </c>
      <c r="Q28" s="59">
        <f t="shared" si="8"/>
        <v>0</v>
      </c>
      <c r="R28" s="254">
        <f t="shared" si="9"/>
        <v>8</v>
      </c>
      <c r="S28" s="258">
        <f t="shared" si="10"/>
        <v>1</v>
      </c>
      <c r="T28" s="260"/>
      <c r="U28" s="302"/>
      <c r="V28" s="261">
        <v>8</v>
      </c>
      <c r="W28" s="59">
        <f t="shared" si="11"/>
        <v>0</v>
      </c>
      <c r="X28" s="254">
        <f t="shared" si="12"/>
        <v>8</v>
      </c>
      <c r="Y28" s="258">
        <f t="shared" si="13"/>
        <v>1</v>
      </c>
      <c r="Z28" s="260"/>
      <c r="AA28" s="302"/>
      <c r="AB28" s="261">
        <v>8</v>
      </c>
      <c r="AC28" s="59">
        <f t="shared" si="14"/>
        <v>0</v>
      </c>
      <c r="AD28" s="254">
        <f t="shared" si="15"/>
        <v>8</v>
      </c>
      <c r="AE28" s="258">
        <f t="shared" si="16"/>
        <v>1</v>
      </c>
      <c r="AF28" s="260"/>
      <c r="AG28" s="305"/>
      <c r="AH28" s="244"/>
      <c r="AI28" s="309"/>
      <c r="AJ28" s="261">
        <v>8</v>
      </c>
      <c r="AK28" s="59">
        <f t="shared" si="17"/>
        <v>0</v>
      </c>
      <c r="AL28" s="254">
        <f t="shared" si="18"/>
        <v>8</v>
      </c>
      <c r="AM28" s="258">
        <f t="shared" si="19"/>
        <v>1</v>
      </c>
      <c r="AN28" s="260"/>
      <c r="AO28" s="302"/>
      <c r="AP28" s="261">
        <v>8</v>
      </c>
      <c r="AQ28" s="59">
        <f t="shared" si="20"/>
        <v>0</v>
      </c>
      <c r="AR28" s="254">
        <f t="shared" si="21"/>
        <v>8</v>
      </c>
      <c r="AS28" s="258">
        <f t="shared" si="22"/>
        <v>1</v>
      </c>
      <c r="AT28" s="260"/>
      <c r="AU28" s="302"/>
      <c r="AV28" s="261">
        <v>8</v>
      </c>
      <c r="AW28" s="59">
        <f t="shared" si="23"/>
        <v>0</v>
      </c>
      <c r="AX28" s="254">
        <f t="shared" si="24"/>
        <v>8</v>
      </c>
      <c r="AY28" s="258">
        <f t="shared" si="25"/>
        <v>1</v>
      </c>
      <c r="AZ28" s="260"/>
      <c r="BA28" s="305"/>
      <c r="BB28" s="244"/>
      <c r="BC28" s="309"/>
      <c r="BD28" s="261">
        <v>8</v>
      </c>
      <c r="BE28" s="59">
        <f t="shared" si="26"/>
        <v>0</v>
      </c>
      <c r="BF28" s="254">
        <f t="shared" si="27"/>
        <v>8</v>
      </c>
      <c r="BG28" s="258">
        <f t="shared" si="28"/>
        <v>1</v>
      </c>
      <c r="BH28" s="260"/>
      <c r="BI28" s="302"/>
      <c r="BJ28" s="261">
        <v>8</v>
      </c>
      <c r="BK28" s="59">
        <f t="shared" si="29"/>
        <v>0</v>
      </c>
      <c r="BL28" s="254">
        <f t="shared" si="30"/>
        <v>8</v>
      </c>
      <c r="BM28" s="258">
        <f t="shared" si="31"/>
        <v>1</v>
      </c>
      <c r="BN28" s="260"/>
      <c r="BO28" s="302"/>
      <c r="BP28" s="261">
        <v>8</v>
      </c>
      <c r="BQ28" s="59">
        <f t="shared" si="32"/>
        <v>0</v>
      </c>
      <c r="BR28" s="254">
        <f t="shared" si="33"/>
        <v>8</v>
      </c>
      <c r="BS28" s="258">
        <f t="shared" si="34"/>
        <v>1</v>
      </c>
      <c r="BT28" s="260"/>
      <c r="BU28" s="305"/>
      <c r="BV28" s="244"/>
      <c r="BW28" s="309"/>
      <c r="BX28" s="261">
        <v>8</v>
      </c>
      <c r="BY28" s="59">
        <f t="shared" si="35"/>
        <v>0</v>
      </c>
      <c r="BZ28" s="254">
        <f t="shared" si="36"/>
        <v>8</v>
      </c>
      <c r="CA28" s="258">
        <f t="shared" si="37"/>
        <v>1</v>
      </c>
      <c r="CB28" s="260"/>
      <c r="CC28" s="302"/>
      <c r="CD28" s="261">
        <v>8</v>
      </c>
      <c r="CE28" s="59">
        <f t="shared" si="38"/>
        <v>0</v>
      </c>
      <c r="CF28" s="254">
        <f t="shared" si="39"/>
        <v>8</v>
      </c>
      <c r="CG28" s="258">
        <f t="shared" si="40"/>
        <v>1</v>
      </c>
      <c r="CH28" s="260"/>
      <c r="CI28" s="302"/>
      <c r="CJ28" s="261">
        <v>8</v>
      </c>
      <c r="CK28" s="59">
        <f t="shared" si="41"/>
        <v>0</v>
      </c>
      <c r="CL28" s="254">
        <f t="shared" si="42"/>
        <v>8</v>
      </c>
      <c r="CM28" s="258">
        <f t="shared" si="43"/>
        <v>1</v>
      </c>
      <c r="CN28" s="260"/>
      <c r="CO28" s="302"/>
      <c r="CP28" s="261">
        <v>8</v>
      </c>
      <c r="CQ28" s="59">
        <f t="shared" si="44"/>
        <v>0</v>
      </c>
      <c r="CR28" s="254">
        <f t="shared" si="45"/>
        <v>8</v>
      </c>
      <c r="CS28" s="258">
        <f t="shared" si="46"/>
        <v>1</v>
      </c>
      <c r="CT28" s="260"/>
      <c r="CU28" s="305"/>
      <c r="CV28" s="244"/>
      <c r="CW28" s="309"/>
      <c r="CX28" s="261">
        <v>8</v>
      </c>
      <c r="CY28" s="59">
        <f t="shared" si="47"/>
        <v>0</v>
      </c>
      <c r="CZ28" s="254">
        <f t="shared" si="48"/>
        <v>8</v>
      </c>
      <c r="DA28" s="258">
        <f t="shared" si="49"/>
        <v>1</v>
      </c>
      <c r="DB28" s="260"/>
      <c r="DC28" s="302"/>
      <c r="DD28" s="261">
        <v>8</v>
      </c>
      <c r="DE28" s="59">
        <f t="shared" si="50"/>
        <v>0</v>
      </c>
      <c r="DF28" s="254">
        <f t="shared" si="51"/>
        <v>8</v>
      </c>
      <c r="DG28" s="258">
        <f t="shared" si="52"/>
        <v>1</v>
      </c>
      <c r="DH28" s="260"/>
      <c r="DI28" s="302"/>
      <c r="DJ28" s="261">
        <v>8</v>
      </c>
      <c r="DK28" s="59">
        <f t="shared" si="53"/>
        <v>0</v>
      </c>
      <c r="DL28" s="254">
        <f t="shared" si="54"/>
        <v>8</v>
      </c>
      <c r="DM28" s="258">
        <f t="shared" si="55"/>
        <v>1</v>
      </c>
      <c r="DN28" s="260"/>
      <c r="DO28" s="302"/>
      <c r="DP28" s="261">
        <v>8</v>
      </c>
      <c r="DQ28" s="59">
        <f t="shared" si="56"/>
        <v>0</v>
      </c>
      <c r="DR28" s="254">
        <f t="shared" si="57"/>
        <v>8</v>
      </c>
      <c r="DS28" s="258">
        <f t="shared" si="58"/>
        <v>1</v>
      </c>
      <c r="DT28" s="260"/>
      <c r="DU28" s="305"/>
      <c r="DV28" s="244"/>
      <c r="DW28" s="309"/>
      <c r="DX28" s="261">
        <v>8</v>
      </c>
      <c r="DY28" s="59">
        <f t="shared" si="59"/>
        <v>0</v>
      </c>
      <c r="DZ28" s="254">
        <f t="shared" si="60"/>
        <v>8</v>
      </c>
      <c r="EA28" s="258">
        <f t="shared" si="61"/>
        <v>1</v>
      </c>
      <c r="EB28" s="260"/>
      <c r="EC28" s="302"/>
      <c r="ED28" s="261">
        <v>8</v>
      </c>
      <c r="EE28" s="59">
        <f t="shared" si="62"/>
        <v>0</v>
      </c>
      <c r="EF28" s="254">
        <f t="shared" si="63"/>
        <v>8</v>
      </c>
      <c r="EG28" s="258">
        <f t="shared" si="64"/>
        <v>1</v>
      </c>
      <c r="EH28" s="260"/>
      <c r="EI28" s="302"/>
      <c r="EJ28" s="261">
        <v>8</v>
      </c>
      <c r="EK28" s="59">
        <f t="shared" si="65"/>
        <v>0</v>
      </c>
      <c r="EL28" s="254">
        <f t="shared" si="66"/>
        <v>8</v>
      </c>
      <c r="EM28" s="258">
        <f t="shared" si="67"/>
        <v>1</v>
      </c>
      <c r="EN28" s="260"/>
      <c r="EO28" s="305"/>
      <c r="EP28" s="244"/>
      <c r="EQ28" s="309"/>
      <c r="ER28" s="261">
        <v>8</v>
      </c>
      <c r="ES28" s="59">
        <f t="shared" si="68"/>
        <v>0</v>
      </c>
      <c r="ET28" s="254">
        <f t="shared" si="69"/>
        <v>8</v>
      </c>
      <c r="EU28" s="258">
        <f t="shared" si="70"/>
        <v>1</v>
      </c>
      <c r="EV28" s="260"/>
      <c r="EW28" s="302"/>
      <c r="EX28" s="261">
        <v>8</v>
      </c>
      <c r="EY28" s="59">
        <f t="shared" si="71"/>
        <v>0</v>
      </c>
      <c r="EZ28" s="254">
        <f t="shared" si="72"/>
        <v>8</v>
      </c>
      <c r="FA28" s="258">
        <f t="shared" si="73"/>
        <v>1</v>
      </c>
      <c r="FB28" s="260"/>
      <c r="FC28" s="302"/>
      <c r="FD28" s="261">
        <v>8</v>
      </c>
      <c r="FE28" s="59">
        <f t="shared" si="74"/>
        <v>0</v>
      </c>
      <c r="FF28" s="254">
        <f t="shared" si="75"/>
        <v>8</v>
      </c>
      <c r="FG28" s="258">
        <f t="shared" si="76"/>
        <v>1</v>
      </c>
      <c r="FH28" s="260"/>
      <c r="FI28" s="302"/>
      <c r="FJ28" s="261">
        <v>8</v>
      </c>
      <c r="FK28" s="59">
        <f t="shared" si="77"/>
        <v>0</v>
      </c>
      <c r="FL28" s="254">
        <f t="shared" si="78"/>
        <v>8</v>
      </c>
      <c r="FM28" s="258">
        <f t="shared" si="79"/>
        <v>1</v>
      </c>
      <c r="FN28" s="260"/>
      <c r="FO28" s="305"/>
      <c r="FP28" s="244"/>
    </row>
    <row r="29" spans="1:172" s="79" customFormat="1" ht="17" x14ac:dyDescent="0.45">
      <c r="A29" s="306">
        <v>2</v>
      </c>
      <c r="B29" s="241">
        <f>U7</f>
        <v>29</v>
      </c>
      <c r="C29" s="206" t="s">
        <v>154</v>
      </c>
      <c r="D29" s="206" t="s">
        <v>158</v>
      </c>
      <c r="E29" s="242" t="s">
        <v>152</v>
      </c>
      <c r="F29" s="262"/>
      <c r="G29" s="300">
        <v>2</v>
      </c>
      <c r="H29" s="245"/>
      <c r="I29" s="206" t="s">
        <v>154</v>
      </c>
      <c r="J29" s="206" t="s">
        <v>158</v>
      </c>
      <c r="K29" s="242" t="s">
        <v>152</v>
      </c>
      <c r="L29" s="262"/>
      <c r="M29" s="305">
        <f>IF(COUNT(#REF!,F30:F38,L30:L38) &gt;0, COUNT(#REF!,F30:F38,L30:L38) /2,"")</f>
        <v>1</v>
      </c>
      <c r="N29" s="244"/>
      <c r="O29" s="306">
        <v>2</v>
      </c>
      <c r="P29" s="245"/>
      <c r="Q29" s="206" t="s">
        <v>154</v>
      </c>
      <c r="R29" s="206" t="s">
        <v>158</v>
      </c>
      <c r="S29" s="242" t="s">
        <v>152</v>
      </c>
      <c r="T29" s="262"/>
      <c r="U29" s="300">
        <v>2</v>
      </c>
      <c r="V29" s="245"/>
      <c r="W29" s="206" t="s">
        <v>154</v>
      </c>
      <c r="X29" s="206" t="s">
        <v>158</v>
      </c>
      <c r="Y29" s="242" t="s">
        <v>152</v>
      </c>
      <c r="Z29" s="262"/>
      <c r="AA29" s="300">
        <v>2</v>
      </c>
      <c r="AB29" s="245"/>
      <c r="AC29" s="206" t="s">
        <v>154</v>
      </c>
      <c r="AD29" s="206" t="s">
        <v>158</v>
      </c>
      <c r="AE29" s="242" t="s">
        <v>152</v>
      </c>
      <c r="AF29" s="262"/>
      <c r="AG29" s="305">
        <f>IF(COUNT(N30:N38,T30:T38,Z30:Z38,AF30:AF38) &gt;0, COUNT(N30:N38,T30:T38,Z30:Z38,AF30:AF38) /2,"")</f>
        <v>1</v>
      </c>
      <c r="AH29" s="244"/>
      <c r="AI29" s="306">
        <v>2</v>
      </c>
      <c r="AJ29" s="245"/>
      <c r="AK29" s="206" t="s">
        <v>154</v>
      </c>
      <c r="AL29" s="206" t="s">
        <v>158</v>
      </c>
      <c r="AM29" s="242" t="s">
        <v>152</v>
      </c>
      <c r="AN29" s="262"/>
      <c r="AO29" s="300">
        <v>2</v>
      </c>
      <c r="AP29" s="245"/>
      <c r="AQ29" s="206" t="s">
        <v>154</v>
      </c>
      <c r="AR29" s="206" t="s">
        <v>158</v>
      </c>
      <c r="AS29" s="242" t="s">
        <v>152</v>
      </c>
      <c r="AT29" s="262"/>
      <c r="AU29" s="300">
        <v>2</v>
      </c>
      <c r="AV29" s="245"/>
      <c r="AW29" s="206" t="s">
        <v>154</v>
      </c>
      <c r="AX29" s="206" t="s">
        <v>158</v>
      </c>
      <c r="AY29" s="242" t="s">
        <v>152</v>
      </c>
      <c r="AZ29" s="262"/>
      <c r="BA29" s="305">
        <f>IF(COUNT(AN30:AN38,AT30:AT38,AZ30:AZ38) &gt;0, COUNT(AN30:AN38,AT30:AT38,AZ30:AZ38) /2,"")</f>
        <v>2</v>
      </c>
      <c r="BB29" s="244"/>
      <c r="BC29" s="306">
        <v>2</v>
      </c>
      <c r="BD29" s="245"/>
      <c r="BE29" s="206" t="s">
        <v>154</v>
      </c>
      <c r="BF29" s="206" t="s">
        <v>158</v>
      </c>
      <c r="BG29" s="242" t="s">
        <v>152</v>
      </c>
      <c r="BH29" s="262"/>
      <c r="BI29" s="300">
        <v>2</v>
      </c>
      <c r="BJ29" s="245"/>
      <c r="BK29" s="206" t="s">
        <v>154</v>
      </c>
      <c r="BL29" s="206" t="s">
        <v>158</v>
      </c>
      <c r="BM29" s="242" t="s">
        <v>152</v>
      </c>
      <c r="BN29" s="262"/>
      <c r="BO29" s="300">
        <v>2</v>
      </c>
      <c r="BP29" s="245"/>
      <c r="BQ29" s="206" t="s">
        <v>154</v>
      </c>
      <c r="BR29" s="206" t="s">
        <v>158</v>
      </c>
      <c r="BS29" s="242" t="s">
        <v>152</v>
      </c>
      <c r="BT29" s="262"/>
      <c r="BU29" s="305">
        <f>IF(COUNT(BH30:BH38,BN30:BN38,BT30:BT38) &gt;0, COUNT(BH30:BH38,BN30:BN38,BT30:BT38) /2,"")</f>
        <v>1</v>
      </c>
      <c r="BV29" s="244"/>
      <c r="BW29" s="306">
        <v>2</v>
      </c>
      <c r="BX29" s="245"/>
      <c r="BY29" s="206" t="s">
        <v>154</v>
      </c>
      <c r="BZ29" s="206" t="s">
        <v>158</v>
      </c>
      <c r="CA29" s="242" t="s">
        <v>152</v>
      </c>
      <c r="CB29" s="262"/>
      <c r="CC29" s="300">
        <v>2</v>
      </c>
      <c r="CD29" s="245"/>
      <c r="CE29" s="206" t="s">
        <v>154</v>
      </c>
      <c r="CF29" s="206" t="s">
        <v>158</v>
      </c>
      <c r="CG29" s="242" t="s">
        <v>152</v>
      </c>
      <c r="CH29" s="262"/>
      <c r="CI29" s="300">
        <v>2</v>
      </c>
      <c r="CJ29" s="245"/>
      <c r="CK29" s="206" t="s">
        <v>154</v>
      </c>
      <c r="CL29" s="206" t="s">
        <v>158</v>
      </c>
      <c r="CM29" s="242" t="s">
        <v>152</v>
      </c>
      <c r="CN29" s="262"/>
      <c r="CO29" s="300">
        <v>2</v>
      </c>
      <c r="CP29" s="245"/>
      <c r="CQ29" s="206" t="s">
        <v>154</v>
      </c>
      <c r="CR29" s="206" t="s">
        <v>158</v>
      </c>
      <c r="CS29" s="242" t="s">
        <v>152</v>
      </c>
      <c r="CT29" s="262"/>
      <c r="CU29" s="305" t="str">
        <f>IF(COUNT(CB30:CB38,CH30:CH38,CN30:CN38,CT30:CT38) &gt;0, COUNT(CB30:CB38,CH30:CH38,CN30:CN38,CT30:CT38) /2,"")</f>
        <v/>
      </c>
      <c r="CV29" s="244"/>
      <c r="CW29" s="306">
        <v>2</v>
      </c>
      <c r="CX29" s="245"/>
      <c r="CY29" s="206" t="s">
        <v>154</v>
      </c>
      <c r="CZ29" s="206" t="s">
        <v>158</v>
      </c>
      <c r="DA29" s="242" t="s">
        <v>152</v>
      </c>
      <c r="DB29" s="262"/>
      <c r="DC29" s="300">
        <v>2</v>
      </c>
      <c r="DD29" s="245"/>
      <c r="DE29" s="206" t="s">
        <v>154</v>
      </c>
      <c r="DF29" s="206" t="s">
        <v>158</v>
      </c>
      <c r="DG29" s="242" t="s">
        <v>152</v>
      </c>
      <c r="DH29" s="262"/>
      <c r="DI29" s="300">
        <v>2</v>
      </c>
      <c r="DJ29" s="245"/>
      <c r="DK29" s="206" t="s">
        <v>154</v>
      </c>
      <c r="DL29" s="206" t="s">
        <v>158</v>
      </c>
      <c r="DM29" s="242" t="s">
        <v>152</v>
      </c>
      <c r="DN29" s="262"/>
      <c r="DO29" s="300">
        <v>2</v>
      </c>
      <c r="DP29" s="245"/>
      <c r="DQ29" s="206" t="s">
        <v>154</v>
      </c>
      <c r="DR29" s="206" t="s">
        <v>158</v>
      </c>
      <c r="DS29" s="242" t="s">
        <v>152</v>
      </c>
      <c r="DT29" s="262"/>
      <c r="DU29" s="305" t="str">
        <f>IF(COUNT(DB30:DB38,DH30:DH38,DN30:DN38,DT30:DT38) &gt;0, COUNT(DB30:DB38,DH30:DH38,DN30:DN38,DT30:DT38) /2,"")</f>
        <v/>
      </c>
      <c r="DV29" s="244"/>
      <c r="DW29" s="306">
        <v>2</v>
      </c>
      <c r="DX29" s="245"/>
      <c r="DY29" s="206" t="s">
        <v>154</v>
      </c>
      <c r="DZ29" s="206" t="s">
        <v>158</v>
      </c>
      <c r="EA29" s="242" t="s">
        <v>152</v>
      </c>
      <c r="EB29" s="262"/>
      <c r="EC29" s="300">
        <v>2</v>
      </c>
      <c r="ED29" s="245"/>
      <c r="EE29" s="206" t="s">
        <v>154</v>
      </c>
      <c r="EF29" s="206" t="s">
        <v>158</v>
      </c>
      <c r="EG29" s="242" t="s">
        <v>152</v>
      </c>
      <c r="EH29" s="262"/>
      <c r="EI29" s="300">
        <v>2</v>
      </c>
      <c r="EJ29" s="245"/>
      <c r="EK29" s="206" t="s">
        <v>154</v>
      </c>
      <c r="EL29" s="206" t="s">
        <v>158</v>
      </c>
      <c r="EM29" s="242" t="s">
        <v>152</v>
      </c>
      <c r="EN29" s="262"/>
      <c r="EO29" s="305" t="str">
        <f>IF(COUNT(EB30:EB38,EH30:EH38,EN30:EN38) &gt;0, COUNT(EB30:EB38,EH30:EH38,EN30:EN38) /2,"")</f>
        <v/>
      </c>
      <c r="EP29" s="244"/>
      <c r="EQ29" s="306">
        <v>2</v>
      </c>
      <c r="ER29" s="245"/>
      <c r="ES29" s="206" t="s">
        <v>154</v>
      </c>
      <c r="ET29" s="206" t="s">
        <v>158</v>
      </c>
      <c r="EU29" s="242" t="s">
        <v>152</v>
      </c>
      <c r="EV29" s="262"/>
      <c r="EW29" s="300">
        <v>2</v>
      </c>
      <c r="EX29" s="245"/>
      <c r="EY29" s="206" t="s">
        <v>154</v>
      </c>
      <c r="EZ29" s="206" t="s">
        <v>158</v>
      </c>
      <c r="FA29" s="242" t="s">
        <v>152</v>
      </c>
      <c r="FB29" s="262"/>
      <c r="FC29" s="300">
        <v>2</v>
      </c>
      <c r="FD29" s="245"/>
      <c r="FE29" s="206" t="s">
        <v>154</v>
      </c>
      <c r="FF29" s="206" t="s">
        <v>158</v>
      </c>
      <c r="FG29" s="242" t="s">
        <v>152</v>
      </c>
      <c r="FH29" s="262"/>
      <c r="FI29" s="300">
        <v>2</v>
      </c>
      <c r="FJ29" s="245"/>
      <c r="FK29" s="206" t="s">
        <v>154</v>
      </c>
      <c r="FL29" s="206" t="s">
        <v>158</v>
      </c>
      <c r="FM29" s="242" t="s">
        <v>152</v>
      </c>
      <c r="FN29" s="262"/>
      <c r="FO29" s="305" t="str">
        <f>IF(COUNT(EV30:EV38,FB30:FB38,FH30:FH38,FN30:FN38) &gt;0, COUNT(EV30:EV38,FB30:FB38,FH30:FH38,FN30:FN38) /2,"")</f>
        <v/>
      </c>
      <c r="FP29" s="244"/>
    </row>
    <row r="30" spans="1:172" ht="27.75" customHeight="1" x14ac:dyDescent="0.45">
      <c r="A30" s="307"/>
      <c r="B30" s="249" t="s">
        <v>162</v>
      </c>
      <c r="C30" s="41" t="s">
        <v>156</v>
      </c>
      <c r="D30" s="41" t="s">
        <v>175</v>
      </c>
      <c r="E30" s="249" t="s">
        <v>174</v>
      </c>
      <c r="F30" s="250"/>
      <c r="G30" s="301"/>
      <c r="H30" s="249" t="s">
        <v>162</v>
      </c>
      <c r="I30" s="59" t="s">
        <v>155</v>
      </c>
      <c r="J30" s="41" t="s">
        <v>175</v>
      </c>
      <c r="K30" s="249" t="s">
        <v>174</v>
      </c>
      <c r="L30" s="250"/>
      <c r="M30" s="305"/>
      <c r="N30" s="244"/>
      <c r="O30" s="307"/>
      <c r="P30" s="249" t="s">
        <v>162</v>
      </c>
      <c r="Q30" s="59" t="s">
        <v>155</v>
      </c>
      <c r="R30" s="41" t="s">
        <v>175</v>
      </c>
      <c r="S30" s="249" t="s">
        <v>174</v>
      </c>
      <c r="T30" s="250"/>
      <c r="U30" s="301"/>
      <c r="V30" s="249" t="s">
        <v>162</v>
      </c>
      <c r="W30" s="59" t="s">
        <v>155</v>
      </c>
      <c r="X30" s="41" t="s">
        <v>175</v>
      </c>
      <c r="Y30" s="249" t="s">
        <v>174</v>
      </c>
      <c r="Z30" s="250"/>
      <c r="AA30" s="301"/>
      <c r="AB30" s="249" t="s">
        <v>162</v>
      </c>
      <c r="AC30" s="59" t="s">
        <v>155</v>
      </c>
      <c r="AD30" s="41" t="s">
        <v>175</v>
      </c>
      <c r="AE30" s="249" t="s">
        <v>174</v>
      </c>
      <c r="AF30" s="250"/>
      <c r="AG30" s="305"/>
      <c r="AH30" s="244"/>
      <c r="AI30" s="307"/>
      <c r="AJ30" s="249" t="s">
        <v>162</v>
      </c>
      <c r="AK30" s="59" t="s">
        <v>155</v>
      </c>
      <c r="AL30" s="41" t="s">
        <v>175</v>
      </c>
      <c r="AM30" s="249" t="s">
        <v>174</v>
      </c>
      <c r="AN30" s="250"/>
      <c r="AO30" s="301"/>
      <c r="AP30" s="249" t="s">
        <v>162</v>
      </c>
      <c r="AQ30" s="59" t="s">
        <v>155</v>
      </c>
      <c r="AR30" s="41" t="s">
        <v>175</v>
      </c>
      <c r="AS30" s="249" t="s">
        <v>174</v>
      </c>
      <c r="AT30" s="250"/>
      <c r="AU30" s="301"/>
      <c r="AV30" s="249" t="s">
        <v>162</v>
      </c>
      <c r="AW30" s="59" t="s">
        <v>155</v>
      </c>
      <c r="AX30" s="41" t="s">
        <v>175</v>
      </c>
      <c r="AY30" s="249" t="s">
        <v>174</v>
      </c>
      <c r="AZ30" s="250"/>
      <c r="BA30" s="305"/>
      <c r="BB30" s="244"/>
      <c r="BC30" s="307"/>
      <c r="BD30" s="249" t="s">
        <v>162</v>
      </c>
      <c r="BE30" s="59" t="s">
        <v>155</v>
      </c>
      <c r="BF30" s="41" t="s">
        <v>175</v>
      </c>
      <c r="BG30" s="249" t="s">
        <v>174</v>
      </c>
      <c r="BH30" s="250"/>
      <c r="BI30" s="301"/>
      <c r="BJ30" s="249" t="s">
        <v>162</v>
      </c>
      <c r="BK30" s="59" t="s">
        <v>155</v>
      </c>
      <c r="BL30" s="41" t="s">
        <v>175</v>
      </c>
      <c r="BM30" s="249" t="s">
        <v>174</v>
      </c>
      <c r="BN30" s="250"/>
      <c r="BO30" s="301"/>
      <c r="BP30" s="249" t="s">
        <v>162</v>
      </c>
      <c r="BQ30" s="59" t="s">
        <v>155</v>
      </c>
      <c r="BR30" s="41" t="s">
        <v>175</v>
      </c>
      <c r="BS30" s="249" t="s">
        <v>174</v>
      </c>
      <c r="BT30" s="250"/>
      <c r="BU30" s="305"/>
      <c r="BV30" s="244"/>
      <c r="BW30" s="307"/>
      <c r="BX30" s="249" t="s">
        <v>162</v>
      </c>
      <c r="BY30" s="59" t="s">
        <v>155</v>
      </c>
      <c r="BZ30" s="41" t="s">
        <v>175</v>
      </c>
      <c r="CA30" s="249" t="s">
        <v>174</v>
      </c>
      <c r="CB30" s="250"/>
      <c r="CC30" s="301"/>
      <c r="CD30" s="249" t="s">
        <v>162</v>
      </c>
      <c r="CE30" s="59" t="s">
        <v>155</v>
      </c>
      <c r="CF30" s="41" t="s">
        <v>175</v>
      </c>
      <c r="CG30" s="249" t="s">
        <v>174</v>
      </c>
      <c r="CH30" s="250"/>
      <c r="CI30" s="301"/>
      <c r="CJ30" s="249" t="s">
        <v>162</v>
      </c>
      <c r="CK30" s="59" t="s">
        <v>155</v>
      </c>
      <c r="CL30" s="41" t="s">
        <v>175</v>
      </c>
      <c r="CM30" s="249" t="s">
        <v>174</v>
      </c>
      <c r="CN30" s="250"/>
      <c r="CO30" s="301"/>
      <c r="CP30" s="249" t="s">
        <v>162</v>
      </c>
      <c r="CQ30" s="59" t="s">
        <v>155</v>
      </c>
      <c r="CR30" s="41" t="s">
        <v>175</v>
      </c>
      <c r="CS30" s="249" t="s">
        <v>174</v>
      </c>
      <c r="CT30" s="250"/>
      <c r="CU30" s="305"/>
      <c r="CV30" s="244"/>
      <c r="CW30" s="307"/>
      <c r="CX30" s="249" t="s">
        <v>162</v>
      </c>
      <c r="CY30" s="59" t="s">
        <v>155</v>
      </c>
      <c r="CZ30" s="41" t="s">
        <v>175</v>
      </c>
      <c r="DA30" s="249" t="s">
        <v>174</v>
      </c>
      <c r="DB30" s="250"/>
      <c r="DC30" s="301"/>
      <c r="DD30" s="249" t="s">
        <v>162</v>
      </c>
      <c r="DE30" s="59" t="s">
        <v>155</v>
      </c>
      <c r="DF30" s="41" t="s">
        <v>175</v>
      </c>
      <c r="DG30" s="249" t="s">
        <v>174</v>
      </c>
      <c r="DH30" s="250"/>
      <c r="DI30" s="301"/>
      <c r="DJ30" s="249" t="s">
        <v>162</v>
      </c>
      <c r="DK30" s="59" t="s">
        <v>155</v>
      </c>
      <c r="DL30" s="41" t="s">
        <v>175</v>
      </c>
      <c r="DM30" s="249" t="s">
        <v>174</v>
      </c>
      <c r="DN30" s="250"/>
      <c r="DO30" s="301"/>
      <c r="DP30" s="249" t="s">
        <v>162</v>
      </c>
      <c r="DQ30" s="59" t="s">
        <v>155</v>
      </c>
      <c r="DR30" s="41" t="s">
        <v>175</v>
      </c>
      <c r="DS30" s="249" t="s">
        <v>174</v>
      </c>
      <c r="DT30" s="250"/>
      <c r="DU30" s="305"/>
      <c r="DV30" s="244"/>
      <c r="DW30" s="307"/>
      <c r="DX30" s="249" t="s">
        <v>162</v>
      </c>
      <c r="DY30" s="59" t="s">
        <v>155</v>
      </c>
      <c r="DZ30" s="41" t="s">
        <v>175</v>
      </c>
      <c r="EA30" s="249" t="s">
        <v>174</v>
      </c>
      <c r="EB30" s="250"/>
      <c r="EC30" s="301"/>
      <c r="ED30" s="249" t="s">
        <v>162</v>
      </c>
      <c r="EE30" s="59" t="s">
        <v>155</v>
      </c>
      <c r="EF30" s="41" t="s">
        <v>175</v>
      </c>
      <c r="EG30" s="249" t="s">
        <v>174</v>
      </c>
      <c r="EH30" s="250"/>
      <c r="EI30" s="301"/>
      <c r="EJ30" s="249" t="s">
        <v>162</v>
      </c>
      <c r="EK30" s="59" t="s">
        <v>155</v>
      </c>
      <c r="EL30" s="41" t="s">
        <v>175</v>
      </c>
      <c r="EM30" s="249" t="s">
        <v>174</v>
      </c>
      <c r="EN30" s="250"/>
      <c r="EO30" s="305"/>
      <c r="EP30" s="244"/>
      <c r="EQ30" s="307"/>
      <c r="ER30" s="249" t="s">
        <v>162</v>
      </c>
      <c r="ES30" s="59" t="s">
        <v>155</v>
      </c>
      <c r="ET30" s="41" t="s">
        <v>175</v>
      </c>
      <c r="EU30" s="249" t="s">
        <v>174</v>
      </c>
      <c r="EV30" s="250"/>
      <c r="EW30" s="301"/>
      <c r="EX30" s="249" t="s">
        <v>162</v>
      </c>
      <c r="EY30" s="59" t="s">
        <v>155</v>
      </c>
      <c r="EZ30" s="41" t="s">
        <v>175</v>
      </c>
      <c r="FA30" s="249" t="s">
        <v>174</v>
      </c>
      <c r="FB30" s="250"/>
      <c r="FC30" s="301"/>
      <c r="FD30" s="249" t="s">
        <v>162</v>
      </c>
      <c r="FE30" s="59" t="s">
        <v>155</v>
      </c>
      <c r="FF30" s="41" t="s">
        <v>175</v>
      </c>
      <c r="FG30" s="249" t="s">
        <v>174</v>
      </c>
      <c r="FH30" s="250"/>
      <c r="FI30" s="301"/>
      <c r="FJ30" s="249" t="s">
        <v>162</v>
      </c>
      <c r="FK30" s="59" t="s">
        <v>155</v>
      </c>
      <c r="FL30" s="41" t="s">
        <v>175</v>
      </c>
      <c r="FM30" s="249" t="s">
        <v>174</v>
      </c>
      <c r="FN30" s="250"/>
      <c r="FO30" s="305"/>
      <c r="FP30" s="244"/>
    </row>
    <row r="31" spans="1:172" ht="17" x14ac:dyDescent="0.45">
      <c r="A31" s="307"/>
      <c r="B31" s="226">
        <v>1</v>
      </c>
      <c r="C31" s="59">
        <v>0</v>
      </c>
      <c r="D31" s="254">
        <f t="shared" ref="D31:D38" si="81">(C31+$B$29)*$H$3</f>
        <v>232</v>
      </c>
      <c r="E31" s="263">
        <f t="shared" ref="E31:E38" si="82">MOD($F6+D31,$H$2)</f>
        <v>15</v>
      </c>
      <c r="F31" s="264">
        <v>16</v>
      </c>
      <c r="G31" s="301"/>
      <c r="H31" s="226">
        <v>1</v>
      </c>
      <c r="I31" s="59">
        <f t="shared" ref="I31:I38" si="83">IF(F31="", C31,IF(F31=MAX(F$31:F$38),C31+1,0))</f>
        <v>1</v>
      </c>
      <c r="J31" s="254">
        <f t="shared" ref="J31:J38" si="84">(I31+$B$29)*$H$3</f>
        <v>240</v>
      </c>
      <c r="K31" s="263">
        <f t="shared" ref="K31:K38" si="85">MOD($F6+J31,$H$2)</f>
        <v>23</v>
      </c>
      <c r="L31" s="264"/>
      <c r="M31" s="305"/>
      <c r="N31" s="244"/>
      <c r="O31" s="307"/>
      <c r="P31" s="226">
        <v>1</v>
      </c>
      <c r="Q31" s="59">
        <f t="shared" ref="Q31:Q38" si="86">IF(F31="", C31,IF(F31=MAX(F$31:F$38),C31+1,0))</f>
        <v>1</v>
      </c>
      <c r="R31" s="254">
        <f t="shared" ref="R31:R38" si="87">(Q31+$B$29)*$H$3</f>
        <v>240</v>
      </c>
      <c r="S31" s="263">
        <f t="shared" ref="S31:S38" si="88">MOD($F6+R31,$H$2)</f>
        <v>23</v>
      </c>
      <c r="T31" s="264"/>
      <c r="U31" s="301"/>
      <c r="V31" s="226">
        <v>1</v>
      </c>
      <c r="W31" s="59">
        <f t="shared" ref="W31:W38" si="89">IF(T31="", Q31,IF(T31=MAX(T$31:T$38),Q31+1,0))</f>
        <v>1</v>
      </c>
      <c r="X31" s="254">
        <f t="shared" ref="X31:X38" si="90">(W31+$B$29)*$H$3</f>
        <v>240</v>
      </c>
      <c r="Y31" s="263">
        <f t="shared" ref="Y31:Y38" si="91">MOD($F6+X31,$H$2)</f>
        <v>23</v>
      </c>
      <c r="Z31" s="264"/>
      <c r="AA31" s="301"/>
      <c r="AB31" s="226">
        <v>1</v>
      </c>
      <c r="AC31" s="59">
        <f t="shared" ref="AC31:AC38" si="92">IF(Z31="", W31,IF(Z31=MAX(Z$31:Z$38),W31+1,0))</f>
        <v>1</v>
      </c>
      <c r="AD31" s="254">
        <f t="shared" ref="AD31:AD38" si="93">(AC31+$B$29)*$H$3</f>
        <v>240</v>
      </c>
      <c r="AE31" s="263">
        <f t="shared" ref="AE31:AE38" si="94">MOD($F6+AD31,$H$2)</f>
        <v>23</v>
      </c>
      <c r="AF31" s="264"/>
      <c r="AG31" s="305"/>
      <c r="AH31" s="244"/>
      <c r="AI31" s="307"/>
      <c r="AJ31" s="226">
        <v>1</v>
      </c>
      <c r="AK31" s="59">
        <f t="shared" ref="AK31:AK38" si="95">IF(AF31="", AC31,IF(AF31=MAX(AF$31:AF$38),AC31+1,0))</f>
        <v>1</v>
      </c>
      <c r="AL31" s="254">
        <f t="shared" ref="AL31:AL38" si="96">(AK31+$B$29)*$H$3</f>
        <v>240</v>
      </c>
      <c r="AM31" s="263">
        <f t="shared" ref="AM31:AM38" si="97">MOD($F6+AL31,$H$2)</f>
        <v>23</v>
      </c>
      <c r="AN31" s="264"/>
      <c r="AO31" s="301"/>
      <c r="AP31" s="226">
        <v>1</v>
      </c>
      <c r="AQ31" s="59">
        <f t="shared" ref="AQ31:AQ38" si="98">IF(AN31="", AK31,IF(AN31=MAX(AN$31:AN$38),AK31+1,0))</f>
        <v>1</v>
      </c>
      <c r="AR31" s="254">
        <f t="shared" ref="AR31:AR38" si="99">(AQ31+$B$29)*$H$3</f>
        <v>240</v>
      </c>
      <c r="AS31" s="263">
        <f t="shared" ref="AS31:AS38" si="100">MOD($F6+AR31,$H$2)</f>
        <v>23</v>
      </c>
      <c r="AT31" s="264">
        <v>20</v>
      </c>
      <c r="AU31" s="301"/>
      <c r="AV31" s="226">
        <v>1</v>
      </c>
      <c r="AW31" s="59">
        <f t="shared" ref="AW31:AW38" si="101">IF(AT31="", AQ31,IF(AT31=MAX(AT$31:AT$38),AQ31+1,0))</f>
        <v>2</v>
      </c>
      <c r="AX31" s="254">
        <f t="shared" ref="AX31:AX38" si="102">(AW31+$B$29)*$H$3</f>
        <v>248</v>
      </c>
      <c r="AY31" s="263">
        <f t="shared" ref="AY31:AY38" si="103">MOD($F6+AX31,$H$2)</f>
        <v>31</v>
      </c>
      <c r="AZ31" s="264"/>
      <c r="BA31" s="305"/>
      <c r="BB31" s="244"/>
      <c r="BC31" s="307"/>
      <c r="BD31" s="226">
        <v>1</v>
      </c>
      <c r="BE31" s="59">
        <f t="shared" ref="BE31:BE38" si="104">IF(AZ31="", AW31,IF(AZ31=MAX(AZ$31:AZ$38),AW31+1,0))</f>
        <v>2</v>
      </c>
      <c r="BF31" s="254">
        <f t="shared" ref="BF31:BF38" si="105">(BE31+$B$29)*$H$3</f>
        <v>248</v>
      </c>
      <c r="BG31" s="263">
        <f t="shared" ref="BG31:BG38" si="106">MOD($F6+BF31,$H$2)</f>
        <v>31</v>
      </c>
      <c r="BH31" s="264"/>
      <c r="BI31" s="301"/>
      <c r="BJ31" s="226">
        <v>1</v>
      </c>
      <c r="BK31" s="59">
        <f t="shared" ref="BK31:BK38" si="107">IF(BH31="", BE31,IF(BH31=MAX(BH$31:BH$38),BE31+1,0))</f>
        <v>2</v>
      </c>
      <c r="BL31" s="254">
        <f t="shared" ref="BL31:BL38" si="108">(BK31+$B$29)*$H$3</f>
        <v>248</v>
      </c>
      <c r="BM31" s="263">
        <f t="shared" ref="BM31:BM38" si="109">MOD($F6+BL31,$H$2)</f>
        <v>31</v>
      </c>
      <c r="BN31" s="264"/>
      <c r="BO31" s="301"/>
      <c r="BP31" s="226">
        <v>1</v>
      </c>
      <c r="BQ31" s="59">
        <f t="shared" ref="BQ31:BQ38" si="110">IF(BN31="", BK31,IF(BN31=MAX(BN$31:BN$38),BK31+1,0))</f>
        <v>2</v>
      </c>
      <c r="BR31" s="254">
        <f t="shared" ref="BR31:BR38" si="111">(BQ31+$B$29)*$H$3</f>
        <v>248</v>
      </c>
      <c r="BS31" s="263">
        <f t="shared" ref="BS31:BS38" si="112">MOD($F6+BR31,$H$2)</f>
        <v>31</v>
      </c>
      <c r="BT31" s="264"/>
      <c r="BU31" s="305"/>
      <c r="BV31" s="244"/>
      <c r="BW31" s="307"/>
      <c r="BX31" s="226">
        <v>1</v>
      </c>
      <c r="BY31" s="59">
        <f t="shared" ref="BY31:BY38" si="113">IF(BT31="", BQ31,IF(BT31=MAX(BT$31:BT$38),BQ31+1,0))</f>
        <v>2</v>
      </c>
      <c r="BZ31" s="254">
        <f t="shared" ref="BZ31:BZ38" si="114">(BY31+$B$29)*$H$3</f>
        <v>248</v>
      </c>
      <c r="CA31" s="263">
        <f t="shared" ref="CA31:CA38" si="115">MOD($F6+BZ31,$H$2)</f>
        <v>31</v>
      </c>
      <c r="CB31" s="264"/>
      <c r="CC31" s="301"/>
      <c r="CD31" s="226">
        <v>1</v>
      </c>
      <c r="CE31" s="59">
        <f t="shared" ref="CE31:CE38" si="116">IF(CB31="", BY31,IF(CB31=MAX(CB$31:CB$38),BY31+1,0))</f>
        <v>2</v>
      </c>
      <c r="CF31" s="254">
        <f t="shared" ref="CF31:CF38" si="117">(CE31+$B$29)*$H$3</f>
        <v>248</v>
      </c>
      <c r="CG31" s="263">
        <f t="shared" ref="CG31:CG38" si="118">MOD($F6+CF31,$H$2)</f>
        <v>31</v>
      </c>
      <c r="CH31" s="264"/>
      <c r="CI31" s="301"/>
      <c r="CJ31" s="226">
        <v>1</v>
      </c>
      <c r="CK31" s="59">
        <f t="shared" ref="CK31:CK38" si="119">IF(CH31="", CE31,IF(CH31=MAX(CH$31:CH$38),CE31+1,0))</f>
        <v>2</v>
      </c>
      <c r="CL31" s="254">
        <f t="shared" ref="CL31:CL38" si="120">(CK31+$B$29)*$H$3</f>
        <v>248</v>
      </c>
      <c r="CM31" s="263">
        <f t="shared" ref="CM31:CM38" si="121">MOD($F6+CL31,$H$2)</f>
        <v>31</v>
      </c>
      <c r="CN31" s="264"/>
      <c r="CO31" s="301"/>
      <c r="CP31" s="226">
        <v>1</v>
      </c>
      <c r="CQ31" s="59">
        <f t="shared" ref="CQ31:CQ38" si="122">IF(CN31="", CK31,IF(CN31=MAX(CN$31:CN$38),CK31+1,0))</f>
        <v>2</v>
      </c>
      <c r="CR31" s="254">
        <f t="shared" ref="CR31:CR38" si="123">(CQ31+$B$29)*$H$3</f>
        <v>248</v>
      </c>
      <c r="CS31" s="263">
        <f t="shared" ref="CS31:CS38" si="124">MOD($F6+CR31,$H$2)</f>
        <v>31</v>
      </c>
      <c r="CT31" s="264"/>
      <c r="CU31" s="305"/>
      <c r="CV31" s="244"/>
      <c r="CW31" s="307"/>
      <c r="CX31" s="226">
        <v>1</v>
      </c>
      <c r="CY31" s="59">
        <f t="shared" ref="CY31:CY38" si="125">IF(CT31="", CQ31,IF(CT31=MAX(CT$31:CT$38),CQ31+1,0))</f>
        <v>2</v>
      </c>
      <c r="CZ31" s="254">
        <f t="shared" ref="CZ31:CZ38" si="126">(CY31+$B$29)*$H$3</f>
        <v>248</v>
      </c>
      <c r="DA31" s="263">
        <f t="shared" ref="DA31:DA38" si="127">MOD($F6+CZ31,$H$2)</f>
        <v>31</v>
      </c>
      <c r="DB31" s="264"/>
      <c r="DC31" s="301"/>
      <c r="DD31" s="226">
        <v>1</v>
      </c>
      <c r="DE31" s="59">
        <f t="shared" ref="DE31:DE38" si="128">IF(DB31="", CY31,IF(DB31=MAX(DB$31:DB$38),CY31+1,0))</f>
        <v>2</v>
      </c>
      <c r="DF31" s="254">
        <f t="shared" ref="DF31:DF38" si="129">(DE31+$B$29)*$H$3</f>
        <v>248</v>
      </c>
      <c r="DG31" s="263">
        <f t="shared" ref="DG31:DG38" si="130">MOD($F6+DF31,$H$2)</f>
        <v>31</v>
      </c>
      <c r="DH31" s="264"/>
      <c r="DI31" s="301"/>
      <c r="DJ31" s="226">
        <v>1</v>
      </c>
      <c r="DK31" s="59">
        <f t="shared" ref="DK31:DK38" si="131">IF(DH31="", DE31,IF(DH31=MAX(DH$31:DH$38),DE31+1,0))</f>
        <v>2</v>
      </c>
      <c r="DL31" s="254">
        <f t="shared" ref="DL31:DL38" si="132">(DK31+$B$29)*$H$3</f>
        <v>248</v>
      </c>
      <c r="DM31" s="263">
        <f t="shared" ref="DM31:DM38" si="133">MOD($F6+DL31,$H$2)</f>
        <v>31</v>
      </c>
      <c r="DN31" s="264"/>
      <c r="DO31" s="301"/>
      <c r="DP31" s="226">
        <v>1</v>
      </c>
      <c r="DQ31" s="59">
        <f t="shared" ref="DQ31:DQ38" si="134">IF(DN31="", DK31,IF(DN31=MAX(DN$31:DN$38),DK31+1,0))</f>
        <v>2</v>
      </c>
      <c r="DR31" s="254">
        <f t="shared" ref="DR31:DR38" si="135">(DQ31+$B$29)*$H$3</f>
        <v>248</v>
      </c>
      <c r="DS31" s="263">
        <f t="shared" ref="DS31:DS38" si="136">MOD($F6+DR31,$H$2)</f>
        <v>31</v>
      </c>
      <c r="DT31" s="264"/>
      <c r="DU31" s="305"/>
      <c r="DV31" s="244"/>
      <c r="DW31" s="307"/>
      <c r="DX31" s="226">
        <v>1</v>
      </c>
      <c r="DY31" s="59">
        <f t="shared" ref="DY31:DY38" si="137">IF(DN31="", DK31,IF(DN31=MAX(DN$31:DN$38),DK31+1,0))</f>
        <v>2</v>
      </c>
      <c r="DZ31" s="254">
        <f t="shared" ref="DZ31:DZ38" si="138">(DY31+$B$29)*$H$3</f>
        <v>248</v>
      </c>
      <c r="EA31" s="263">
        <f t="shared" ref="EA31:EA38" si="139">MOD($F6+DZ31,$H$2)</f>
        <v>31</v>
      </c>
      <c r="EB31" s="264"/>
      <c r="EC31" s="301"/>
      <c r="ED31" s="226">
        <v>1</v>
      </c>
      <c r="EE31" s="59">
        <f t="shared" ref="EE31:EE38" si="140">IF(EB31="", DY31,IF(EB31=MAX(EB$31:EB$38),DY31+1,0))</f>
        <v>2</v>
      </c>
      <c r="EF31" s="254">
        <f t="shared" ref="EF31:EF38" si="141">(EE31+$B$29)*$H$3</f>
        <v>248</v>
      </c>
      <c r="EG31" s="263">
        <f t="shared" ref="EG31:EG38" si="142">MOD($F6+EF31,$H$2)</f>
        <v>31</v>
      </c>
      <c r="EH31" s="264"/>
      <c r="EI31" s="301"/>
      <c r="EJ31" s="226">
        <v>1</v>
      </c>
      <c r="EK31" s="59">
        <f t="shared" ref="EK31:EK38" si="143">IF(EH31="", EE31,IF(EH31=MAX(EH$31:EH$38),EE31+1,0))</f>
        <v>2</v>
      </c>
      <c r="EL31" s="254">
        <f t="shared" ref="EL31:EL38" si="144">(EK31+$B$29)*$H$3</f>
        <v>248</v>
      </c>
      <c r="EM31" s="263">
        <f t="shared" ref="EM31:EM38" si="145">MOD($F6+EL31,$H$2)</f>
        <v>31</v>
      </c>
      <c r="EN31" s="264"/>
      <c r="EO31" s="305"/>
      <c r="EP31" s="244"/>
      <c r="EQ31" s="307"/>
      <c r="ER31" s="226">
        <v>1</v>
      </c>
      <c r="ES31" s="59">
        <f t="shared" ref="ES31:ES38" si="146">IF(EN31="", EK31,IF(EN31=MAX(EN$31:EN$38),EK31+1,0))</f>
        <v>2</v>
      </c>
      <c r="ET31" s="254">
        <f t="shared" ref="ET31:ET38" si="147">(ES31+$B$29)*$H$3</f>
        <v>248</v>
      </c>
      <c r="EU31" s="263">
        <f t="shared" ref="EU31:EU38" si="148">MOD($F6+ET31,$H$2)</f>
        <v>31</v>
      </c>
      <c r="EV31" s="264"/>
      <c r="EW31" s="301"/>
      <c r="EX31" s="226">
        <v>1</v>
      </c>
      <c r="EY31" s="59">
        <f t="shared" ref="EY31:EY38" si="149">IF(EV31="", ES31,IF(EV31=MAX(EV$31:EV$38),ES31+1,0))</f>
        <v>2</v>
      </c>
      <c r="EZ31" s="254">
        <f t="shared" ref="EZ31:EZ38" si="150">(EY31+$B$29)*$H$3</f>
        <v>248</v>
      </c>
      <c r="FA31" s="263">
        <f t="shared" ref="FA31:FA38" si="151">MOD($F6+EZ31,$H$2)</f>
        <v>31</v>
      </c>
      <c r="FB31" s="264"/>
      <c r="FC31" s="301"/>
      <c r="FD31" s="226">
        <v>1</v>
      </c>
      <c r="FE31" s="59">
        <f t="shared" ref="FE31:FE38" si="152">IF(FB31="", EY31,IF(FB31=MAX(FB$31:FB$38),EY31+1,0))</f>
        <v>2</v>
      </c>
      <c r="FF31" s="254">
        <f t="shared" ref="FF31:FF38" si="153">(FE31+$B$29)*$H$3</f>
        <v>248</v>
      </c>
      <c r="FG31" s="263">
        <f t="shared" ref="FG31:FG38" si="154">MOD($F6+FF31,$H$2)</f>
        <v>31</v>
      </c>
      <c r="FH31" s="264"/>
      <c r="FI31" s="301"/>
      <c r="FJ31" s="226">
        <v>1</v>
      </c>
      <c r="FK31" s="59">
        <f t="shared" ref="FK31:FK38" si="155">IF(FH31="", FE31,IF(FH31=MAX(FH$31:FH$38),FE31+1,0))</f>
        <v>2</v>
      </c>
      <c r="FL31" s="254">
        <f t="shared" ref="FL31:FL38" si="156">(FK31+$B$29)*$H$3</f>
        <v>248</v>
      </c>
      <c r="FM31" s="263">
        <f t="shared" ref="FM31:FM38" si="157">MOD($F6+FL31,$H$2)</f>
        <v>31</v>
      </c>
      <c r="FN31" s="264"/>
      <c r="FO31" s="305"/>
      <c r="FP31" s="244"/>
    </row>
    <row r="32" spans="1:172" s="181" customFormat="1" ht="17" x14ac:dyDescent="0.45">
      <c r="A32" s="307"/>
      <c r="B32" s="252">
        <v>2</v>
      </c>
      <c r="C32" s="59">
        <v>0</v>
      </c>
      <c r="D32" s="254">
        <f t="shared" si="81"/>
        <v>232</v>
      </c>
      <c r="E32" s="263">
        <f t="shared" si="82"/>
        <v>11</v>
      </c>
      <c r="F32" s="252">
        <v>15</v>
      </c>
      <c r="G32" s="301"/>
      <c r="H32" s="252">
        <v>2</v>
      </c>
      <c r="I32" s="253">
        <f t="shared" si="83"/>
        <v>0</v>
      </c>
      <c r="J32" s="254">
        <f t="shared" si="84"/>
        <v>232</v>
      </c>
      <c r="K32" s="263">
        <f t="shared" si="85"/>
        <v>11</v>
      </c>
      <c r="L32" s="252"/>
      <c r="M32" s="305"/>
      <c r="N32" s="244"/>
      <c r="O32" s="307"/>
      <c r="P32" s="252">
        <v>2</v>
      </c>
      <c r="Q32" s="253">
        <f t="shared" si="86"/>
        <v>0</v>
      </c>
      <c r="R32" s="254">
        <f t="shared" si="87"/>
        <v>232</v>
      </c>
      <c r="S32" s="263">
        <f t="shared" si="88"/>
        <v>11</v>
      </c>
      <c r="T32" s="252"/>
      <c r="U32" s="301"/>
      <c r="V32" s="252">
        <v>2</v>
      </c>
      <c r="W32" s="253">
        <f t="shared" si="89"/>
        <v>0</v>
      </c>
      <c r="X32" s="254">
        <f t="shared" si="90"/>
        <v>232</v>
      </c>
      <c r="Y32" s="263">
        <f t="shared" si="91"/>
        <v>11</v>
      </c>
      <c r="Z32" s="252"/>
      <c r="AA32" s="301"/>
      <c r="AB32" s="252">
        <v>2</v>
      </c>
      <c r="AC32" s="253">
        <f t="shared" si="92"/>
        <v>0</v>
      </c>
      <c r="AD32" s="254">
        <f t="shared" si="93"/>
        <v>232</v>
      </c>
      <c r="AE32" s="263">
        <f t="shared" si="94"/>
        <v>11</v>
      </c>
      <c r="AF32" s="252">
        <v>23</v>
      </c>
      <c r="AG32" s="305"/>
      <c r="AH32" s="244"/>
      <c r="AI32" s="307"/>
      <c r="AJ32" s="252">
        <v>2</v>
      </c>
      <c r="AK32" s="253">
        <f t="shared" si="95"/>
        <v>0</v>
      </c>
      <c r="AL32" s="254">
        <f t="shared" si="96"/>
        <v>232</v>
      </c>
      <c r="AM32" s="263">
        <f t="shared" si="97"/>
        <v>11</v>
      </c>
      <c r="AN32" s="252">
        <v>9</v>
      </c>
      <c r="AO32" s="301"/>
      <c r="AP32" s="252">
        <v>2</v>
      </c>
      <c r="AQ32" s="253">
        <f t="shared" si="98"/>
        <v>0</v>
      </c>
      <c r="AR32" s="254">
        <f t="shared" si="99"/>
        <v>232</v>
      </c>
      <c r="AS32" s="263">
        <f t="shared" si="100"/>
        <v>11</v>
      </c>
      <c r="AT32" s="252">
        <v>19</v>
      </c>
      <c r="AU32" s="301"/>
      <c r="AV32" s="252">
        <v>2</v>
      </c>
      <c r="AW32" s="253">
        <f t="shared" si="101"/>
        <v>0</v>
      </c>
      <c r="AX32" s="254">
        <f t="shared" si="102"/>
        <v>232</v>
      </c>
      <c r="AY32" s="263">
        <f t="shared" si="103"/>
        <v>11</v>
      </c>
      <c r="AZ32" s="252"/>
      <c r="BA32" s="305"/>
      <c r="BB32" s="244"/>
      <c r="BC32" s="307"/>
      <c r="BD32" s="252">
        <v>2</v>
      </c>
      <c r="BE32" s="253">
        <f t="shared" si="104"/>
        <v>0</v>
      </c>
      <c r="BF32" s="254">
        <f t="shared" si="105"/>
        <v>232</v>
      </c>
      <c r="BG32" s="263">
        <f t="shared" si="106"/>
        <v>11</v>
      </c>
      <c r="BH32" s="252"/>
      <c r="BI32" s="301"/>
      <c r="BJ32" s="252">
        <v>2</v>
      </c>
      <c r="BK32" s="253">
        <f t="shared" si="107"/>
        <v>0</v>
      </c>
      <c r="BL32" s="254">
        <f t="shared" si="108"/>
        <v>232</v>
      </c>
      <c r="BM32" s="263">
        <f t="shared" si="109"/>
        <v>11</v>
      </c>
      <c r="BN32" s="252"/>
      <c r="BO32" s="301"/>
      <c r="BP32" s="252">
        <v>2</v>
      </c>
      <c r="BQ32" s="253">
        <f t="shared" si="110"/>
        <v>0</v>
      </c>
      <c r="BR32" s="254">
        <f t="shared" si="111"/>
        <v>232</v>
      </c>
      <c r="BS32" s="263">
        <f t="shared" si="112"/>
        <v>11</v>
      </c>
      <c r="BT32" s="252">
        <v>17</v>
      </c>
      <c r="BU32" s="305"/>
      <c r="BV32" s="244"/>
      <c r="BW32" s="307"/>
      <c r="BX32" s="252">
        <v>2</v>
      </c>
      <c r="BY32" s="253">
        <f t="shared" si="113"/>
        <v>0</v>
      </c>
      <c r="BZ32" s="254">
        <f t="shared" si="114"/>
        <v>232</v>
      </c>
      <c r="CA32" s="263">
        <f t="shared" si="115"/>
        <v>11</v>
      </c>
      <c r="CB32" s="252"/>
      <c r="CC32" s="301"/>
      <c r="CD32" s="252">
        <v>2</v>
      </c>
      <c r="CE32" s="253">
        <f t="shared" si="116"/>
        <v>0</v>
      </c>
      <c r="CF32" s="254">
        <f t="shared" si="117"/>
        <v>232</v>
      </c>
      <c r="CG32" s="263">
        <f t="shared" si="118"/>
        <v>11</v>
      </c>
      <c r="CH32" s="252"/>
      <c r="CI32" s="301"/>
      <c r="CJ32" s="252">
        <v>2</v>
      </c>
      <c r="CK32" s="253">
        <f t="shared" si="119"/>
        <v>0</v>
      </c>
      <c r="CL32" s="254">
        <f t="shared" si="120"/>
        <v>232</v>
      </c>
      <c r="CM32" s="263">
        <f t="shared" si="121"/>
        <v>11</v>
      </c>
      <c r="CN32" s="252"/>
      <c r="CO32" s="301"/>
      <c r="CP32" s="252">
        <v>2</v>
      </c>
      <c r="CQ32" s="253">
        <f t="shared" si="122"/>
        <v>0</v>
      </c>
      <c r="CR32" s="254">
        <f t="shared" si="123"/>
        <v>232</v>
      </c>
      <c r="CS32" s="263">
        <f t="shared" si="124"/>
        <v>11</v>
      </c>
      <c r="CT32" s="252"/>
      <c r="CU32" s="305"/>
      <c r="CV32" s="244"/>
      <c r="CW32" s="307"/>
      <c r="CX32" s="252">
        <v>2</v>
      </c>
      <c r="CY32" s="253">
        <f t="shared" si="125"/>
        <v>0</v>
      </c>
      <c r="CZ32" s="254">
        <f t="shared" si="126"/>
        <v>232</v>
      </c>
      <c r="DA32" s="263">
        <f t="shared" si="127"/>
        <v>11</v>
      </c>
      <c r="DB32" s="252"/>
      <c r="DC32" s="301"/>
      <c r="DD32" s="252">
        <v>2</v>
      </c>
      <c r="DE32" s="253">
        <f t="shared" si="128"/>
        <v>0</v>
      </c>
      <c r="DF32" s="254">
        <f t="shared" si="129"/>
        <v>232</v>
      </c>
      <c r="DG32" s="263">
        <f t="shared" si="130"/>
        <v>11</v>
      </c>
      <c r="DH32" s="252"/>
      <c r="DI32" s="301"/>
      <c r="DJ32" s="252">
        <v>2</v>
      </c>
      <c r="DK32" s="253">
        <f t="shared" si="131"/>
        <v>0</v>
      </c>
      <c r="DL32" s="254">
        <f t="shared" si="132"/>
        <v>232</v>
      </c>
      <c r="DM32" s="263">
        <f t="shared" si="133"/>
        <v>11</v>
      </c>
      <c r="DN32" s="252"/>
      <c r="DO32" s="301"/>
      <c r="DP32" s="252">
        <v>2</v>
      </c>
      <c r="DQ32" s="253">
        <f t="shared" si="134"/>
        <v>0</v>
      </c>
      <c r="DR32" s="254">
        <f t="shared" si="135"/>
        <v>232</v>
      </c>
      <c r="DS32" s="263">
        <f t="shared" si="136"/>
        <v>11</v>
      </c>
      <c r="DT32" s="252"/>
      <c r="DU32" s="305"/>
      <c r="DV32" s="244"/>
      <c r="DW32" s="307"/>
      <c r="DX32" s="252">
        <v>2</v>
      </c>
      <c r="DY32" s="253">
        <f t="shared" si="137"/>
        <v>0</v>
      </c>
      <c r="DZ32" s="254">
        <f t="shared" si="138"/>
        <v>232</v>
      </c>
      <c r="EA32" s="263">
        <f t="shared" si="139"/>
        <v>11</v>
      </c>
      <c r="EB32" s="252"/>
      <c r="EC32" s="301"/>
      <c r="ED32" s="252">
        <v>2</v>
      </c>
      <c r="EE32" s="253">
        <f t="shared" si="140"/>
        <v>0</v>
      </c>
      <c r="EF32" s="254">
        <f t="shared" si="141"/>
        <v>232</v>
      </c>
      <c r="EG32" s="263">
        <f t="shared" si="142"/>
        <v>11</v>
      </c>
      <c r="EH32" s="252"/>
      <c r="EI32" s="301"/>
      <c r="EJ32" s="252">
        <v>2</v>
      </c>
      <c r="EK32" s="253">
        <f t="shared" si="143"/>
        <v>0</v>
      </c>
      <c r="EL32" s="254">
        <f t="shared" si="144"/>
        <v>232</v>
      </c>
      <c r="EM32" s="263">
        <f t="shared" si="145"/>
        <v>11</v>
      </c>
      <c r="EN32" s="252"/>
      <c r="EO32" s="305"/>
      <c r="EP32" s="244"/>
      <c r="EQ32" s="307"/>
      <c r="ER32" s="252">
        <v>2</v>
      </c>
      <c r="ES32" s="253">
        <f t="shared" si="146"/>
        <v>0</v>
      </c>
      <c r="ET32" s="254">
        <f t="shared" si="147"/>
        <v>232</v>
      </c>
      <c r="EU32" s="263">
        <f t="shared" si="148"/>
        <v>11</v>
      </c>
      <c r="EV32" s="252"/>
      <c r="EW32" s="301"/>
      <c r="EX32" s="252">
        <v>2</v>
      </c>
      <c r="EY32" s="253">
        <f t="shared" si="149"/>
        <v>0</v>
      </c>
      <c r="EZ32" s="254">
        <f t="shared" si="150"/>
        <v>232</v>
      </c>
      <c r="FA32" s="263">
        <f t="shared" si="151"/>
        <v>11</v>
      </c>
      <c r="FB32" s="252"/>
      <c r="FC32" s="301"/>
      <c r="FD32" s="252">
        <v>2</v>
      </c>
      <c r="FE32" s="253">
        <f t="shared" si="152"/>
        <v>0</v>
      </c>
      <c r="FF32" s="254">
        <f t="shared" si="153"/>
        <v>232</v>
      </c>
      <c r="FG32" s="263">
        <f t="shared" si="154"/>
        <v>11</v>
      </c>
      <c r="FH32" s="252"/>
      <c r="FI32" s="301"/>
      <c r="FJ32" s="252">
        <v>2</v>
      </c>
      <c r="FK32" s="253">
        <f t="shared" si="155"/>
        <v>0</v>
      </c>
      <c r="FL32" s="254">
        <f t="shared" si="156"/>
        <v>232</v>
      </c>
      <c r="FM32" s="263">
        <f t="shared" si="157"/>
        <v>11</v>
      </c>
      <c r="FN32" s="252"/>
      <c r="FO32" s="305"/>
      <c r="FP32" s="244"/>
    </row>
    <row r="33" spans="1:172" s="71" customFormat="1" ht="17" x14ac:dyDescent="0.45">
      <c r="A33" s="307"/>
      <c r="B33" s="226">
        <v>3</v>
      </c>
      <c r="C33" s="59">
        <v>0</v>
      </c>
      <c r="D33" s="254">
        <f t="shared" si="81"/>
        <v>232</v>
      </c>
      <c r="E33" s="263">
        <f t="shared" si="82"/>
        <v>22</v>
      </c>
      <c r="F33" s="248"/>
      <c r="G33" s="301"/>
      <c r="H33" s="226">
        <v>3</v>
      </c>
      <c r="I33" s="59">
        <f t="shared" si="83"/>
        <v>0</v>
      </c>
      <c r="J33" s="254">
        <f t="shared" si="84"/>
        <v>232</v>
      </c>
      <c r="K33" s="263">
        <f t="shared" si="85"/>
        <v>22</v>
      </c>
      <c r="L33" s="248"/>
      <c r="M33" s="305"/>
      <c r="N33" s="244"/>
      <c r="O33" s="307"/>
      <c r="P33" s="226">
        <v>3</v>
      </c>
      <c r="Q33" s="59">
        <f t="shared" si="86"/>
        <v>0</v>
      </c>
      <c r="R33" s="254">
        <f t="shared" si="87"/>
        <v>232</v>
      </c>
      <c r="S33" s="263">
        <f t="shared" si="88"/>
        <v>22</v>
      </c>
      <c r="T33" s="248"/>
      <c r="U33" s="301"/>
      <c r="V33" s="226">
        <v>3</v>
      </c>
      <c r="W33" s="59">
        <f t="shared" si="89"/>
        <v>0</v>
      </c>
      <c r="X33" s="254">
        <f t="shared" si="90"/>
        <v>232</v>
      </c>
      <c r="Y33" s="263">
        <f t="shared" si="91"/>
        <v>22</v>
      </c>
      <c r="Z33" s="248"/>
      <c r="AA33" s="301"/>
      <c r="AB33" s="226">
        <v>3</v>
      </c>
      <c r="AC33" s="59">
        <f t="shared" si="92"/>
        <v>0</v>
      </c>
      <c r="AD33" s="254">
        <f t="shared" si="93"/>
        <v>232</v>
      </c>
      <c r="AE33" s="263">
        <f t="shared" si="94"/>
        <v>22</v>
      </c>
      <c r="AF33" s="248">
        <v>24</v>
      </c>
      <c r="AG33" s="305"/>
      <c r="AH33" s="244"/>
      <c r="AI33" s="307"/>
      <c r="AJ33" s="226">
        <v>3</v>
      </c>
      <c r="AK33" s="59">
        <f t="shared" si="95"/>
        <v>1</v>
      </c>
      <c r="AL33" s="254">
        <f t="shared" si="96"/>
        <v>240</v>
      </c>
      <c r="AM33" s="263">
        <f t="shared" si="97"/>
        <v>30</v>
      </c>
      <c r="AN33" s="248"/>
      <c r="AO33" s="301"/>
      <c r="AP33" s="226">
        <v>3</v>
      </c>
      <c r="AQ33" s="59">
        <f t="shared" si="98"/>
        <v>1</v>
      </c>
      <c r="AR33" s="254">
        <f t="shared" si="99"/>
        <v>240</v>
      </c>
      <c r="AS33" s="263">
        <f t="shared" si="100"/>
        <v>30</v>
      </c>
      <c r="AT33" s="248"/>
      <c r="AU33" s="301"/>
      <c r="AV33" s="226">
        <v>3</v>
      </c>
      <c r="AW33" s="59">
        <f t="shared" si="101"/>
        <v>1</v>
      </c>
      <c r="AX33" s="254">
        <f t="shared" si="102"/>
        <v>240</v>
      </c>
      <c r="AY33" s="263">
        <f t="shared" si="103"/>
        <v>30</v>
      </c>
      <c r="AZ33" s="248"/>
      <c r="BA33" s="305"/>
      <c r="BB33" s="244"/>
      <c r="BC33" s="307"/>
      <c r="BD33" s="226">
        <v>3</v>
      </c>
      <c r="BE33" s="59">
        <f t="shared" si="104"/>
        <v>1</v>
      </c>
      <c r="BF33" s="254">
        <f t="shared" si="105"/>
        <v>240</v>
      </c>
      <c r="BG33" s="263">
        <f t="shared" si="106"/>
        <v>30</v>
      </c>
      <c r="BH33" s="248"/>
      <c r="BI33" s="301"/>
      <c r="BJ33" s="226">
        <v>3</v>
      </c>
      <c r="BK33" s="59">
        <f t="shared" si="107"/>
        <v>1</v>
      </c>
      <c r="BL33" s="254">
        <f t="shared" si="108"/>
        <v>240</v>
      </c>
      <c r="BM33" s="263">
        <f t="shared" si="109"/>
        <v>30</v>
      </c>
      <c r="BN33" s="248"/>
      <c r="BO33" s="301"/>
      <c r="BP33" s="226">
        <v>3</v>
      </c>
      <c r="BQ33" s="59">
        <f t="shared" si="110"/>
        <v>1</v>
      </c>
      <c r="BR33" s="254">
        <f t="shared" si="111"/>
        <v>240</v>
      </c>
      <c r="BS33" s="263">
        <f t="shared" si="112"/>
        <v>30</v>
      </c>
      <c r="BT33" s="248"/>
      <c r="BU33" s="305"/>
      <c r="BV33" s="244"/>
      <c r="BW33" s="307"/>
      <c r="BX33" s="226">
        <v>3</v>
      </c>
      <c r="BY33" s="59">
        <f t="shared" si="113"/>
        <v>1</v>
      </c>
      <c r="BZ33" s="254">
        <f t="shared" si="114"/>
        <v>240</v>
      </c>
      <c r="CA33" s="263">
        <f t="shared" si="115"/>
        <v>30</v>
      </c>
      <c r="CB33" s="248"/>
      <c r="CC33" s="301"/>
      <c r="CD33" s="226">
        <v>3</v>
      </c>
      <c r="CE33" s="59">
        <f t="shared" si="116"/>
        <v>1</v>
      </c>
      <c r="CF33" s="254">
        <f t="shared" si="117"/>
        <v>240</v>
      </c>
      <c r="CG33" s="263">
        <f t="shared" si="118"/>
        <v>30</v>
      </c>
      <c r="CH33" s="248"/>
      <c r="CI33" s="301"/>
      <c r="CJ33" s="226">
        <v>3</v>
      </c>
      <c r="CK33" s="59">
        <f t="shared" si="119"/>
        <v>1</v>
      </c>
      <c r="CL33" s="254">
        <f t="shared" si="120"/>
        <v>240</v>
      </c>
      <c r="CM33" s="263">
        <f t="shared" si="121"/>
        <v>30</v>
      </c>
      <c r="CN33" s="248"/>
      <c r="CO33" s="301"/>
      <c r="CP33" s="226">
        <v>3</v>
      </c>
      <c r="CQ33" s="59">
        <f t="shared" si="122"/>
        <v>1</v>
      </c>
      <c r="CR33" s="254">
        <f t="shared" si="123"/>
        <v>240</v>
      </c>
      <c r="CS33" s="263">
        <f t="shared" si="124"/>
        <v>30</v>
      </c>
      <c r="CT33" s="248"/>
      <c r="CU33" s="305"/>
      <c r="CV33" s="244"/>
      <c r="CW33" s="307"/>
      <c r="CX33" s="226">
        <v>3</v>
      </c>
      <c r="CY33" s="59">
        <f t="shared" si="125"/>
        <v>1</v>
      </c>
      <c r="CZ33" s="254">
        <f t="shared" si="126"/>
        <v>240</v>
      </c>
      <c r="DA33" s="263">
        <f t="shared" si="127"/>
        <v>30</v>
      </c>
      <c r="DB33" s="248"/>
      <c r="DC33" s="301"/>
      <c r="DD33" s="226">
        <v>3</v>
      </c>
      <c r="DE33" s="59">
        <f t="shared" si="128"/>
        <v>1</v>
      </c>
      <c r="DF33" s="254">
        <f t="shared" si="129"/>
        <v>240</v>
      </c>
      <c r="DG33" s="263">
        <f t="shared" si="130"/>
        <v>30</v>
      </c>
      <c r="DH33" s="248"/>
      <c r="DI33" s="301"/>
      <c r="DJ33" s="226">
        <v>3</v>
      </c>
      <c r="DK33" s="59">
        <f t="shared" si="131"/>
        <v>1</v>
      </c>
      <c r="DL33" s="254">
        <f t="shared" si="132"/>
        <v>240</v>
      </c>
      <c r="DM33" s="263">
        <f t="shared" si="133"/>
        <v>30</v>
      </c>
      <c r="DN33" s="248"/>
      <c r="DO33" s="301"/>
      <c r="DP33" s="226">
        <v>3</v>
      </c>
      <c r="DQ33" s="59">
        <f t="shared" si="134"/>
        <v>1</v>
      </c>
      <c r="DR33" s="254">
        <f t="shared" si="135"/>
        <v>240</v>
      </c>
      <c r="DS33" s="263">
        <f t="shared" si="136"/>
        <v>30</v>
      </c>
      <c r="DT33" s="248"/>
      <c r="DU33" s="305"/>
      <c r="DV33" s="244"/>
      <c r="DW33" s="307"/>
      <c r="DX33" s="226">
        <v>3</v>
      </c>
      <c r="DY33" s="59">
        <f t="shared" si="137"/>
        <v>1</v>
      </c>
      <c r="DZ33" s="254">
        <f t="shared" si="138"/>
        <v>240</v>
      </c>
      <c r="EA33" s="263">
        <f t="shared" si="139"/>
        <v>30</v>
      </c>
      <c r="EB33" s="248"/>
      <c r="EC33" s="301"/>
      <c r="ED33" s="226">
        <v>3</v>
      </c>
      <c r="EE33" s="59">
        <f t="shared" si="140"/>
        <v>1</v>
      </c>
      <c r="EF33" s="254">
        <f t="shared" si="141"/>
        <v>240</v>
      </c>
      <c r="EG33" s="263">
        <f t="shared" si="142"/>
        <v>30</v>
      </c>
      <c r="EH33" s="248"/>
      <c r="EI33" s="301"/>
      <c r="EJ33" s="226">
        <v>3</v>
      </c>
      <c r="EK33" s="59">
        <f t="shared" si="143"/>
        <v>1</v>
      </c>
      <c r="EL33" s="254">
        <f t="shared" si="144"/>
        <v>240</v>
      </c>
      <c r="EM33" s="263">
        <f t="shared" si="145"/>
        <v>30</v>
      </c>
      <c r="EN33" s="248"/>
      <c r="EO33" s="305"/>
      <c r="EP33" s="244"/>
      <c r="EQ33" s="307"/>
      <c r="ER33" s="226">
        <v>3</v>
      </c>
      <c r="ES33" s="59">
        <f t="shared" si="146"/>
        <v>1</v>
      </c>
      <c r="ET33" s="254">
        <f t="shared" si="147"/>
        <v>240</v>
      </c>
      <c r="EU33" s="263">
        <f t="shared" si="148"/>
        <v>30</v>
      </c>
      <c r="EV33" s="248"/>
      <c r="EW33" s="301"/>
      <c r="EX33" s="226">
        <v>3</v>
      </c>
      <c r="EY33" s="59">
        <f t="shared" si="149"/>
        <v>1</v>
      </c>
      <c r="EZ33" s="254">
        <f t="shared" si="150"/>
        <v>240</v>
      </c>
      <c r="FA33" s="263">
        <f t="shared" si="151"/>
        <v>30</v>
      </c>
      <c r="FB33" s="248"/>
      <c r="FC33" s="301"/>
      <c r="FD33" s="226">
        <v>3</v>
      </c>
      <c r="FE33" s="59">
        <f t="shared" si="152"/>
        <v>1</v>
      </c>
      <c r="FF33" s="254">
        <f t="shared" si="153"/>
        <v>240</v>
      </c>
      <c r="FG33" s="263">
        <f t="shared" si="154"/>
        <v>30</v>
      </c>
      <c r="FH33" s="248"/>
      <c r="FI33" s="301"/>
      <c r="FJ33" s="226">
        <v>3</v>
      </c>
      <c r="FK33" s="59">
        <f t="shared" si="155"/>
        <v>1</v>
      </c>
      <c r="FL33" s="254">
        <f t="shared" si="156"/>
        <v>240</v>
      </c>
      <c r="FM33" s="263">
        <f t="shared" si="157"/>
        <v>30</v>
      </c>
      <c r="FN33" s="248"/>
      <c r="FO33" s="305"/>
      <c r="FP33" s="244"/>
    </row>
    <row r="34" spans="1:172" ht="17" x14ac:dyDescent="0.45">
      <c r="A34" s="307"/>
      <c r="B34" s="226">
        <v>4</v>
      </c>
      <c r="C34" s="59">
        <v>0</v>
      </c>
      <c r="D34" s="254">
        <f t="shared" si="81"/>
        <v>232</v>
      </c>
      <c r="E34" s="263">
        <f t="shared" si="82"/>
        <v>18</v>
      </c>
      <c r="F34" s="248"/>
      <c r="G34" s="301"/>
      <c r="H34" s="226">
        <v>4</v>
      </c>
      <c r="I34" s="59">
        <f t="shared" si="83"/>
        <v>0</v>
      </c>
      <c r="J34" s="254">
        <f t="shared" si="84"/>
        <v>232</v>
      </c>
      <c r="K34" s="263">
        <f t="shared" si="85"/>
        <v>18</v>
      </c>
      <c r="L34" s="248"/>
      <c r="M34" s="305"/>
      <c r="N34" s="244"/>
      <c r="O34" s="307"/>
      <c r="P34" s="226">
        <v>4</v>
      </c>
      <c r="Q34" s="59">
        <f t="shared" si="86"/>
        <v>0</v>
      </c>
      <c r="R34" s="254">
        <f t="shared" si="87"/>
        <v>232</v>
      </c>
      <c r="S34" s="263">
        <f t="shared" si="88"/>
        <v>18</v>
      </c>
      <c r="T34" s="248"/>
      <c r="U34" s="301"/>
      <c r="V34" s="226">
        <v>4</v>
      </c>
      <c r="W34" s="59">
        <f t="shared" si="89"/>
        <v>0</v>
      </c>
      <c r="X34" s="254">
        <f t="shared" si="90"/>
        <v>232</v>
      </c>
      <c r="Y34" s="263">
        <f t="shared" si="91"/>
        <v>18</v>
      </c>
      <c r="Z34" s="248"/>
      <c r="AA34" s="301"/>
      <c r="AB34" s="226">
        <v>4</v>
      </c>
      <c r="AC34" s="59">
        <f t="shared" si="92"/>
        <v>0</v>
      </c>
      <c r="AD34" s="254">
        <f t="shared" si="93"/>
        <v>232</v>
      </c>
      <c r="AE34" s="263">
        <f t="shared" si="94"/>
        <v>18</v>
      </c>
      <c r="AF34" s="248"/>
      <c r="AG34" s="305"/>
      <c r="AH34" s="244"/>
      <c r="AI34" s="307"/>
      <c r="AJ34" s="226">
        <v>4</v>
      </c>
      <c r="AK34" s="59">
        <f t="shared" si="95"/>
        <v>0</v>
      </c>
      <c r="AL34" s="254">
        <f t="shared" si="96"/>
        <v>232</v>
      </c>
      <c r="AM34" s="263">
        <f t="shared" si="97"/>
        <v>18</v>
      </c>
      <c r="AN34" s="248">
        <v>10</v>
      </c>
      <c r="AO34" s="301"/>
      <c r="AP34" s="226">
        <v>4</v>
      </c>
      <c r="AQ34" s="59">
        <f t="shared" si="98"/>
        <v>1</v>
      </c>
      <c r="AR34" s="254">
        <f t="shared" si="99"/>
        <v>240</v>
      </c>
      <c r="AS34" s="263">
        <f t="shared" si="100"/>
        <v>26</v>
      </c>
      <c r="AT34" s="248"/>
      <c r="AU34" s="301"/>
      <c r="AV34" s="226">
        <v>4</v>
      </c>
      <c r="AW34" s="59">
        <f t="shared" si="101"/>
        <v>1</v>
      </c>
      <c r="AX34" s="254">
        <f t="shared" si="102"/>
        <v>240</v>
      </c>
      <c r="AY34" s="263">
        <f t="shared" si="103"/>
        <v>26</v>
      </c>
      <c r="AZ34" s="248"/>
      <c r="BA34" s="305"/>
      <c r="BB34" s="244"/>
      <c r="BC34" s="307"/>
      <c r="BD34" s="226">
        <v>4</v>
      </c>
      <c r="BE34" s="59">
        <f t="shared" si="104"/>
        <v>1</v>
      </c>
      <c r="BF34" s="254">
        <f t="shared" si="105"/>
        <v>240</v>
      </c>
      <c r="BG34" s="263">
        <f t="shared" si="106"/>
        <v>26</v>
      </c>
      <c r="BH34" s="248"/>
      <c r="BI34" s="301"/>
      <c r="BJ34" s="226">
        <v>4</v>
      </c>
      <c r="BK34" s="59">
        <f t="shared" si="107"/>
        <v>1</v>
      </c>
      <c r="BL34" s="254">
        <f t="shared" si="108"/>
        <v>240</v>
      </c>
      <c r="BM34" s="263">
        <f t="shared" si="109"/>
        <v>26</v>
      </c>
      <c r="BN34" s="248"/>
      <c r="BO34" s="301"/>
      <c r="BP34" s="226">
        <v>4</v>
      </c>
      <c r="BQ34" s="59">
        <f t="shared" si="110"/>
        <v>1</v>
      </c>
      <c r="BR34" s="254">
        <f t="shared" si="111"/>
        <v>240</v>
      </c>
      <c r="BS34" s="263">
        <f t="shared" si="112"/>
        <v>26</v>
      </c>
      <c r="BT34" s="248"/>
      <c r="BU34" s="305"/>
      <c r="BV34" s="244"/>
      <c r="BW34" s="307"/>
      <c r="BX34" s="226">
        <v>4</v>
      </c>
      <c r="BY34" s="59">
        <f t="shared" si="113"/>
        <v>1</v>
      </c>
      <c r="BZ34" s="254">
        <f t="shared" si="114"/>
        <v>240</v>
      </c>
      <c r="CA34" s="263">
        <f t="shared" si="115"/>
        <v>26</v>
      </c>
      <c r="CB34" s="248"/>
      <c r="CC34" s="301"/>
      <c r="CD34" s="226">
        <v>4</v>
      </c>
      <c r="CE34" s="59">
        <f t="shared" si="116"/>
        <v>1</v>
      </c>
      <c r="CF34" s="254">
        <f t="shared" si="117"/>
        <v>240</v>
      </c>
      <c r="CG34" s="263">
        <f t="shared" si="118"/>
        <v>26</v>
      </c>
      <c r="CH34" s="248"/>
      <c r="CI34" s="301"/>
      <c r="CJ34" s="226">
        <v>4</v>
      </c>
      <c r="CK34" s="59">
        <f t="shared" si="119"/>
        <v>1</v>
      </c>
      <c r="CL34" s="254">
        <f t="shared" si="120"/>
        <v>240</v>
      </c>
      <c r="CM34" s="263">
        <f t="shared" si="121"/>
        <v>26</v>
      </c>
      <c r="CN34" s="248"/>
      <c r="CO34" s="301"/>
      <c r="CP34" s="226">
        <v>4</v>
      </c>
      <c r="CQ34" s="59">
        <f t="shared" si="122"/>
        <v>1</v>
      </c>
      <c r="CR34" s="254">
        <f t="shared" si="123"/>
        <v>240</v>
      </c>
      <c r="CS34" s="263">
        <f t="shared" si="124"/>
        <v>26</v>
      </c>
      <c r="CT34" s="248"/>
      <c r="CU34" s="305"/>
      <c r="CV34" s="244"/>
      <c r="CW34" s="307"/>
      <c r="CX34" s="226">
        <v>4</v>
      </c>
      <c r="CY34" s="59">
        <f t="shared" si="125"/>
        <v>1</v>
      </c>
      <c r="CZ34" s="254">
        <f t="shared" si="126"/>
        <v>240</v>
      </c>
      <c r="DA34" s="263">
        <f t="shared" si="127"/>
        <v>26</v>
      </c>
      <c r="DB34" s="248"/>
      <c r="DC34" s="301"/>
      <c r="DD34" s="226">
        <v>4</v>
      </c>
      <c r="DE34" s="59">
        <f t="shared" si="128"/>
        <v>1</v>
      </c>
      <c r="DF34" s="254">
        <f t="shared" si="129"/>
        <v>240</v>
      </c>
      <c r="DG34" s="263">
        <f t="shared" si="130"/>
        <v>26</v>
      </c>
      <c r="DH34" s="248"/>
      <c r="DI34" s="301"/>
      <c r="DJ34" s="226">
        <v>4</v>
      </c>
      <c r="DK34" s="59">
        <f t="shared" si="131"/>
        <v>1</v>
      </c>
      <c r="DL34" s="254">
        <f t="shared" si="132"/>
        <v>240</v>
      </c>
      <c r="DM34" s="263">
        <f t="shared" si="133"/>
        <v>26</v>
      </c>
      <c r="DN34" s="248"/>
      <c r="DO34" s="301"/>
      <c r="DP34" s="226">
        <v>4</v>
      </c>
      <c r="DQ34" s="59">
        <f t="shared" si="134"/>
        <v>1</v>
      </c>
      <c r="DR34" s="254">
        <f t="shared" si="135"/>
        <v>240</v>
      </c>
      <c r="DS34" s="263">
        <f t="shared" si="136"/>
        <v>26</v>
      </c>
      <c r="DT34" s="248"/>
      <c r="DU34" s="305"/>
      <c r="DV34" s="244"/>
      <c r="DW34" s="307"/>
      <c r="DX34" s="226">
        <v>4</v>
      </c>
      <c r="DY34" s="59">
        <f t="shared" si="137"/>
        <v>1</v>
      </c>
      <c r="DZ34" s="254">
        <f t="shared" si="138"/>
        <v>240</v>
      </c>
      <c r="EA34" s="263">
        <f t="shared" si="139"/>
        <v>26</v>
      </c>
      <c r="EB34" s="248"/>
      <c r="EC34" s="301"/>
      <c r="ED34" s="226">
        <v>4</v>
      </c>
      <c r="EE34" s="59">
        <f t="shared" si="140"/>
        <v>1</v>
      </c>
      <c r="EF34" s="254">
        <f t="shared" si="141"/>
        <v>240</v>
      </c>
      <c r="EG34" s="263">
        <f t="shared" si="142"/>
        <v>26</v>
      </c>
      <c r="EH34" s="248"/>
      <c r="EI34" s="301"/>
      <c r="EJ34" s="226">
        <v>4</v>
      </c>
      <c r="EK34" s="59">
        <f t="shared" si="143"/>
        <v>1</v>
      </c>
      <c r="EL34" s="254">
        <f t="shared" si="144"/>
        <v>240</v>
      </c>
      <c r="EM34" s="263">
        <f t="shared" si="145"/>
        <v>26</v>
      </c>
      <c r="EN34" s="248"/>
      <c r="EO34" s="305"/>
      <c r="EP34" s="244"/>
      <c r="EQ34" s="307"/>
      <c r="ER34" s="226">
        <v>4</v>
      </c>
      <c r="ES34" s="59">
        <f t="shared" si="146"/>
        <v>1</v>
      </c>
      <c r="ET34" s="254">
        <f t="shared" si="147"/>
        <v>240</v>
      </c>
      <c r="EU34" s="263">
        <f t="shared" si="148"/>
        <v>26</v>
      </c>
      <c r="EV34" s="248"/>
      <c r="EW34" s="301"/>
      <c r="EX34" s="226">
        <v>4</v>
      </c>
      <c r="EY34" s="59">
        <f t="shared" si="149"/>
        <v>1</v>
      </c>
      <c r="EZ34" s="254">
        <f t="shared" si="150"/>
        <v>240</v>
      </c>
      <c r="FA34" s="263">
        <f t="shared" si="151"/>
        <v>26</v>
      </c>
      <c r="FB34" s="248"/>
      <c r="FC34" s="301"/>
      <c r="FD34" s="226">
        <v>4</v>
      </c>
      <c r="FE34" s="59">
        <f t="shared" si="152"/>
        <v>1</v>
      </c>
      <c r="FF34" s="254">
        <f t="shared" si="153"/>
        <v>240</v>
      </c>
      <c r="FG34" s="263">
        <f t="shared" si="154"/>
        <v>26</v>
      </c>
      <c r="FH34" s="248"/>
      <c r="FI34" s="301"/>
      <c r="FJ34" s="226">
        <v>4</v>
      </c>
      <c r="FK34" s="59">
        <f t="shared" si="155"/>
        <v>1</v>
      </c>
      <c r="FL34" s="254">
        <f t="shared" si="156"/>
        <v>240</v>
      </c>
      <c r="FM34" s="263">
        <f t="shared" si="157"/>
        <v>26</v>
      </c>
      <c r="FN34" s="248"/>
      <c r="FO34" s="305"/>
      <c r="FP34" s="244"/>
    </row>
    <row r="35" spans="1:172" ht="17" x14ac:dyDescent="0.45">
      <c r="A35" s="307"/>
      <c r="B35" s="226">
        <v>5</v>
      </c>
      <c r="C35" s="59">
        <v>0</v>
      </c>
      <c r="D35" s="254">
        <f t="shared" si="81"/>
        <v>232</v>
      </c>
      <c r="E35" s="263">
        <f t="shared" si="82"/>
        <v>28</v>
      </c>
      <c r="F35" s="248"/>
      <c r="G35" s="301"/>
      <c r="H35" s="226">
        <v>5</v>
      </c>
      <c r="I35" s="59">
        <f t="shared" si="83"/>
        <v>0</v>
      </c>
      <c r="J35" s="254">
        <f t="shared" si="84"/>
        <v>232</v>
      </c>
      <c r="K35" s="263">
        <f t="shared" si="85"/>
        <v>28</v>
      </c>
      <c r="L35" s="248"/>
      <c r="M35" s="305"/>
      <c r="N35" s="244"/>
      <c r="O35" s="307"/>
      <c r="P35" s="226">
        <v>5</v>
      </c>
      <c r="Q35" s="59">
        <f t="shared" si="86"/>
        <v>0</v>
      </c>
      <c r="R35" s="254">
        <f t="shared" si="87"/>
        <v>232</v>
      </c>
      <c r="S35" s="263">
        <f t="shared" si="88"/>
        <v>28</v>
      </c>
      <c r="T35" s="248"/>
      <c r="U35" s="301"/>
      <c r="V35" s="226">
        <v>5</v>
      </c>
      <c r="W35" s="59">
        <f t="shared" si="89"/>
        <v>0</v>
      </c>
      <c r="X35" s="254">
        <f t="shared" si="90"/>
        <v>232</v>
      </c>
      <c r="Y35" s="263">
        <f t="shared" si="91"/>
        <v>28</v>
      </c>
      <c r="Z35" s="248"/>
      <c r="AA35" s="301"/>
      <c r="AB35" s="226">
        <v>5</v>
      </c>
      <c r="AC35" s="59">
        <f t="shared" si="92"/>
        <v>0</v>
      </c>
      <c r="AD35" s="254">
        <f t="shared" si="93"/>
        <v>232</v>
      </c>
      <c r="AE35" s="263">
        <f t="shared" si="94"/>
        <v>28</v>
      </c>
      <c r="AF35" s="248"/>
      <c r="AG35" s="305"/>
      <c r="AH35" s="244"/>
      <c r="AI35" s="307"/>
      <c r="AJ35" s="226">
        <v>5</v>
      </c>
      <c r="AK35" s="59">
        <f t="shared" si="95"/>
        <v>0</v>
      </c>
      <c r="AL35" s="254">
        <f t="shared" si="96"/>
        <v>232</v>
      </c>
      <c r="AM35" s="263">
        <f t="shared" si="97"/>
        <v>28</v>
      </c>
      <c r="AN35" s="248"/>
      <c r="AO35" s="301"/>
      <c r="AP35" s="226">
        <v>5</v>
      </c>
      <c r="AQ35" s="59">
        <f t="shared" si="98"/>
        <v>0</v>
      </c>
      <c r="AR35" s="254">
        <f t="shared" si="99"/>
        <v>232</v>
      </c>
      <c r="AS35" s="263">
        <f t="shared" si="100"/>
        <v>28</v>
      </c>
      <c r="AT35" s="248"/>
      <c r="AU35" s="301"/>
      <c r="AV35" s="226">
        <v>5</v>
      </c>
      <c r="AW35" s="59">
        <f t="shared" si="101"/>
        <v>0</v>
      </c>
      <c r="AX35" s="254">
        <f t="shared" si="102"/>
        <v>232</v>
      </c>
      <c r="AY35" s="263">
        <f t="shared" si="103"/>
        <v>28</v>
      </c>
      <c r="AZ35" s="248"/>
      <c r="BA35" s="305"/>
      <c r="BB35" s="244"/>
      <c r="BC35" s="307"/>
      <c r="BD35" s="226">
        <v>5</v>
      </c>
      <c r="BE35" s="59">
        <f t="shared" si="104"/>
        <v>0</v>
      </c>
      <c r="BF35" s="254">
        <f t="shared" si="105"/>
        <v>232</v>
      </c>
      <c r="BG35" s="263">
        <f t="shared" si="106"/>
        <v>28</v>
      </c>
      <c r="BH35" s="248"/>
      <c r="BI35" s="301"/>
      <c r="BJ35" s="226">
        <v>5</v>
      </c>
      <c r="BK35" s="59">
        <f t="shared" si="107"/>
        <v>0</v>
      </c>
      <c r="BL35" s="254">
        <f t="shared" si="108"/>
        <v>232</v>
      </c>
      <c r="BM35" s="263">
        <f t="shared" si="109"/>
        <v>28</v>
      </c>
      <c r="BN35" s="248"/>
      <c r="BO35" s="301"/>
      <c r="BP35" s="226">
        <v>5</v>
      </c>
      <c r="BQ35" s="59">
        <f t="shared" si="110"/>
        <v>0</v>
      </c>
      <c r="BR35" s="254">
        <f t="shared" si="111"/>
        <v>232</v>
      </c>
      <c r="BS35" s="263">
        <f t="shared" si="112"/>
        <v>28</v>
      </c>
      <c r="BT35" s="248"/>
      <c r="BU35" s="305"/>
      <c r="BV35" s="244"/>
      <c r="BW35" s="307"/>
      <c r="BX35" s="226">
        <v>5</v>
      </c>
      <c r="BY35" s="59">
        <f t="shared" si="113"/>
        <v>0</v>
      </c>
      <c r="BZ35" s="254">
        <f t="shared" si="114"/>
        <v>232</v>
      </c>
      <c r="CA35" s="263">
        <f t="shared" si="115"/>
        <v>28</v>
      </c>
      <c r="CB35" s="248"/>
      <c r="CC35" s="301"/>
      <c r="CD35" s="226">
        <v>5</v>
      </c>
      <c r="CE35" s="59">
        <f t="shared" si="116"/>
        <v>0</v>
      </c>
      <c r="CF35" s="254">
        <f t="shared" si="117"/>
        <v>232</v>
      </c>
      <c r="CG35" s="263">
        <f t="shared" si="118"/>
        <v>28</v>
      </c>
      <c r="CH35" s="248"/>
      <c r="CI35" s="301"/>
      <c r="CJ35" s="226">
        <v>5</v>
      </c>
      <c r="CK35" s="59">
        <f t="shared" si="119"/>
        <v>0</v>
      </c>
      <c r="CL35" s="254">
        <f t="shared" si="120"/>
        <v>232</v>
      </c>
      <c r="CM35" s="263">
        <f t="shared" si="121"/>
        <v>28</v>
      </c>
      <c r="CN35" s="248"/>
      <c r="CO35" s="301"/>
      <c r="CP35" s="226">
        <v>5</v>
      </c>
      <c r="CQ35" s="59">
        <f t="shared" si="122"/>
        <v>0</v>
      </c>
      <c r="CR35" s="254">
        <f t="shared" si="123"/>
        <v>232</v>
      </c>
      <c r="CS35" s="263">
        <f t="shared" si="124"/>
        <v>28</v>
      </c>
      <c r="CT35" s="248"/>
      <c r="CU35" s="305"/>
      <c r="CV35" s="244"/>
      <c r="CW35" s="307"/>
      <c r="CX35" s="226">
        <v>5</v>
      </c>
      <c r="CY35" s="59">
        <f t="shared" si="125"/>
        <v>0</v>
      </c>
      <c r="CZ35" s="254">
        <f t="shared" si="126"/>
        <v>232</v>
      </c>
      <c r="DA35" s="263">
        <f t="shared" si="127"/>
        <v>28</v>
      </c>
      <c r="DB35" s="248"/>
      <c r="DC35" s="301"/>
      <c r="DD35" s="226">
        <v>5</v>
      </c>
      <c r="DE35" s="59">
        <f t="shared" si="128"/>
        <v>0</v>
      </c>
      <c r="DF35" s="254">
        <f t="shared" si="129"/>
        <v>232</v>
      </c>
      <c r="DG35" s="263">
        <f t="shared" si="130"/>
        <v>28</v>
      </c>
      <c r="DH35" s="248"/>
      <c r="DI35" s="301"/>
      <c r="DJ35" s="226">
        <v>5</v>
      </c>
      <c r="DK35" s="59">
        <f t="shared" si="131"/>
        <v>0</v>
      </c>
      <c r="DL35" s="254">
        <f t="shared" si="132"/>
        <v>232</v>
      </c>
      <c r="DM35" s="263">
        <f t="shared" si="133"/>
        <v>28</v>
      </c>
      <c r="DN35" s="248"/>
      <c r="DO35" s="301"/>
      <c r="DP35" s="226">
        <v>5</v>
      </c>
      <c r="DQ35" s="59">
        <f t="shared" si="134"/>
        <v>0</v>
      </c>
      <c r="DR35" s="254">
        <f t="shared" si="135"/>
        <v>232</v>
      </c>
      <c r="DS35" s="263">
        <f t="shared" si="136"/>
        <v>28</v>
      </c>
      <c r="DT35" s="248"/>
      <c r="DU35" s="305"/>
      <c r="DV35" s="244"/>
      <c r="DW35" s="307"/>
      <c r="DX35" s="226">
        <v>5</v>
      </c>
      <c r="DY35" s="59">
        <f t="shared" si="137"/>
        <v>0</v>
      </c>
      <c r="DZ35" s="254">
        <f t="shared" si="138"/>
        <v>232</v>
      </c>
      <c r="EA35" s="263">
        <f t="shared" si="139"/>
        <v>28</v>
      </c>
      <c r="EB35" s="248"/>
      <c r="EC35" s="301"/>
      <c r="ED35" s="226">
        <v>5</v>
      </c>
      <c r="EE35" s="59">
        <f t="shared" si="140"/>
        <v>0</v>
      </c>
      <c r="EF35" s="254">
        <f t="shared" si="141"/>
        <v>232</v>
      </c>
      <c r="EG35" s="263">
        <f t="shared" si="142"/>
        <v>28</v>
      </c>
      <c r="EH35" s="248"/>
      <c r="EI35" s="301"/>
      <c r="EJ35" s="226">
        <v>5</v>
      </c>
      <c r="EK35" s="59">
        <f t="shared" si="143"/>
        <v>0</v>
      </c>
      <c r="EL35" s="254">
        <f t="shared" si="144"/>
        <v>232</v>
      </c>
      <c r="EM35" s="263">
        <f t="shared" si="145"/>
        <v>28</v>
      </c>
      <c r="EN35" s="248"/>
      <c r="EO35" s="305"/>
      <c r="EP35" s="244"/>
      <c r="EQ35" s="307"/>
      <c r="ER35" s="226">
        <v>5</v>
      </c>
      <c r="ES35" s="59">
        <f t="shared" si="146"/>
        <v>0</v>
      </c>
      <c r="ET35" s="254">
        <f t="shared" si="147"/>
        <v>232</v>
      </c>
      <c r="EU35" s="263">
        <f t="shared" si="148"/>
        <v>28</v>
      </c>
      <c r="EV35" s="248"/>
      <c r="EW35" s="301"/>
      <c r="EX35" s="226">
        <v>5</v>
      </c>
      <c r="EY35" s="59">
        <f t="shared" si="149"/>
        <v>0</v>
      </c>
      <c r="EZ35" s="254">
        <f t="shared" si="150"/>
        <v>232</v>
      </c>
      <c r="FA35" s="263">
        <f t="shared" si="151"/>
        <v>28</v>
      </c>
      <c r="FB35" s="248"/>
      <c r="FC35" s="301"/>
      <c r="FD35" s="226">
        <v>5</v>
      </c>
      <c r="FE35" s="59">
        <f t="shared" si="152"/>
        <v>0</v>
      </c>
      <c r="FF35" s="254">
        <f t="shared" si="153"/>
        <v>232</v>
      </c>
      <c r="FG35" s="263">
        <f t="shared" si="154"/>
        <v>28</v>
      </c>
      <c r="FH35" s="248"/>
      <c r="FI35" s="301"/>
      <c r="FJ35" s="226">
        <v>5</v>
      </c>
      <c r="FK35" s="59">
        <f t="shared" si="155"/>
        <v>0</v>
      </c>
      <c r="FL35" s="254">
        <f t="shared" si="156"/>
        <v>232</v>
      </c>
      <c r="FM35" s="263">
        <f t="shared" si="157"/>
        <v>28</v>
      </c>
      <c r="FN35" s="248"/>
      <c r="FO35" s="305"/>
      <c r="FP35" s="244"/>
    </row>
    <row r="36" spans="1:172" ht="17" x14ac:dyDescent="0.45">
      <c r="A36" s="307"/>
      <c r="B36" s="226">
        <v>6</v>
      </c>
      <c r="C36" s="59">
        <v>0</v>
      </c>
      <c r="D36" s="254">
        <f t="shared" si="81"/>
        <v>232</v>
      </c>
      <c r="E36" s="263">
        <f t="shared" si="82"/>
        <v>24</v>
      </c>
      <c r="F36" s="248"/>
      <c r="G36" s="301"/>
      <c r="H36" s="226">
        <v>6</v>
      </c>
      <c r="I36" s="59">
        <f t="shared" si="83"/>
        <v>0</v>
      </c>
      <c r="J36" s="254">
        <f t="shared" si="84"/>
        <v>232</v>
      </c>
      <c r="K36" s="263">
        <f t="shared" si="85"/>
        <v>24</v>
      </c>
      <c r="L36" s="248"/>
      <c r="M36" s="305"/>
      <c r="N36" s="244"/>
      <c r="O36" s="307"/>
      <c r="P36" s="226">
        <v>6</v>
      </c>
      <c r="Q36" s="59">
        <f t="shared" si="86"/>
        <v>0</v>
      </c>
      <c r="R36" s="254">
        <f t="shared" si="87"/>
        <v>232</v>
      </c>
      <c r="S36" s="263">
        <f t="shared" si="88"/>
        <v>24</v>
      </c>
      <c r="T36" s="248"/>
      <c r="U36" s="301"/>
      <c r="V36" s="226">
        <v>6</v>
      </c>
      <c r="W36" s="59">
        <f t="shared" si="89"/>
        <v>0</v>
      </c>
      <c r="X36" s="254">
        <f t="shared" si="90"/>
        <v>232</v>
      </c>
      <c r="Y36" s="263">
        <f t="shared" si="91"/>
        <v>24</v>
      </c>
      <c r="Z36" s="248"/>
      <c r="AA36" s="301"/>
      <c r="AB36" s="226">
        <v>6</v>
      </c>
      <c r="AC36" s="59">
        <f t="shared" si="92"/>
        <v>0</v>
      </c>
      <c r="AD36" s="254">
        <f t="shared" si="93"/>
        <v>232</v>
      </c>
      <c r="AE36" s="263">
        <f t="shared" si="94"/>
        <v>24</v>
      </c>
      <c r="AF36" s="248"/>
      <c r="AG36" s="305"/>
      <c r="AH36" s="244"/>
      <c r="AI36" s="307"/>
      <c r="AJ36" s="226">
        <v>6</v>
      </c>
      <c r="AK36" s="59">
        <f t="shared" si="95"/>
        <v>0</v>
      </c>
      <c r="AL36" s="254">
        <f t="shared" si="96"/>
        <v>232</v>
      </c>
      <c r="AM36" s="263">
        <f t="shared" si="97"/>
        <v>24</v>
      </c>
      <c r="AN36" s="248"/>
      <c r="AO36" s="301"/>
      <c r="AP36" s="226">
        <v>6</v>
      </c>
      <c r="AQ36" s="59">
        <f t="shared" si="98"/>
        <v>0</v>
      </c>
      <c r="AR36" s="254">
        <f t="shared" si="99"/>
        <v>232</v>
      </c>
      <c r="AS36" s="263">
        <f t="shared" si="100"/>
        <v>24</v>
      </c>
      <c r="AT36" s="248"/>
      <c r="AU36" s="301"/>
      <c r="AV36" s="226">
        <v>6</v>
      </c>
      <c r="AW36" s="59">
        <f t="shared" si="101"/>
        <v>0</v>
      </c>
      <c r="AX36" s="254">
        <f t="shared" si="102"/>
        <v>232</v>
      </c>
      <c r="AY36" s="263">
        <f t="shared" si="103"/>
        <v>24</v>
      </c>
      <c r="AZ36" s="248"/>
      <c r="BA36" s="305"/>
      <c r="BB36" s="244"/>
      <c r="BC36" s="307"/>
      <c r="BD36" s="226">
        <v>6</v>
      </c>
      <c r="BE36" s="59">
        <f t="shared" si="104"/>
        <v>0</v>
      </c>
      <c r="BF36" s="254">
        <f t="shared" si="105"/>
        <v>232</v>
      </c>
      <c r="BG36" s="263">
        <f t="shared" si="106"/>
        <v>24</v>
      </c>
      <c r="BH36" s="248"/>
      <c r="BI36" s="301"/>
      <c r="BJ36" s="226">
        <v>6</v>
      </c>
      <c r="BK36" s="59">
        <f t="shared" si="107"/>
        <v>0</v>
      </c>
      <c r="BL36" s="254">
        <f t="shared" si="108"/>
        <v>232</v>
      </c>
      <c r="BM36" s="263">
        <f t="shared" si="109"/>
        <v>24</v>
      </c>
      <c r="BN36" s="248"/>
      <c r="BO36" s="301"/>
      <c r="BP36" s="226">
        <v>6</v>
      </c>
      <c r="BQ36" s="59">
        <f t="shared" si="110"/>
        <v>0</v>
      </c>
      <c r="BR36" s="254">
        <f t="shared" si="111"/>
        <v>232</v>
      </c>
      <c r="BS36" s="263">
        <f t="shared" si="112"/>
        <v>24</v>
      </c>
      <c r="BT36" s="248">
        <v>18</v>
      </c>
      <c r="BU36" s="305"/>
      <c r="BV36" s="244"/>
      <c r="BW36" s="307"/>
      <c r="BX36" s="226">
        <v>6</v>
      </c>
      <c r="BY36" s="59">
        <f t="shared" si="113"/>
        <v>1</v>
      </c>
      <c r="BZ36" s="254">
        <f t="shared" si="114"/>
        <v>240</v>
      </c>
      <c r="CA36" s="263">
        <f t="shared" si="115"/>
        <v>0</v>
      </c>
      <c r="CB36" s="248"/>
      <c r="CC36" s="301"/>
      <c r="CD36" s="226">
        <v>6</v>
      </c>
      <c r="CE36" s="59">
        <f t="shared" si="116"/>
        <v>1</v>
      </c>
      <c r="CF36" s="254">
        <f t="shared" si="117"/>
        <v>240</v>
      </c>
      <c r="CG36" s="263">
        <f t="shared" si="118"/>
        <v>0</v>
      </c>
      <c r="CH36" s="248"/>
      <c r="CI36" s="301"/>
      <c r="CJ36" s="226">
        <v>6</v>
      </c>
      <c r="CK36" s="59">
        <f t="shared" si="119"/>
        <v>1</v>
      </c>
      <c r="CL36" s="254">
        <f t="shared" si="120"/>
        <v>240</v>
      </c>
      <c r="CM36" s="263">
        <f t="shared" si="121"/>
        <v>0</v>
      </c>
      <c r="CN36" s="248"/>
      <c r="CO36" s="301"/>
      <c r="CP36" s="226">
        <v>6</v>
      </c>
      <c r="CQ36" s="59">
        <f t="shared" si="122"/>
        <v>1</v>
      </c>
      <c r="CR36" s="254">
        <f t="shared" si="123"/>
        <v>240</v>
      </c>
      <c r="CS36" s="263">
        <f t="shared" si="124"/>
        <v>0</v>
      </c>
      <c r="CT36" s="248"/>
      <c r="CU36" s="305"/>
      <c r="CV36" s="244"/>
      <c r="CW36" s="307"/>
      <c r="CX36" s="226">
        <v>6</v>
      </c>
      <c r="CY36" s="59">
        <f t="shared" si="125"/>
        <v>1</v>
      </c>
      <c r="CZ36" s="254">
        <f t="shared" si="126"/>
        <v>240</v>
      </c>
      <c r="DA36" s="263">
        <f t="shared" si="127"/>
        <v>0</v>
      </c>
      <c r="DB36" s="248"/>
      <c r="DC36" s="301"/>
      <c r="DD36" s="226">
        <v>6</v>
      </c>
      <c r="DE36" s="59">
        <f t="shared" si="128"/>
        <v>1</v>
      </c>
      <c r="DF36" s="254">
        <f t="shared" si="129"/>
        <v>240</v>
      </c>
      <c r="DG36" s="263">
        <f t="shared" si="130"/>
        <v>0</v>
      </c>
      <c r="DH36" s="248"/>
      <c r="DI36" s="301"/>
      <c r="DJ36" s="226">
        <v>6</v>
      </c>
      <c r="DK36" s="59">
        <f t="shared" si="131"/>
        <v>1</v>
      </c>
      <c r="DL36" s="254">
        <f t="shared" si="132"/>
        <v>240</v>
      </c>
      <c r="DM36" s="263">
        <f t="shared" si="133"/>
        <v>0</v>
      </c>
      <c r="DN36" s="248"/>
      <c r="DO36" s="301"/>
      <c r="DP36" s="226">
        <v>6</v>
      </c>
      <c r="DQ36" s="59">
        <f t="shared" si="134"/>
        <v>1</v>
      </c>
      <c r="DR36" s="254">
        <f t="shared" si="135"/>
        <v>240</v>
      </c>
      <c r="DS36" s="263">
        <f t="shared" si="136"/>
        <v>0</v>
      </c>
      <c r="DT36" s="248"/>
      <c r="DU36" s="305"/>
      <c r="DV36" s="244"/>
      <c r="DW36" s="307"/>
      <c r="DX36" s="226">
        <v>6</v>
      </c>
      <c r="DY36" s="59">
        <f t="shared" si="137"/>
        <v>1</v>
      </c>
      <c r="DZ36" s="254">
        <f t="shared" si="138"/>
        <v>240</v>
      </c>
      <c r="EA36" s="263">
        <f t="shared" si="139"/>
        <v>0</v>
      </c>
      <c r="EB36" s="248"/>
      <c r="EC36" s="301"/>
      <c r="ED36" s="226">
        <v>6</v>
      </c>
      <c r="EE36" s="59">
        <f t="shared" si="140"/>
        <v>1</v>
      </c>
      <c r="EF36" s="254">
        <f t="shared" si="141"/>
        <v>240</v>
      </c>
      <c r="EG36" s="263">
        <f t="shared" si="142"/>
        <v>0</v>
      </c>
      <c r="EH36" s="248"/>
      <c r="EI36" s="301"/>
      <c r="EJ36" s="226">
        <v>6</v>
      </c>
      <c r="EK36" s="59">
        <f t="shared" si="143"/>
        <v>1</v>
      </c>
      <c r="EL36" s="254">
        <f t="shared" si="144"/>
        <v>240</v>
      </c>
      <c r="EM36" s="263">
        <f t="shared" si="145"/>
        <v>0</v>
      </c>
      <c r="EN36" s="248"/>
      <c r="EO36" s="305"/>
      <c r="EP36" s="244"/>
      <c r="EQ36" s="307"/>
      <c r="ER36" s="226">
        <v>6</v>
      </c>
      <c r="ES36" s="59">
        <f t="shared" si="146"/>
        <v>1</v>
      </c>
      <c r="ET36" s="254">
        <f t="shared" si="147"/>
        <v>240</v>
      </c>
      <c r="EU36" s="263">
        <f t="shared" si="148"/>
        <v>0</v>
      </c>
      <c r="EV36" s="248"/>
      <c r="EW36" s="301"/>
      <c r="EX36" s="226">
        <v>6</v>
      </c>
      <c r="EY36" s="59">
        <f t="shared" si="149"/>
        <v>1</v>
      </c>
      <c r="EZ36" s="254">
        <f t="shared" si="150"/>
        <v>240</v>
      </c>
      <c r="FA36" s="263">
        <f t="shared" si="151"/>
        <v>0</v>
      </c>
      <c r="FB36" s="248"/>
      <c r="FC36" s="301"/>
      <c r="FD36" s="226">
        <v>6</v>
      </c>
      <c r="FE36" s="59">
        <f t="shared" si="152"/>
        <v>1</v>
      </c>
      <c r="FF36" s="254">
        <f t="shared" si="153"/>
        <v>240</v>
      </c>
      <c r="FG36" s="263">
        <f t="shared" si="154"/>
        <v>0</v>
      </c>
      <c r="FH36" s="248"/>
      <c r="FI36" s="301"/>
      <c r="FJ36" s="226">
        <v>6</v>
      </c>
      <c r="FK36" s="59">
        <f t="shared" si="155"/>
        <v>1</v>
      </c>
      <c r="FL36" s="254">
        <f t="shared" si="156"/>
        <v>240</v>
      </c>
      <c r="FM36" s="263">
        <f t="shared" si="157"/>
        <v>0</v>
      </c>
      <c r="FN36" s="248"/>
      <c r="FO36" s="305"/>
      <c r="FP36" s="244"/>
    </row>
    <row r="37" spans="1:172" ht="17" x14ac:dyDescent="0.45">
      <c r="A37" s="307"/>
      <c r="B37" s="226">
        <v>7</v>
      </c>
      <c r="C37" s="59">
        <v>0</v>
      </c>
      <c r="D37" s="254">
        <f t="shared" si="81"/>
        <v>232</v>
      </c>
      <c r="E37" s="263">
        <f t="shared" si="82"/>
        <v>5</v>
      </c>
      <c r="F37" s="248"/>
      <c r="G37" s="301"/>
      <c r="H37" s="226">
        <v>7</v>
      </c>
      <c r="I37" s="59">
        <f t="shared" si="83"/>
        <v>0</v>
      </c>
      <c r="J37" s="254">
        <f t="shared" si="84"/>
        <v>232</v>
      </c>
      <c r="K37" s="263">
        <f t="shared" si="85"/>
        <v>5</v>
      </c>
      <c r="L37" s="248"/>
      <c r="M37" s="305"/>
      <c r="N37" s="244"/>
      <c r="O37" s="307"/>
      <c r="P37" s="226">
        <v>7</v>
      </c>
      <c r="Q37" s="59">
        <f t="shared" si="86"/>
        <v>0</v>
      </c>
      <c r="R37" s="254">
        <f t="shared" si="87"/>
        <v>232</v>
      </c>
      <c r="S37" s="263">
        <f t="shared" si="88"/>
        <v>5</v>
      </c>
      <c r="T37" s="248"/>
      <c r="U37" s="301"/>
      <c r="V37" s="226">
        <v>7</v>
      </c>
      <c r="W37" s="59">
        <f t="shared" si="89"/>
        <v>0</v>
      </c>
      <c r="X37" s="254">
        <f t="shared" si="90"/>
        <v>232</v>
      </c>
      <c r="Y37" s="263">
        <f t="shared" si="91"/>
        <v>5</v>
      </c>
      <c r="Z37" s="248"/>
      <c r="AA37" s="301"/>
      <c r="AB37" s="226">
        <v>7</v>
      </c>
      <c r="AC37" s="59">
        <f t="shared" si="92"/>
        <v>0</v>
      </c>
      <c r="AD37" s="254">
        <f t="shared" si="93"/>
        <v>232</v>
      </c>
      <c r="AE37" s="263">
        <f t="shared" si="94"/>
        <v>5</v>
      </c>
      <c r="AF37" s="248"/>
      <c r="AG37" s="305"/>
      <c r="AH37" s="244"/>
      <c r="AI37" s="307"/>
      <c r="AJ37" s="226">
        <v>7</v>
      </c>
      <c r="AK37" s="59">
        <f t="shared" si="95"/>
        <v>0</v>
      </c>
      <c r="AL37" s="254">
        <f t="shared" si="96"/>
        <v>232</v>
      </c>
      <c r="AM37" s="263">
        <f t="shared" si="97"/>
        <v>5</v>
      </c>
      <c r="AN37" s="248"/>
      <c r="AO37" s="301"/>
      <c r="AP37" s="226">
        <v>7</v>
      </c>
      <c r="AQ37" s="59">
        <f t="shared" si="98"/>
        <v>0</v>
      </c>
      <c r="AR37" s="254">
        <f t="shared" si="99"/>
        <v>232</v>
      </c>
      <c r="AS37" s="263">
        <f t="shared" si="100"/>
        <v>5</v>
      </c>
      <c r="AT37" s="248"/>
      <c r="AU37" s="301"/>
      <c r="AV37" s="226">
        <v>7</v>
      </c>
      <c r="AW37" s="59">
        <f t="shared" si="101"/>
        <v>0</v>
      </c>
      <c r="AX37" s="254">
        <f t="shared" si="102"/>
        <v>232</v>
      </c>
      <c r="AY37" s="263">
        <f t="shared" si="103"/>
        <v>5</v>
      </c>
      <c r="AZ37" s="248"/>
      <c r="BA37" s="305"/>
      <c r="BB37" s="244"/>
      <c r="BC37" s="307"/>
      <c r="BD37" s="226">
        <v>7</v>
      </c>
      <c r="BE37" s="59">
        <f t="shared" si="104"/>
        <v>0</v>
      </c>
      <c r="BF37" s="254">
        <f t="shared" si="105"/>
        <v>232</v>
      </c>
      <c r="BG37" s="263">
        <f t="shared" si="106"/>
        <v>5</v>
      </c>
      <c r="BH37" s="248"/>
      <c r="BI37" s="301"/>
      <c r="BJ37" s="226">
        <v>7</v>
      </c>
      <c r="BK37" s="59">
        <f t="shared" si="107"/>
        <v>0</v>
      </c>
      <c r="BL37" s="254">
        <f t="shared" si="108"/>
        <v>232</v>
      </c>
      <c r="BM37" s="263">
        <f t="shared" si="109"/>
        <v>5</v>
      </c>
      <c r="BN37" s="248"/>
      <c r="BO37" s="301"/>
      <c r="BP37" s="226">
        <v>7</v>
      </c>
      <c r="BQ37" s="59">
        <f t="shared" si="110"/>
        <v>0</v>
      </c>
      <c r="BR37" s="254">
        <f t="shared" si="111"/>
        <v>232</v>
      </c>
      <c r="BS37" s="263">
        <f t="shared" si="112"/>
        <v>5</v>
      </c>
      <c r="BT37" s="248"/>
      <c r="BU37" s="305"/>
      <c r="BV37" s="244"/>
      <c r="BW37" s="307"/>
      <c r="BX37" s="226">
        <v>7</v>
      </c>
      <c r="BY37" s="59">
        <f t="shared" si="113"/>
        <v>0</v>
      </c>
      <c r="BZ37" s="254">
        <f t="shared" si="114"/>
        <v>232</v>
      </c>
      <c r="CA37" s="263">
        <f t="shared" si="115"/>
        <v>5</v>
      </c>
      <c r="CB37" s="248"/>
      <c r="CC37" s="301"/>
      <c r="CD37" s="226">
        <v>7</v>
      </c>
      <c r="CE37" s="59">
        <f t="shared" si="116"/>
        <v>0</v>
      </c>
      <c r="CF37" s="254">
        <f t="shared" si="117"/>
        <v>232</v>
      </c>
      <c r="CG37" s="263">
        <f t="shared" si="118"/>
        <v>5</v>
      </c>
      <c r="CH37" s="248"/>
      <c r="CI37" s="301"/>
      <c r="CJ37" s="226">
        <v>7</v>
      </c>
      <c r="CK37" s="59">
        <f t="shared" si="119"/>
        <v>0</v>
      </c>
      <c r="CL37" s="254">
        <f t="shared" si="120"/>
        <v>232</v>
      </c>
      <c r="CM37" s="263">
        <f t="shared" si="121"/>
        <v>5</v>
      </c>
      <c r="CN37" s="248"/>
      <c r="CO37" s="301"/>
      <c r="CP37" s="226">
        <v>7</v>
      </c>
      <c r="CQ37" s="59">
        <f t="shared" si="122"/>
        <v>0</v>
      </c>
      <c r="CR37" s="254">
        <f t="shared" si="123"/>
        <v>232</v>
      </c>
      <c r="CS37" s="263">
        <f t="shared" si="124"/>
        <v>5</v>
      </c>
      <c r="CT37" s="248"/>
      <c r="CU37" s="305"/>
      <c r="CV37" s="244"/>
      <c r="CW37" s="307"/>
      <c r="CX37" s="226">
        <v>7</v>
      </c>
      <c r="CY37" s="59">
        <f t="shared" si="125"/>
        <v>0</v>
      </c>
      <c r="CZ37" s="254">
        <f t="shared" si="126"/>
        <v>232</v>
      </c>
      <c r="DA37" s="263">
        <f t="shared" si="127"/>
        <v>5</v>
      </c>
      <c r="DB37" s="248"/>
      <c r="DC37" s="301"/>
      <c r="DD37" s="226">
        <v>7</v>
      </c>
      <c r="DE37" s="59">
        <f t="shared" si="128"/>
        <v>0</v>
      </c>
      <c r="DF37" s="254">
        <f t="shared" si="129"/>
        <v>232</v>
      </c>
      <c r="DG37" s="263">
        <f t="shared" si="130"/>
        <v>5</v>
      </c>
      <c r="DH37" s="248"/>
      <c r="DI37" s="301"/>
      <c r="DJ37" s="226">
        <v>7</v>
      </c>
      <c r="DK37" s="59">
        <f t="shared" si="131"/>
        <v>0</v>
      </c>
      <c r="DL37" s="254">
        <f t="shared" si="132"/>
        <v>232</v>
      </c>
      <c r="DM37" s="263">
        <f t="shared" si="133"/>
        <v>5</v>
      </c>
      <c r="DN37" s="248"/>
      <c r="DO37" s="301"/>
      <c r="DP37" s="226">
        <v>7</v>
      </c>
      <c r="DQ37" s="59">
        <f t="shared" si="134"/>
        <v>0</v>
      </c>
      <c r="DR37" s="254">
        <f t="shared" si="135"/>
        <v>232</v>
      </c>
      <c r="DS37" s="263">
        <f t="shared" si="136"/>
        <v>5</v>
      </c>
      <c r="DT37" s="248"/>
      <c r="DU37" s="305"/>
      <c r="DV37" s="244"/>
      <c r="DW37" s="307"/>
      <c r="DX37" s="226">
        <v>7</v>
      </c>
      <c r="DY37" s="59">
        <f t="shared" si="137"/>
        <v>0</v>
      </c>
      <c r="DZ37" s="254">
        <f t="shared" si="138"/>
        <v>232</v>
      </c>
      <c r="EA37" s="263">
        <f t="shared" si="139"/>
        <v>5</v>
      </c>
      <c r="EB37" s="248"/>
      <c r="EC37" s="301"/>
      <c r="ED37" s="226">
        <v>7</v>
      </c>
      <c r="EE37" s="59">
        <f t="shared" si="140"/>
        <v>0</v>
      </c>
      <c r="EF37" s="254">
        <f t="shared" si="141"/>
        <v>232</v>
      </c>
      <c r="EG37" s="263">
        <f t="shared" si="142"/>
        <v>5</v>
      </c>
      <c r="EH37" s="248"/>
      <c r="EI37" s="301"/>
      <c r="EJ37" s="226">
        <v>7</v>
      </c>
      <c r="EK37" s="59">
        <f t="shared" si="143"/>
        <v>0</v>
      </c>
      <c r="EL37" s="254">
        <f t="shared" si="144"/>
        <v>232</v>
      </c>
      <c r="EM37" s="263">
        <f t="shared" si="145"/>
        <v>5</v>
      </c>
      <c r="EN37" s="248"/>
      <c r="EO37" s="305"/>
      <c r="EP37" s="244"/>
      <c r="EQ37" s="307"/>
      <c r="ER37" s="226">
        <v>7</v>
      </c>
      <c r="ES37" s="59">
        <f t="shared" si="146"/>
        <v>0</v>
      </c>
      <c r="ET37" s="254">
        <f t="shared" si="147"/>
        <v>232</v>
      </c>
      <c r="EU37" s="263">
        <f t="shared" si="148"/>
        <v>5</v>
      </c>
      <c r="EV37" s="248"/>
      <c r="EW37" s="301"/>
      <c r="EX37" s="226">
        <v>7</v>
      </c>
      <c r="EY37" s="59">
        <f t="shared" si="149"/>
        <v>0</v>
      </c>
      <c r="EZ37" s="254">
        <f t="shared" si="150"/>
        <v>232</v>
      </c>
      <c r="FA37" s="263">
        <f t="shared" si="151"/>
        <v>5</v>
      </c>
      <c r="FB37" s="248"/>
      <c r="FC37" s="301"/>
      <c r="FD37" s="226">
        <v>7</v>
      </c>
      <c r="FE37" s="59">
        <f t="shared" si="152"/>
        <v>0</v>
      </c>
      <c r="FF37" s="254">
        <f t="shared" si="153"/>
        <v>232</v>
      </c>
      <c r="FG37" s="263">
        <f t="shared" si="154"/>
        <v>5</v>
      </c>
      <c r="FH37" s="248"/>
      <c r="FI37" s="301"/>
      <c r="FJ37" s="226">
        <v>7</v>
      </c>
      <c r="FK37" s="59">
        <f t="shared" si="155"/>
        <v>0</v>
      </c>
      <c r="FL37" s="254">
        <f t="shared" si="156"/>
        <v>232</v>
      </c>
      <c r="FM37" s="263">
        <f t="shared" si="157"/>
        <v>5</v>
      </c>
      <c r="FN37" s="248"/>
      <c r="FO37" s="305"/>
      <c r="FP37" s="244"/>
    </row>
    <row r="38" spans="1:172" s="79" customFormat="1" ht="17.5" thickBot="1" x14ac:dyDescent="0.5">
      <c r="A38" s="309"/>
      <c r="B38" s="261">
        <v>8</v>
      </c>
      <c r="C38" s="59">
        <v>0</v>
      </c>
      <c r="D38" s="254">
        <f t="shared" si="81"/>
        <v>232</v>
      </c>
      <c r="E38" s="263">
        <f t="shared" si="82"/>
        <v>1</v>
      </c>
      <c r="F38" s="260"/>
      <c r="G38" s="302"/>
      <c r="H38" s="261">
        <v>8</v>
      </c>
      <c r="I38" s="59">
        <f t="shared" si="83"/>
        <v>0</v>
      </c>
      <c r="J38" s="254">
        <f t="shared" si="84"/>
        <v>232</v>
      </c>
      <c r="K38" s="263">
        <f t="shared" si="85"/>
        <v>1</v>
      </c>
      <c r="L38" s="260"/>
      <c r="M38" s="305"/>
      <c r="N38" s="244"/>
      <c r="O38" s="309"/>
      <c r="P38" s="261">
        <v>8</v>
      </c>
      <c r="Q38" s="59">
        <f t="shared" si="86"/>
        <v>0</v>
      </c>
      <c r="R38" s="254">
        <f t="shared" si="87"/>
        <v>232</v>
      </c>
      <c r="S38" s="263">
        <f t="shared" si="88"/>
        <v>1</v>
      </c>
      <c r="T38" s="260"/>
      <c r="U38" s="302"/>
      <c r="V38" s="261">
        <v>8</v>
      </c>
      <c r="W38" s="59">
        <f t="shared" si="89"/>
        <v>0</v>
      </c>
      <c r="X38" s="254">
        <f t="shared" si="90"/>
        <v>232</v>
      </c>
      <c r="Y38" s="263">
        <f t="shared" si="91"/>
        <v>1</v>
      </c>
      <c r="Z38" s="260"/>
      <c r="AA38" s="302"/>
      <c r="AB38" s="261">
        <v>8</v>
      </c>
      <c r="AC38" s="59">
        <f t="shared" si="92"/>
        <v>0</v>
      </c>
      <c r="AD38" s="254">
        <f t="shared" si="93"/>
        <v>232</v>
      </c>
      <c r="AE38" s="263">
        <f t="shared" si="94"/>
        <v>1</v>
      </c>
      <c r="AF38" s="260"/>
      <c r="AG38" s="305"/>
      <c r="AH38" s="244"/>
      <c r="AI38" s="309"/>
      <c r="AJ38" s="261">
        <v>8</v>
      </c>
      <c r="AK38" s="59">
        <f t="shared" si="95"/>
        <v>0</v>
      </c>
      <c r="AL38" s="254">
        <f t="shared" si="96"/>
        <v>232</v>
      </c>
      <c r="AM38" s="263">
        <f t="shared" si="97"/>
        <v>1</v>
      </c>
      <c r="AN38" s="260"/>
      <c r="AO38" s="302"/>
      <c r="AP38" s="261">
        <v>8</v>
      </c>
      <c r="AQ38" s="59">
        <f t="shared" si="98"/>
        <v>0</v>
      </c>
      <c r="AR38" s="254">
        <f t="shared" si="99"/>
        <v>232</v>
      </c>
      <c r="AS38" s="263">
        <f t="shared" si="100"/>
        <v>1</v>
      </c>
      <c r="AT38" s="260"/>
      <c r="AU38" s="302"/>
      <c r="AV38" s="261">
        <v>8</v>
      </c>
      <c r="AW38" s="59">
        <f t="shared" si="101"/>
        <v>0</v>
      </c>
      <c r="AX38" s="254">
        <f t="shared" si="102"/>
        <v>232</v>
      </c>
      <c r="AY38" s="263">
        <f t="shared" si="103"/>
        <v>1</v>
      </c>
      <c r="AZ38" s="260"/>
      <c r="BA38" s="305"/>
      <c r="BB38" s="244"/>
      <c r="BC38" s="309"/>
      <c r="BD38" s="261">
        <v>8</v>
      </c>
      <c r="BE38" s="59">
        <f t="shared" si="104"/>
        <v>0</v>
      </c>
      <c r="BF38" s="254">
        <f t="shared" si="105"/>
        <v>232</v>
      </c>
      <c r="BG38" s="263">
        <f t="shared" si="106"/>
        <v>1</v>
      </c>
      <c r="BH38" s="260"/>
      <c r="BI38" s="302"/>
      <c r="BJ38" s="261">
        <v>8</v>
      </c>
      <c r="BK38" s="59">
        <f t="shared" si="107"/>
        <v>0</v>
      </c>
      <c r="BL38" s="254">
        <f t="shared" si="108"/>
        <v>232</v>
      </c>
      <c r="BM38" s="263">
        <f t="shared" si="109"/>
        <v>1</v>
      </c>
      <c r="BN38" s="260"/>
      <c r="BO38" s="302"/>
      <c r="BP38" s="261">
        <v>8</v>
      </c>
      <c r="BQ38" s="59">
        <f t="shared" si="110"/>
        <v>0</v>
      </c>
      <c r="BR38" s="254">
        <f t="shared" si="111"/>
        <v>232</v>
      </c>
      <c r="BS38" s="263">
        <f t="shared" si="112"/>
        <v>1</v>
      </c>
      <c r="BT38" s="260"/>
      <c r="BU38" s="305"/>
      <c r="BV38" s="244"/>
      <c r="BW38" s="309"/>
      <c r="BX38" s="261">
        <v>8</v>
      </c>
      <c r="BY38" s="59">
        <f t="shared" si="113"/>
        <v>0</v>
      </c>
      <c r="BZ38" s="254">
        <f t="shared" si="114"/>
        <v>232</v>
      </c>
      <c r="CA38" s="263">
        <f t="shared" si="115"/>
        <v>1</v>
      </c>
      <c r="CB38" s="260"/>
      <c r="CC38" s="302"/>
      <c r="CD38" s="261">
        <v>8</v>
      </c>
      <c r="CE38" s="59">
        <f t="shared" si="116"/>
        <v>0</v>
      </c>
      <c r="CF38" s="254">
        <f t="shared" si="117"/>
        <v>232</v>
      </c>
      <c r="CG38" s="263">
        <f t="shared" si="118"/>
        <v>1</v>
      </c>
      <c r="CH38" s="260"/>
      <c r="CI38" s="302"/>
      <c r="CJ38" s="261">
        <v>8</v>
      </c>
      <c r="CK38" s="59">
        <f t="shared" si="119"/>
        <v>0</v>
      </c>
      <c r="CL38" s="254">
        <f t="shared" si="120"/>
        <v>232</v>
      </c>
      <c r="CM38" s="263">
        <f t="shared" si="121"/>
        <v>1</v>
      </c>
      <c r="CN38" s="260"/>
      <c r="CO38" s="302"/>
      <c r="CP38" s="261">
        <v>8</v>
      </c>
      <c r="CQ38" s="59">
        <f t="shared" si="122"/>
        <v>0</v>
      </c>
      <c r="CR38" s="254">
        <f t="shared" si="123"/>
        <v>232</v>
      </c>
      <c r="CS38" s="263">
        <f t="shared" si="124"/>
        <v>1</v>
      </c>
      <c r="CT38" s="260"/>
      <c r="CU38" s="305"/>
      <c r="CV38" s="244"/>
      <c r="CW38" s="309"/>
      <c r="CX38" s="261">
        <v>8</v>
      </c>
      <c r="CY38" s="59">
        <f t="shared" si="125"/>
        <v>0</v>
      </c>
      <c r="CZ38" s="254">
        <f t="shared" si="126"/>
        <v>232</v>
      </c>
      <c r="DA38" s="263">
        <f t="shared" si="127"/>
        <v>1</v>
      </c>
      <c r="DB38" s="260"/>
      <c r="DC38" s="302"/>
      <c r="DD38" s="261">
        <v>8</v>
      </c>
      <c r="DE38" s="59">
        <f t="shared" si="128"/>
        <v>0</v>
      </c>
      <c r="DF38" s="254">
        <f t="shared" si="129"/>
        <v>232</v>
      </c>
      <c r="DG38" s="263">
        <f t="shared" si="130"/>
        <v>1</v>
      </c>
      <c r="DH38" s="260"/>
      <c r="DI38" s="302"/>
      <c r="DJ38" s="261">
        <v>8</v>
      </c>
      <c r="DK38" s="59">
        <f t="shared" si="131"/>
        <v>0</v>
      </c>
      <c r="DL38" s="254">
        <f t="shared" si="132"/>
        <v>232</v>
      </c>
      <c r="DM38" s="263">
        <f t="shared" si="133"/>
        <v>1</v>
      </c>
      <c r="DN38" s="260"/>
      <c r="DO38" s="302"/>
      <c r="DP38" s="261">
        <v>8</v>
      </c>
      <c r="DQ38" s="59">
        <f t="shared" si="134"/>
        <v>0</v>
      </c>
      <c r="DR38" s="254">
        <f t="shared" si="135"/>
        <v>232</v>
      </c>
      <c r="DS38" s="263">
        <f t="shared" si="136"/>
        <v>1</v>
      </c>
      <c r="DT38" s="260"/>
      <c r="DU38" s="305"/>
      <c r="DV38" s="244"/>
      <c r="DW38" s="309"/>
      <c r="DX38" s="261">
        <v>8</v>
      </c>
      <c r="DY38" s="59">
        <f t="shared" si="137"/>
        <v>0</v>
      </c>
      <c r="DZ38" s="254">
        <f t="shared" si="138"/>
        <v>232</v>
      </c>
      <c r="EA38" s="263">
        <f t="shared" si="139"/>
        <v>1</v>
      </c>
      <c r="EB38" s="260"/>
      <c r="EC38" s="302"/>
      <c r="ED38" s="261">
        <v>8</v>
      </c>
      <c r="EE38" s="59">
        <f t="shared" si="140"/>
        <v>0</v>
      </c>
      <c r="EF38" s="254">
        <f t="shared" si="141"/>
        <v>232</v>
      </c>
      <c r="EG38" s="263">
        <f t="shared" si="142"/>
        <v>1</v>
      </c>
      <c r="EH38" s="260"/>
      <c r="EI38" s="302"/>
      <c r="EJ38" s="261">
        <v>8</v>
      </c>
      <c r="EK38" s="59">
        <f t="shared" si="143"/>
        <v>0</v>
      </c>
      <c r="EL38" s="254">
        <f t="shared" si="144"/>
        <v>232</v>
      </c>
      <c r="EM38" s="263">
        <f t="shared" si="145"/>
        <v>1</v>
      </c>
      <c r="EN38" s="260"/>
      <c r="EO38" s="305"/>
      <c r="EP38" s="244"/>
      <c r="EQ38" s="309"/>
      <c r="ER38" s="261">
        <v>8</v>
      </c>
      <c r="ES38" s="59">
        <f t="shared" si="146"/>
        <v>0</v>
      </c>
      <c r="ET38" s="254">
        <f t="shared" si="147"/>
        <v>232</v>
      </c>
      <c r="EU38" s="263">
        <f t="shared" si="148"/>
        <v>1</v>
      </c>
      <c r="EV38" s="260"/>
      <c r="EW38" s="302"/>
      <c r="EX38" s="261">
        <v>8</v>
      </c>
      <c r="EY38" s="59">
        <f t="shared" si="149"/>
        <v>0</v>
      </c>
      <c r="EZ38" s="254">
        <f t="shared" si="150"/>
        <v>232</v>
      </c>
      <c r="FA38" s="263">
        <f t="shared" si="151"/>
        <v>1</v>
      </c>
      <c r="FB38" s="260"/>
      <c r="FC38" s="302"/>
      <c r="FD38" s="261">
        <v>8</v>
      </c>
      <c r="FE38" s="59">
        <f t="shared" si="152"/>
        <v>0</v>
      </c>
      <c r="FF38" s="254">
        <f t="shared" si="153"/>
        <v>232</v>
      </c>
      <c r="FG38" s="263">
        <f t="shared" si="154"/>
        <v>1</v>
      </c>
      <c r="FH38" s="260"/>
      <c r="FI38" s="302"/>
      <c r="FJ38" s="261">
        <v>8</v>
      </c>
      <c r="FK38" s="59">
        <f t="shared" si="155"/>
        <v>0</v>
      </c>
      <c r="FL38" s="254">
        <f t="shared" si="156"/>
        <v>232</v>
      </c>
      <c r="FM38" s="263">
        <f t="shared" si="157"/>
        <v>1</v>
      </c>
      <c r="FN38" s="260"/>
      <c r="FO38" s="305"/>
      <c r="FP38" s="244"/>
    </row>
    <row r="39" spans="1:172" s="79" customFormat="1" ht="17" x14ac:dyDescent="0.45">
      <c r="A39" s="306">
        <v>3</v>
      </c>
      <c r="B39" s="241" t="e">
        <f>#REF!</f>
        <v>#REF!</v>
      </c>
      <c r="C39" s="206" t="s">
        <v>154</v>
      </c>
      <c r="D39" s="206" t="s">
        <v>158</v>
      </c>
      <c r="E39" s="242" t="s">
        <v>152</v>
      </c>
      <c r="F39" s="262"/>
      <c r="G39" s="300">
        <v>3</v>
      </c>
      <c r="H39" s="245"/>
      <c r="I39" s="206" t="s">
        <v>154</v>
      </c>
      <c r="J39" s="206" t="s">
        <v>158</v>
      </c>
      <c r="K39" s="242" t="s">
        <v>152</v>
      </c>
      <c r="L39" s="262"/>
      <c r="M39" s="305">
        <f>IF(COUNT(#REF!,F40:F48,L40:L48) &gt;0, COUNT(#REF!,F40:F48,L40:L48) /2,"")</f>
        <v>1</v>
      </c>
      <c r="N39" s="244"/>
      <c r="O39" s="306">
        <v>3</v>
      </c>
      <c r="P39" s="245"/>
      <c r="Q39" s="206" t="s">
        <v>154</v>
      </c>
      <c r="R39" s="206" t="s">
        <v>158</v>
      </c>
      <c r="S39" s="242" t="s">
        <v>152</v>
      </c>
      <c r="T39" s="262"/>
      <c r="U39" s="300">
        <v>3</v>
      </c>
      <c r="V39" s="245"/>
      <c r="W39" s="206" t="s">
        <v>154</v>
      </c>
      <c r="X39" s="206" t="s">
        <v>158</v>
      </c>
      <c r="Y39" s="242" t="s">
        <v>152</v>
      </c>
      <c r="Z39" s="262"/>
      <c r="AA39" s="300">
        <v>3</v>
      </c>
      <c r="AB39" s="245"/>
      <c r="AC39" s="206" t="s">
        <v>154</v>
      </c>
      <c r="AD39" s="206" t="s">
        <v>158</v>
      </c>
      <c r="AE39" s="242" t="s">
        <v>152</v>
      </c>
      <c r="AF39" s="262"/>
      <c r="AG39" s="305">
        <f>IF(COUNT(N40:N48,T40:T48,Z40:Z48,AF40:AF48) &gt;0, COUNT(N40:N48,T40:T48,Z40:Z48,AF40:AF48) /2,"")</f>
        <v>1</v>
      </c>
      <c r="AH39" s="244"/>
      <c r="AI39" s="306">
        <v>3</v>
      </c>
      <c r="AJ39" s="245"/>
      <c r="AK39" s="206" t="s">
        <v>154</v>
      </c>
      <c r="AL39" s="206" t="s">
        <v>158</v>
      </c>
      <c r="AM39" s="242" t="s">
        <v>152</v>
      </c>
      <c r="AN39" s="262"/>
      <c r="AO39" s="300">
        <v>3</v>
      </c>
      <c r="AP39" s="245"/>
      <c r="AQ39" s="206" t="s">
        <v>154</v>
      </c>
      <c r="AR39" s="206" t="s">
        <v>158</v>
      </c>
      <c r="AS39" s="242" t="s">
        <v>152</v>
      </c>
      <c r="AT39" s="262"/>
      <c r="AU39" s="300">
        <v>3</v>
      </c>
      <c r="AV39" s="245"/>
      <c r="AW39" s="206" t="s">
        <v>154</v>
      </c>
      <c r="AX39" s="206" t="s">
        <v>158</v>
      </c>
      <c r="AY39" s="242" t="s">
        <v>152</v>
      </c>
      <c r="AZ39" s="262"/>
      <c r="BA39" s="305">
        <f>IF(COUNT(AN40:AN48,AT40:AT48,AZ40:AZ48) &gt;0, COUNT(AN40:AN48,AT40:AT48,AZ40:AZ48) /2,"")</f>
        <v>1</v>
      </c>
      <c r="BB39" s="244"/>
      <c r="BC39" s="306">
        <v>3</v>
      </c>
      <c r="BD39" s="245"/>
      <c r="BE39" s="206" t="s">
        <v>154</v>
      </c>
      <c r="BF39" s="206" t="s">
        <v>158</v>
      </c>
      <c r="BG39" s="242" t="s">
        <v>152</v>
      </c>
      <c r="BH39" s="262"/>
      <c r="BI39" s="300">
        <v>3</v>
      </c>
      <c r="BJ39" s="245"/>
      <c r="BK39" s="206" t="s">
        <v>154</v>
      </c>
      <c r="BL39" s="206" t="s">
        <v>158</v>
      </c>
      <c r="BM39" s="242" t="s">
        <v>152</v>
      </c>
      <c r="BN39" s="262"/>
      <c r="BO39" s="300">
        <v>3</v>
      </c>
      <c r="BP39" s="245"/>
      <c r="BQ39" s="206" t="s">
        <v>154</v>
      </c>
      <c r="BR39" s="206" t="s">
        <v>158</v>
      </c>
      <c r="BS39" s="242" t="s">
        <v>152</v>
      </c>
      <c r="BT39" s="262"/>
      <c r="BU39" s="305">
        <f>IF(COUNT(BH40:BH48,BN40:BN48,BT40:BT48) &gt;0, COUNT(BH40:BH48,BN40:BN48,BT40:BT48) /2,"")</f>
        <v>1</v>
      </c>
      <c r="BV39" s="244"/>
      <c r="BW39" s="306">
        <v>3</v>
      </c>
      <c r="BX39" s="245"/>
      <c r="BY39" s="206" t="s">
        <v>154</v>
      </c>
      <c r="BZ39" s="206" t="s">
        <v>158</v>
      </c>
      <c r="CA39" s="242" t="s">
        <v>152</v>
      </c>
      <c r="CB39" s="262"/>
      <c r="CC39" s="300">
        <v>3</v>
      </c>
      <c r="CD39" s="245"/>
      <c r="CE39" s="206" t="s">
        <v>154</v>
      </c>
      <c r="CF39" s="206" t="s">
        <v>158</v>
      </c>
      <c r="CG39" s="242" t="s">
        <v>152</v>
      </c>
      <c r="CH39" s="262"/>
      <c r="CI39" s="300">
        <v>3</v>
      </c>
      <c r="CJ39" s="245"/>
      <c r="CK39" s="206" t="s">
        <v>154</v>
      </c>
      <c r="CL39" s="206" t="s">
        <v>158</v>
      </c>
      <c r="CM39" s="242" t="s">
        <v>152</v>
      </c>
      <c r="CN39" s="262"/>
      <c r="CO39" s="300">
        <v>3</v>
      </c>
      <c r="CP39" s="245"/>
      <c r="CQ39" s="206" t="s">
        <v>154</v>
      </c>
      <c r="CR39" s="206" t="s">
        <v>158</v>
      </c>
      <c r="CS39" s="242" t="s">
        <v>152</v>
      </c>
      <c r="CT39" s="262"/>
      <c r="CU39" s="305" t="str">
        <f>IF(COUNT(CB40:CB48,CH40:CH48,CN40:CN48,CT40:CT48) &gt;0, COUNT(CB40:CB48,CH40:CH48,CN40:CN48,CT40:CT48) /2,"")</f>
        <v/>
      </c>
      <c r="CV39" s="244"/>
      <c r="CW39" s="306">
        <v>3</v>
      </c>
      <c r="CX39" s="245"/>
      <c r="CY39" s="206" t="s">
        <v>154</v>
      </c>
      <c r="CZ39" s="206" t="s">
        <v>158</v>
      </c>
      <c r="DA39" s="242" t="s">
        <v>152</v>
      </c>
      <c r="DB39" s="262"/>
      <c r="DC39" s="300">
        <v>3</v>
      </c>
      <c r="DD39" s="245"/>
      <c r="DE39" s="206" t="s">
        <v>154</v>
      </c>
      <c r="DF39" s="206" t="s">
        <v>158</v>
      </c>
      <c r="DG39" s="242" t="s">
        <v>152</v>
      </c>
      <c r="DH39" s="262"/>
      <c r="DI39" s="300">
        <v>3</v>
      </c>
      <c r="DJ39" s="245"/>
      <c r="DK39" s="206" t="s">
        <v>154</v>
      </c>
      <c r="DL39" s="206" t="s">
        <v>158</v>
      </c>
      <c r="DM39" s="242" t="s">
        <v>152</v>
      </c>
      <c r="DN39" s="262"/>
      <c r="DO39" s="300">
        <v>3</v>
      </c>
      <c r="DP39" s="245"/>
      <c r="DQ39" s="206" t="s">
        <v>154</v>
      </c>
      <c r="DR39" s="206" t="s">
        <v>158</v>
      </c>
      <c r="DS39" s="242" t="s">
        <v>152</v>
      </c>
      <c r="DT39" s="262"/>
      <c r="DU39" s="305" t="str">
        <f>IF(COUNT(DB40:DB48,DH40:DH48,DN40:DN48,DT40:DT48) &gt;0, COUNT(DB40:DB48,DH40:DH48,DN40:DN48,DT40:DT48) /2,"")</f>
        <v/>
      </c>
      <c r="DV39" s="244"/>
      <c r="DW39" s="306">
        <v>3</v>
      </c>
      <c r="DX39" s="245"/>
      <c r="DY39" s="206" t="s">
        <v>154</v>
      </c>
      <c r="DZ39" s="206" t="s">
        <v>158</v>
      </c>
      <c r="EA39" s="242" t="s">
        <v>152</v>
      </c>
      <c r="EB39" s="262"/>
      <c r="EC39" s="300">
        <v>3</v>
      </c>
      <c r="ED39" s="245"/>
      <c r="EE39" s="206" t="s">
        <v>154</v>
      </c>
      <c r="EF39" s="206" t="s">
        <v>158</v>
      </c>
      <c r="EG39" s="242" t="s">
        <v>152</v>
      </c>
      <c r="EH39" s="262"/>
      <c r="EI39" s="300">
        <v>3</v>
      </c>
      <c r="EJ39" s="245"/>
      <c r="EK39" s="206" t="s">
        <v>154</v>
      </c>
      <c r="EL39" s="206" t="s">
        <v>158</v>
      </c>
      <c r="EM39" s="242" t="s">
        <v>152</v>
      </c>
      <c r="EN39" s="262"/>
      <c r="EO39" s="305" t="str">
        <f>IF(COUNT(EB40:EB48,EH40:EH48,EN40:EN48) &gt;0, COUNT(EB40:EB48,EH40:EH48,EN40:EN48) /2,"")</f>
        <v/>
      </c>
      <c r="EP39" s="244"/>
      <c r="EQ39" s="306">
        <v>3</v>
      </c>
      <c r="ER39" s="245"/>
      <c r="ES39" s="206" t="s">
        <v>154</v>
      </c>
      <c r="ET39" s="206" t="s">
        <v>158</v>
      </c>
      <c r="EU39" s="242" t="s">
        <v>152</v>
      </c>
      <c r="EV39" s="262"/>
      <c r="EW39" s="300">
        <v>3</v>
      </c>
      <c r="EX39" s="245"/>
      <c r="EY39" s="206" t="s">
        <v>154</v>
      </c>
      <c r="EZ39" s="206" t="s">
        <v>158</v>
      </c>
      <c r="FA39" s="242" t="s">
        <v>152</v>
      </c>
      <c r="FB39" s="262"/>
      <c r="FC39" s="300">
        <v>3</v>
      </c>
      <c r="FD39" s="245"/>
      <c r="FE39" s="206" t="s">
        <v>154</v>
      </c>
      <c r="FF39" s="206" t="s">
        <v>158</v>
      </c>
      <c r="FG39" s="242" t="s">
        <v>152</v>
      </c>
      <c r="FH39" s="262"/>
      <c r="FI39" s="300">
        <v>3</v>
      </c>
      <c r="FJ39" s="245"/>
      <c r="FK39" s="206" t="s">
        <v>154</v>
      </c>
      <c r="FL39" s="206" t="s">
        <v>158</v>
      </c>
      <c r="FM39" s="242" t="s">
        <v>152</v>
      </c>
      <c r="FN39" s="262"/>
      <c r="FO39" s="305" t="str">
        <f>IF(COUNT(EV40:EV48,FB40:FB48,FH40:FH48,FN40:FN48) &gt;0, COUNT(EV40:EV48,FB40:FB48,FH40:FH48,FN40:FN48) /2,"")</f>
        <v/>
      </c>
      <c r="FP39" s="244"/>
    </row>
    <row r="40" spans="1:172" ht="27.75" customHeight="1" x14ac:dyDescent="0.45">
      <c r="A40" s="307"/>
      <c r="B40" s="249" t="s">
        <v>162</v>
      </c>
      <c r="C40" s="41" t="s">
        <v>156</v>
      </c>
      <c r="D40" s="41" t="s">
        <v>175</v>
      </c>
      <c r="E40" s="249" t="s">
        <v>174</v>
      </c>
      <c r="F40" s="250"/>
      <c r="G40" s="301"/>
      <c r="H40" s="249" t="s">
        <v>162</v>
      </c>
      <c r="I40" s="59" t="s">
        <v>155</v>
      </c>
      <c r="J40" s="41" t="s">
        <v>175</v>
      </c>
      <c r="K40" s="249" t="s">
        <v>174</v>
      </c>
      <c r="L40" s="250"/>
      <c r="M40" s="305"/>
      <c r="N40" s="244"/>
      <c r="O40" s="307"/>
      <c r="P40" s="249" t="s">
        <v>162</v>
      </c>
      <c r="Q40" s="59" t="s">
        <v>155</v>
      </c>
      <c r="R40" s="41" t="s">
        <v>175</v>
      </c>
      <c r="S40" s="249" t="s">
        <v>174</v>
      </c>
      <c r="T40" s="250"/>
      <c r="U40" s="301"/>
      <c r="V40" s="249" t="s">
        <v>162</v>
      </c>
      <c r="W40" s="59" t="s">
        <v>155</v>
      </c>
      <c r="X40" s="41" t="s">
        <v>175</v>
      </c>
      <c r="Y40" s="249" t="s">
        <v>174</v>
      </c>
      <c r="Z40" s="250"/>
      <c r="AA40" s="301"/>
      <c r="AB40" s="249" t="s">
        <v>162</v>
      </c>
      <c r="AC40" s="59" t="s">
        <v>155</v>
      </c>
      <c r="AD40" s="41" t="s">
        <v>175</v>
      </c>
      <c r="AE40" s="249" t="s">
        <v>174</v>
      </c>
      <c r="AF40" s="250"/>
      <c r="AG40" s="305"/>
      <c r="AH40" s="244"/>
      <c r="AI40" s="307"/>
      <c r="AJ40" s="249" t="s">
        <v>162</v>
      </c>
      <c r="AK40" s="59" t="s">
        <v>155</v>
      </c>
      <c r="AL40" s="41" t="s">
        <v>175</v>
      </c>
      <c r="AM40" s="249" t="s">
        <v>174</v>
      </c>
      <c r="AN40" s="250"/>
      <c r="AO40" s="301"/>
      <c r="AP40" s="249" t="s">
        <v>162</v>
      </c>
      <c r="AQ40" s="59" t="s">
        <v>155</v>
      </c>
      <c r="AR40" s="41" t="s">
        <v>175</v>
      </c>
      <c r="AS40" s="249" t="s">
        <v>174</v>
      </c>
      <c r="AT40" s="250"/>
      <c r="AU40" s="301"/>
      <c r="AV40" s="249" t="s">
        <v>162</v>
      </c>
      <c r="AW40" s="59" t="s">
        <v>155</v>
      </c>
      <c r="AX40" s="41" t="s">
        <v>175</v>
      </c>
      <c r="AY40" s="249" t="s">
        <v>174</v>
      </c>
      <c r="AZ40" s="250"/>
      <c r="BA40" s="305"/>
      <c r="BB40" s="244"/>
      <c r="BC40" s="307"/>
      <c r="BD40" s="249" t="s">
        <v>162</v>
      </c>
      <c r="BE40" s="59" t="s">
        <v>155</v>
      </c>
      <c r="BF40" s="41" t="s">
        <v>175</v>
      </c>
      <c r="BG40" s="249" t="s">
        <v>174</v>
      </c>
      <c r="BH40" s="250"/>
      <c r="BI40" s="301"/>
      <c r="BJ40" s="249" t="s">
        <v>162</v>
      </c>
      <c r="BK40" s="59" t="s">
        <v>155</v>
      </c>
      <c r="BL40" s="41" t="s">
        <v>175</v>
      </c>
      <c r="BM40" s="249" t="s">
        <v>174</v>
      </c>
      <c r="BN40" s="250"/>
      <c r="BO40" s="301"/>
      <c r="BP40" s="249" t="s">
        <v>162</v>
      </c>
      <c r="BQ40" s="59" t="s">
        <v>155</v>
      </c>
      <c r="BR40" s="41" t="s">
        <v>175</v>
      </c>
      <c r="BS40" s="249" t="s">
        <v>174</v>
      </c>
      <c r="BT40" s="250"/>
      <c r="BU40" s="305"/>
      <c r="BV40" s="244"/>
      <c r="BW40" s="307"/>
      <c r="BX40" s="249" t="s">
        <v>162</v>
      </c>
      <c r="BY40" s="59" t="s">
        <v>155</v>
      </c>
      <c r="BZ40" s="41" t="s">
        <v>175</v>
      </c>
      <c r="CA40" s="249" t="s">
        <v>174</v>
      </c>
      <c r="CB40" s="250"/>
      <c r="CC40" s="301"/>
      <c r="CD40" s="249" t="s">
        <v>162</v>
      </c>
      <c r="CE40" s="59" t="s">
        <v>155</v>
      </c>
      <c r="CF40" s="41" t="s">
        <v>175</v>
      </c>
      <c r="CG40" s="249" t="s">
        <v>174</v>
      </c>
      <c r="CH40" s="250"/>
      <c r="CI40" s="301"/>
      <c r="CJ40" s="249" t="s">
        <v>162</v>
      </c>
      <c r="CK40" s="59" t="s">
        <v>155</v>
      </c>
      <c r="CL40" s="41" t="s">
        <v>175</v>
      </c>
      <c r="CM40" s="249" t="s">
        <v>174</v>
      </c>
      <c r="CN40" s="250"/>
      <c r="CO40" s="301"/>
      <c r="CP40" s="249" t="s">
        <v>162</v>
      </c>
      <c r="CQ40" s="59" t="s">
        <v>155</v>
      </c>
      <c r="CR40" s="41" t="s">
        <v>175</v>
      </c>
      <c r="CS40" s="249" t="s">
        <v>174</v>
      </c>
      <c r="CT40" s="250"/>
      <c r="CU40" s="305"/>
      <c r="CV40" s="244"/>
      <c r="CW40" s="307"/>
      <c r="CX40" s="249" t="s">
        <v>162</v>
      </c>
      <c r="CY40" s="59" t="s">
        <v>155</v>
      </c>
      <c r="CZ40" s="41" t="s">
        <v>175</v>
      </c>
      <c r="DA40" s="249" t="s">
        <v>174</v>
      </c>
      <c r="DB40" s="250"/>
      <c r="DC40" s="301"/>
      <c r="DD40" s="249" t="s">
        <v>162</v>
      </c>
      <c r="DE40" s="59" t="s">
        <v>155</v>
      </c>
      <c r="DF40" s="41" t="s">
        <v>175</v>
      </c>
      <c r="DG40" s="249" t="s">
        <v>174</v>
      </c>
      <c r="DH40" s="250"/>
      <c r="DI40" s="301"/>
      <c r="DJ40" s="249" t="s">
        <v>162</v>
      </c>
      <c r="DK40" s="59" t="s">
        <v>155</v>
      </c>
      <c r="DL40" s="41" t="s">
        <v>175</v>
      </c>
      <c r="DM40" s="249" t="s">
        <v>174</v>
      </c>
      <c r="DN40" s="250"/>
      <c r="DO40" s="301"/>
      <c r="DP40" s="249" t="s">
        <v>162</v>
      </c>
      <c r="DQ40" s="59" t="s">
        <v>155</v>
      </c>
      <c r="DR40" s="41" t="s">
        <v>175</v>
      </c>
      <c r="DS40" s="249" t="s">
        <v>174</v>
      </c>
      <c r="DT40" s="250"/>
      <c r="DU40" s="305"/>
      <c r="DV40" s="244"/>
      <c r="DW40" s="307"/>
      <c r="DX40" s="249" t="s">
        <v>162</v>
      </c>
      <c r="DY40" s="59" t="s">
        <v>155</v>
      </c>
      <c r="DZ40" s="41" t="s">
        <v>175</v>
      </c>
      <c r="EA40" s="249" t="s">
        <v>174</v>
      </c>
      <c r="EB40" s="250"/>
      <c r="EC40" s="301"/>
      <c r="ED40" s="249" t="s">
        <v>162</v>
      </c>
      <c r="EE40" s="59" t="s">
        <v>155</v>
      </c>
      <c r="EF40" s="41" t="s">
        <v>175</v>
      </c>
      <c r="EG40" s="249" t="s">
        <v>174</v>
      </c>
      <c r="EH40" s="250"/>
      <c r="EI40" s="301"/>
      <c r="EJ40" s="249" t="s">
        <v>162</v>
      </c>
      <c r="EK40" s="59" t="s">
        <v>155</v>
      </c>
      <c r="EL40" s="41" t="s">
        <v>175</v>
      </c>
      <c r="EM40" s="249" t="s">
        <v>174</v>
      </c>
      <c r="EN40" s="250"/>
      <c r="EO40" s="305"/>
      <c r="EP40" s="244"/>
      <c r="EQ40" s="307"/>
      <c r="ER40" s="249" t="s">
        <v>162</v>
      </c>
      <c r="ES40" s="59" t="s">
        <v>155</v>
      </c>
      <c r="ET40" s="41" t="s">
        <v>175</v>
      </c>
      <c r="EU40" s="249" t="s">
        <v>174</v>
      </c>
      <c r="EV40" s="250"/>
      <c r="EW40" s="301"/>
      <c r="EX40" s="249" t="s">
        <v>162</v>
      </c>
      <c r="EY40" s="59" t="s">
        <v>155</v>
      </c>
      <c r="EZ40" s="41" t="s">
        <v>175</v>
      </c>
      <c r="FA40" s="249" t="s">
        <v>174</v>
      </c>
      <c r="FB40" s="250"/>
      <c r="FC40" s="301"/>
      <c r="FD40" s="249" t="s">
        <v>162</v>
      </c>
      <c r="FE40" s="59" t="s">
        <v>155</v>
      </c>
      <c r="FF40" s="41" t="s">
        <v>175</v>
      </c>
      <c r="FG40" s="249" t="s">
        <v>174</v>
      </c>
      <c r="FH40" s="250"/>
      <c r="FI40" s="301"/>
      <c r="FJ40" s="249" t="s">
        <v>162</v>
      </c>
      <c r="FK40" s="59" t="s">
        <v>155</v>
      </c>
      <c r="FL40" s="41" t="s">
        <v>175</v>
      </c>
      <c r="FM40" s="249" t="s">
        <v>174</v>
      </c>
      <c r="FN40" s="250"/>
      <c r="FO40" s="305"/>
      <c r="FP40" s="244"/>
    </row>
    <row r="41" spans="1:172" ht="17" x14ac:dyDescent="0.45">
      <c r="A41" s="307"/>
      <c r="B41" s="226">
        <v>1</v>
      </c>
      <c r="C41" s="59">
        <v>0</v>
      </c>
      <c r="D41" s="254" t="e">
        <f t="shared" ref="D41:D48" si="158">(C41+$B$39)*$H$3</f>
        <v>#REF!</v>
      </c>
      <c r="E41" s="263" t="e">
        <f t="shared" ref="E41:E48" si="159">MOD($F6+D41,$H$2)</f>
        <v>#REF!</v>
      </c>
      <c r="F41" s="264"/>
      <c r="G41" s="301"/>
      <c r="H41" s="226">
        <v>1</v>
      </c>
      <c r="I41" s="59">
        <f t="shared" ref="I41:I48" si="160">IF(F41="", C41,IF(F41=MAX(F$41:F$48),C41+1,0))</f>
        <v>0</v>
      </c>
      <c r="J41" s="254" t="e">
        <f t="shared" ref="J41:J48" si="161">(I41+$B$39)*$H$3</f>
        <v>#REF!</v>
      </c>
      <c r="K41" s="263" t="e">
        <f t="shared" ref="K41:K48" si="162">MOD($F6+J41,$H$2)</f>
        <v>#REF!</v>
      </c>
      <c r="L41" s="264"/>
      <c r="M41" s="305"/>
      <c r="N41" s="244"/>
      <c r="O41" s="307"/>
      <c r="P41" s="226">
        <v>1</v>
      </c>
      <c r="Q41" s="59">
        <f t="shared" ref="Q41:Q48" si="163">IF(F41="", C41,IF(F41=MAX(F$41:F$48),C41+1,0))</f>
        <v>0</v>
      </c>
      <c r="R41" s="254" t="e">
        <f t="shared" ref="R41:R48" si="164">(Q41+$B$39)*$H$3</f>
        <v>#REF!</v>
      </c>
      <c r="S41" s="263" t="e">
        <f t="shared" ref="S41:S48" si="165">MOD($F6+R41,$H$2)</f>
        <v>#REF!</v>
      </c>
      <c r="T41" s="264"/>
      <c r="U41" s="301"/>
      <c r="V41" s="226">
        <v>1</v>
      </c>
      <c r="W41" s="59">
        <f t="shared" ref="W41:W48" si="166">IF(T41="", Q41,IF(T41=MAX(T$41:T$48),Q41+1,0))</f>
        <v>0</v>
      </c>
      <c r="X41" s="254" t="e">
        <f t="shared" ref="X41:X48" si="167">(W41+$B$39)*$H$3</f>
        <v>#REF!</v>
      </c>
      <c r="Y41" s="263" t="e">
        <f t="shared" ref="Y41:Y48" si="168">MOD($F6+X41,$H$2)</f>
        <v>#REF!</v>
      </c>
      <c r="Z41" s="264"/>
      <c r="AA41" s="301"/>
      <c r="AB41" s="226">
        <v>1</v>
      </c>
      <c r="AC41" s="59">
        <f t="shared" ref="AC41:AC48" si="169">IF(Z41="", W41,IF(Z41=MAX(Z$41:Z$48),W41+1,0))</f>
        <v>0</v>
      </c>
      <c r="AD41" s="254" t="e">
        <f t="shared" ref="AD41:AD48" si="170">(AC41+$B$39)*$H$3</f>
        <v>#REF!</v>
      </c>
      <c r="AE41" s="263" t="e">
        <f t="shared" ref="AE41:AE48" si="171">MOD($F6+AD41,$H$2)</f>
        <v>#REF!</v>
      </c>
      <c r="AF41" s="264"/>
      <c r="AG41" s="305"/>
      <c r="AH41" s="244"/>
      <c r="AI41" s="307"/>
      <c r="AJ41" s="226">
        <v>1</v>
      </c>
      <c r="AK41" s="59">
        <f t="shared" ref="AK41:AK48" si="172">IF(AF41="", AC41,IF(AF41=MAX(AF$41:AF$48),AC41+1,0))</f>
        <v>0</v>
      </c>
      <c r="AL41" s="254" t="e">
        <f t="shared" ref="AL41:AL48" si="173">(AK41+$B$39)*$H$3</f>
        <v>#REF!</v>
      </c>
      <c r="AM41" s="263" t="e">
        <f t="shared" ref="AM41:AM48" si="174">MOD($F6+AL41,$H$2)</f>
        <v>#REF!</v>
      </c>
      <c r="AN41" s="264"/>
      <c r="AO41" s="301"/>
      <c r="AP41" s="226">
        <v>1</v>
      </c>
      <c r="AQ41" s="59">
        <f t="shared" ref="AQ41:AQ48" si="175">IF(AN41="", AK41,IF(AN41=MAX(AN$41:AN$48),AK41+1,0))</f>
        <v>0</v>
      </c>
      <c r="AR41" s="254" t="e">
        <f t="shared" ref="AR41:AR48" si="176">(AQ41+$B$39)*$H$3</f>
        <v>#REF!</v>
      </c>
      <c r="AS41" s="263" t="e">
        <f t="shared" ref="AS41:AS48" si="177">MOD($F6+AR41,$H$2)</f>
        <v>#REF!</v>
      </c>
      <c r="AT41" s="264"/>
      <c r="AU41" s="301"/>
      <c r="AV41" s="226">
        <v>1</v>
      </c>
      <c r="AW41" s="59">
        <f t="shared" ref="AW41:AW48" si="178">IF(AT41="", AQ41,IF(AT41=MAX(AT$41:AT$48),AQ41+1,0))</f>
        <v>0</v>
      </c>
      <c r="AX41" s="254" t="e">
        <f t="shared" ref="AX41:AX48" si="179">(AW41+$B$39)*$H$3</f>
        <v>#REF!</v>
      </c>
      <c r="AY41" s="263" t="e">
        <f t="shared" ref="AY41:AY48" si="180">MOD($F6+AX41,$H$2)</f>
        <v>#REF!</v>
      </c>
      <c r="AZ41" s="264"/>
      <c r="BA41" s="305"/>
      <c r="BB41" s="244"/>
      <c r="BC41" s="307"/>
      <c r="BD41" s="226">
        <v>1</v>
      </c>
      <c r="BE41" s="59">
        <f t="shared" ref="BE41:BE48" si="181">IF(AZ41="", AW41,IF(AZ41=MAX(AZ$41:AZ$48),AW41+1,0))</f>
        <v>0</v>
      </c>
      <c r="BF41" s="254" t="e">
        <f t="shared" ref="BF41:BF48" si="182">(BE41+$B$39)*$H$3</f>
        <v>#REF!</v>
      </c>
      <c r="BG41" s="263" t="e">
        <f t="shared" ref="BG41:BG48" si="183">MOD($F6+BF41,$H$2)</f>
        <v>#REF!</v>
      </c>
      <c r="BH41" s="264"/>
      <c r="BI41" s="301"/>
      <c r="BJ41" s="226">
        <v>1</v>
      </c>
      <c r="BK41" s="59">
        <f t="shared" ref="BK41:BK48" si="184">IF(BH41="", BE41,IF(BH41=MAX(BH$41:BH$48),BE41+1,0))</f>
        <v>0</v>
      </c>
      <c r="BL41" s="254" t="e">
        <f t="shared" ref="BL41:BL48" si="185">(BK41+$B$39)*$H$3</f>
        <v>#REF!</v>
      </c>
      <c r="BM41" s="263" t="e">
        <f t="shared" ref="BM41:BM48" si="186">MOD($F6+BL41,$H$2)</f>
        <v>#REF!</v>
      </c>
      <c r="BN41" s="264"/>
      <c r="BO41" s="301"/>
      <c r="BP41" s="226">
        <v>1</v>
      </c>
      <c r="BQ41" s="59">
        <f t="shared" ref="BQ41:BQ48" si="187">IF(BN41="", BK41,IF(BN41=MAX(BN$41:BN$48),BK41+1,0))</f>
        <v>0</v>
      </c>
      <c r="BR41" s="254" t="e">
        <f t="shared" ref="BR41:BR48" si="188">(BQ41+$B$39)*$H$3</f>
        <v>#REF!</v>
      </c>
      <c r="BS41" s="263" t="e">
        <f t="shared" ref="BS41:BS48" si="189">MOD($F6+BR41,$H$2)</f>
        <v>#REF!</v>
      </c>
      <c r="BT41" s="264"/>
      <c r="BU41" s="305"/>
      <c r="BV41" s="244"/>
      <c r="BW41" s="307"/>
      <c r="BX41" s="226">
        <v>1</v>
      </c>
      <c r="BY41" s="59">
        <f t="shared" ref="BY41:BY48" si="190">IF(BT41="", BQ41,IF(BT41=MAX(BT$41:BT$48),BQ41+1,0))</f>
        <v>0</v>
      </c>
      <c r="BZ41" s="254" t="e">
        <f t="shared" ref="BZ41:BZ48" si="191">(BY41+$B$39)*$H$3</f>
        <v>#REF!</v>
      </c>
      <c r="CA41" s="263" t="e">
        <f t="shared" ref="CA41:CA48" si="192">MOD($F6+BZ41,$H$2)</f>
        <v>#REF!</v>
      </c>
      <c r="CB41" s="264"/>
      <c r="CC41" s="301"/>
      <c r="CD41" s="226">
        <v>1</v>
      </c>
      <c r="CE41" s="59">
        <f t="shared" ref="CE41:CE48" si="193">IF(CB41="", BY41,IF(CB41=MAX(CB$41:CB$48),BY41+1,0))</f>
        <v>0</v>
      </c>
      <c r="CF41" s="254" t="e">
        <f t="shared" ref="CF41:CF48" si="194">(CE41+$B$39)*$H$3</f>
        <v>#REF!</v>
      </c>
      <c r="CG41" s="263" t="e">
        <f t="shared" ref="CG41:CG48" si="195">MOD($F6+CF41,$H$2)</f>
        <v>#REF!</v>
      </c>
      <c r="CH41" s="264"/>
      <c r="CI41" s="301"/>
      <c r="CJ41" s="226">
        <v>1</v>
      </c>
      <c r="CK41" s="59">
        <f t="shared" ref="CK41:CK48" si="196">IF(CH41="", CE41,IF(CH41=MAX(CH$41:CH$48),CE41+1,0))</f>
        <v>0</v>
      </c>
      <c r="CL41" s="254" t="e">
        <f t="shared" ref="CL41:CL48" si="197">(CK41+$B$39)*$H$3</f>
        <v>#REF!</v>
      </c>
      <c r="CM41" s="263" t="e">
        <f t="shared" ref="CM41:CM48" si="198">MOD($F6+CL41,$H$2)</f>
        <v>#REF!</v>
      </c>
      <c r="CN41" s="264"/>
      <c r="CO41" s="301"/>
      <c r="CP41" s="226">
        <v>1</v>
      </c>
      <c r="CQ41" s="59">
        <f t="shared" ref="CQ41:CQ48" si="199">IF(CN41="", CK41,IF(CN41=MAX(CN$41:CN$48),CK41+1,0))</f>
        <v>0</v>
      </c>
      <c r="CR41" s="254" t="e">
        <f t="shared" ref="CR41:CR48" si="200">(CQ41+$B$39)*$H$3</f>
        <v>#REF!</v>
      </c>
      <c r="CS41" s="263" t="e">
        <f t="shared" ref="CS41:CS48" si="201">MOD($F6+CR41,$H$2)</f>
        <v>#REF!</v>
      </c>
      <c r="CT41" s="264"/>
      <c r="CU41" s="305"/>
      <c r="CV41" s="244"/>
      <c r="CW41" s="307"/>
      <c r="CX41" s="226">
        <v>1</v>
      </c>
      <c r="CY41" s="59">
        <f t="shared" ref="CY41:CY48" si="202">IF(CT41="", CQ41,IF(CT41=MAX(CT$41:CT$48),CQ41+1,0))</f>
        <v>0</v>
      </c>
      <c r="CZ41" s="254" t="e">
        <f t="shared" ref="CZ41:CZ48" si="203">(CY41+$B$39)*$H$3</f>
        <v>#REF!</v>
      </c>
      <c r="DA41" s="263" t="e">
        <f t="shared" ref="DA41:DA48" si="204">MOD($F6+CZ41,$H$2)</f>
        <v>#REF!</v>
      </c>
      <c r="DB41" s="264"/>
      <c r="DC41" s="301"/>
      <c r="DD41" s="226">
        <v>1</v>
      </c>
      <c r="DE41" s="59">
        <f t="shared" ref="DE41:DE48" si="205">IF(DB41="", CY41,IF(DB41=MAX(DB$41:DB$48),CY41+1,0))</f>
        <v>0</v>
      </c>
      <c r="DF41" s="254" t="e">
        <f t="shared" ref="DF41:DF48" si="206">(DE41+$B$39)*$H$3</f>
        <v>#REF!</v>
      </c>
      <c r="DG41" s="263" t="e">
        <f t="shared" ref="DG41:DG48" si="207">MOD($F6+DF41,$H$2)</f>
        <v>#REF!</v>
      </c>
      <c r="DH41" s="264"/>
      <c r="DI41" s="301"/>
      <c r="DJ41" s="226">
        <v>1</v>
      </c>
      <c r="DK41" s="59">
        <f t="shared" ref="DK41:DK48" si="208">IF(DH41="", DE41,IF(DH41=MAX(DH$41:DH$48),DE41+1,0))</f>
        <v>0</v>
      </c>
      <c r="DL41" s="254" t="e">
        <f t="shared" ref="DL41:DL48" si="209">(DK41+$B$39)*$H$3</f>
        <v>#REF!</v>
      </c>
      <c r="DM41" s="263" t="e">
        <f t="shared" ref="DM41:DM48" si="210">MOD($F6+DL41,$H$2)</f>
        <v>#REF!</v>
      </c>
      <c r="DN41" s="264"/>
      <c r="DO41" s="301"/>
      <c r="DP41" s="226">
        <v>1</v>
      </c>
      <c r="DQ41" s="59">
        <f t="shared" ref="DQ41:DQ48" si="211">IF(DN41="", DK41,IF(DN41=MAX(DN$41:DN$48),DK41+1,0))</f>
        <v>0</v>
      </c>
      <c r="DR41" s="254" t="e">
        <f t="shared" ref="DR41:DR48" si="212">(DQ41+$B$39)*$H$3</f>
        <v>#REF!</v>
      </c>
      <c r="DS41" s="263" t="e">
        <f t="shared" ref="DS41:DS48" si="213">MOD($F6+DR41,$H$2)</f>
        <v>#REF!</v>
      </c>
      <c r="DT41" s="264"/>
      <c r="DU41" s="305"/>
      <c r="DV41" s="244"/>
      <c r="DW41" s="307"/>
      <c r="DX41" s="226">
        <v>1</v>
      </c>
      <c r="DY41" s="59">
        <f t="shared" ref="DY41:DY48" si="214">IF(DN41="", DK41,IF(DN41=MAX(DN$41:DN$48),DK41+1,0))</f>
        <v>0</v>
      </c>
      <c r="DZ41" s="254" t="e">
        <f t="shared" ref="DZ41:DZ48" si="215">(DY41+$B$39)*$H$3</f>
        <v>#REF!</v>
      </c>
      <c r="EA41" s="263" t="e">
        <f t="shared" ref="EA41:EA48" si="216">MOD($F6+DZ41,$H$2)</f>
        <v>#REF!</v>
      </c>
      <c r="EB41" s="264"/>
      <c r="EC41" s="301"/>
      <c r="ED41" s="226">
        <v>1</v>
      </c>
      <c r="EE41" s="59">
        <f t="shared" ref="EE41:EE48" si="217">IF(EB41="", DY41,IF(EB41=MAX(EB$41:EB$48),DY41+1,0))</f>
        <v>0</v>
      </c>
      <c r="EF41" s="254" t="e">
        <f t="shared" ref="EF41:EF48" si="218">(EE41+$B$39)*$H$3</f>
        <v>#REF!</v>
      </c>
      <c r="EG41" s="263" t="e">
        <f t="shared" ref="EG41:EG48" si="219">MOD($F6+EF41,$H$2)</f>
        <v>#REF!</v>
      </c>
      <c r="EH41" s="264"/>
      <c r="EI41" s="301"/>
      <c r="EJ41" s="226">
        <v>1</v>
      </c>
      <c r="EK41" s="59">
        <f t="shared" ref="EK41:EK48" si="220">IF(EH41="", EE41,IF(EH41=MAX(EH$41:EH$48),EE41+1,0))</f>
        <v>0</v>
      </c>
      <c r="EL41" s="254" t="e">
        <f t="shared" ref="EL41:EL48" si="221">(EK41+$B$39)*$H$3</f>
        <v>#REF!</v>
      </c>
      <c r="EM41" s="263" t="e">
        <f t="shared" ref="EM41:EM48" si="222">MOD($F6+EL41,$H$2)</f>
        <v>#REF!</v>
      </c>
      <c r="EN41" s="264"/>
      <c r="EO41" s="305"/>
      <c r="EP41" s="244"/>
      <c r="EQ41" s="307"/>
      <c r="ER41" s="226">
        <v>1</v>
      </c>
      <c r="ES41" s="59">
        <f t="shared" ref="ES41:ES48" si="223">IF(EN41="", EK41,IF(EN41=MAX(EN$41:EN$48),EK41+1,0))</f>
        <v>0</v>
      </c>
      <c r="ET41" s="254" t="e">
        <f t="shared" ref="ET41:ET48" si="224">(ES41+$B$39)*$H$3</f>
        <v>#REF!</v>
      </c>
      <c r="EU41" s="263" t="e">
        <f t="shared" ref="EU41:EU48" si="225">MOD($F6+ET41,$H$2)</f>
        <v>#REF!</v>
      </c>
      <c r="EV41" s="264"/>
      <c r="EW41" s="301"/>
      <c r="EX41" s="226">
        <v>1</v>
      </c>
      <c r="EY41" s="59">
        <f t="shared" ref="EY41:EY48" si="226">IF(EV41="", ES41,IF(EV41=MAX(EV$41:EV$48),ES41+1,0))</f>
        <v>0</v>
      </c>
      <c r="EZ41" s="254" t="e">
        <f t="shared" ref="EZ41:EZ48" si="227">(EY41+$B$39)*$H$3</f>
        <v>#REF!</v>
      </c>
      <c r="FA41" s="263" t="e">
        <f t="shared" ref="FA41:FA48" si="228">MOD($F6+EZ41,$H$2)</f>
        <v>#REF!</v>
      </c>
      <c r="FB41" s="264"/>
      <c r="FC41" s="301"/>
      <c r="FD41" s="226">
        <v>1</v>
      </c>
      <c r="FE41" s="59">
        <f t="shared" ref="FE41:FE48" si="229">IF(FB41="", EY41,IF(FB41=MAX(FB$41:FB$48),EY41+1,0))</f>
        <v>0</v>
      </c>
      <c r="FF41" s="254" t="e">
        <f t="shared" ref="FF41:FF48" si="230">(FE41+$B$39)*$H$3</f>
        <v>#REF!</v>
      </c>
      <c r="FG41" s="263" t="e">
        <f t="shared" ref="FG41:FG48" si="231">MOD($F6+FF41,$H$2)</f>
        <v>#REF!</v>
      </c>
      <c r="FH41" s="264"/>
      <c r="FI41" s="301"/>
      <c r="FJ41" s="226">
        <v>1</v>
      </c>
      <c r="FK41" s="59">
        <f t="shared" ref="FK41:FK48" si="232">IF(FH41="", FE41,IF(FH41=MAX(FH$41:FH$48),FE41+1,0))</f>
        <v>0</v>
      </c>
      <c r="FL41" s="254" t="e">
        <f t="shared" ref="FL41:FL48" si="233">(FK41+$B$39)*$H$3</f>
        <v>#REF!</v>
      </c>
      <c r="FM41" s="263" t="e">
        <f t="shared" ref="FM41:FM48" si="234">MOD($F6+FL41,$H$2)</f>
        <v>#REF!</v>
      </c>
      <c r="FN41" s="264"/>
      <c r="FO41" s="305"/>
      <c r="FP41" s="244"/>
    </row>
    <row r="42" spans="1:172" ht="17" x14ac:dyDescent="0.45">
      <c r="A42" s="307"/>
      <c r="B42" s="226">
        <v>2</v>
      </c>
      <c r="C42" s="59">
        <v>0</v>
      </c>
      <c r="D42" s="254" t="e">
        <f t="shared" si="158"/>
        <v>#REF!</v>
      </c>
      <c r="E42" s="263" t="e">
        <f t="shared" si="159"/>
        <v>#REF!</v>
      </c>
      <c r="F42" s="248"/>
      <c r="G42" s="301"/>
      <c r="H42" s="226">
        <v>2</v>
      </c>
      <c r="I42" s="59">
        <f t="shared" si="160"/>
        <v>0</v>
      </c>
      <c r="J42" s="254" t="e">
        <f t="shared" si="161"/>
        <v>#REF!</v>
      </c>
      <c r="K42" s="263" t="e">
        <f t="shared" si="162"/>
        <v>#REF!</v>
      </c>
      <c r="L42" s="248"/>
      <c r="M42" s="305"/>
      <c r="N42" s="244"/>
      <c r="O42" s="307"/>
      <c r="P42" s="226">
        <v>2</v>
      </c>
      <c r="Q42" s="59">
        <f t="shared" si="163"/>
        <v>0</v>
      </c>
      <c r="R42" s="254" t="e">
        <f t="shared" si="164"/>
        <v>#REF!</v>
      </c>
      <c r="S42" s="263" t="e">
        <f t="shared" si="165"/>
        <v>#REF!</v>
      </c>
      <c r="T42" s="248"/>
      <c r="U42" s="301"/>
      <c r="V42" s="226">
        <v>2</v>
      </c>
      <c r="W42" s="59">
        <f t="shared" si="166"/>
        <v>0</v>
      </c>
      <c r="X42" s="254" t="e">
        <f t="shared" si="167"/>
        <v>#REF!</v>
      </c>
      <c r="Y42" s="263" t="e">
        <f t="shared" si="168"/>
        <v>#REF!</v>
      </c>
      <c r="Z42" s="248"/>
      <c r="AA42" s="301"/>
      <c r="AB42" s="226">
        <v>2</v>
      </c>
      <c r="AC42" s="59">
        <f t="shared" si="169"/>
        <v>0</v>
      </c>
      <c r="AD42" s="254" t="e">
        <f t="shared" si="170"/>
        <v>#REF!</v>
      </c>
      <c r="AE42" s="263" t="e">
        <f t="shared" si="171"/>
        <v>#REF!</v>
      </c>
      <c r="AF42" s="248"/>
      <c r="AG42" s="305"/>
      <c r="AH42" s="244"/>
      <c r="AI42" s="307"/>
      <c r="AJ42" s="226">
        <v>2</v>
      </c>
      <c r="AK42" s="59">
        <f t="shared" si="172"/>
        <v>0</v>
      </c>
      <c r="AL42" s="254" t="e">
        <f t="shared" si="173"/>
        <v>#REF!</v>
      </c>
      <c r="AM42" s="263" t="e">
        <f t="shared" si="174"/>
        <v>#REF!</v>
      </c>
      <c r="AN42" s="248"/>
      <c r="AO42" s="301"/>
      <c r="AP42" s="226">
        <v>2</v>
      </c>
      <c r="AQ42" s="59">
        <f t="shared" si="175"/>
        <v>0</v>
      </c>
      <c r="AR42" s="254" t="e">
        <f t="shared" si="176"/>
        <v>#REF!</v>
      </c>
      <c r="AS42" s="263" t="e">
        <f t="shared" si="177"/>
        <v>#REF!</v>
      </c>
      <c r="AT42" s="248"/>
      <c r="AU42" s="301"/>
      <c r="AV42" s="226">
        <v>2</v>
      </c>
      <c r="AW42" s="59">
        <f t="shared" si="178"/>
        <v>0</v>
      </c>
      <c r="AX42" s="254" t="e">
        <f t="shared" si="179"/>
        <v>#REF!</v>
      </c>
      <c r="AY42" s="263" t="e">
        <f t="shared" si="180"/>
        <v>#REF!</v>
      </c>
      <c r="AZ42" s="248"/>
      <c r="BA42" s="305"/>
      <c r="BB42" s="244"/>
      <c r="BC42" s="307"/>
      <c r="BD42" s="226">
        <v>2</v>
      </c>
      <c r="BE42" s="59">
        <f t="shared" si="181"/>
        <v>0</v>
      </c>
      <c r="BF42" s="254" t="e">
        <f t="shared" si="182"/>
        <v>#REF!</v>
      </c>
      <c r="BG42" s="263" t="e">
        <f t="shared" si="183"/>
        <v>#REF!</v>
      </c>
      <c r="BH42" s="248"/>
      <c r="BI42" s="301"/>
      <c r="BJ42" s="226">
        <v>2</v>
      </c>
      <c r="BK42" s="59">
        <f t="shared" si="184"/>
        <v>0</v>
      </c>
      <c r="BL42" s="254" t="e">
        <f t="shared" si="185"/>
        <v>#REF!</v>
      </c>
      <c r="BM42" s="263" t="e">
        <f t="shared" si="186"/>
        <v>#REF!</v>
      </c>
      <c r="BN42" s="248"/>
      <c r="BO42" s="301"/>
      <c r="BP42" s="226">
        <v>2</v>
      </c>
      <c r="BQ42" s="59">
        <f t="shared" si="187"/>
        <v>0</v>
      </c>
      <c r="BR42" s="254" t="e">
        <f t="shared" si="188"/>
        <v>#REF!</v>
      </c>
      <c r="BS42" s="263" t="e">
        <f t="shared" si="189"/>
        <v>#REF!</v>
      </c>
      <c r="BT42" s="248"/>
      <c r="BU42" s="305"/>
      <c r="BV42" s="244"/>
      <c r="BW42" s="307"/>
      <c r="BX42" s="226">
        <v>2</v>
      </c>
      <c r="BY42" s="59">
        <f t="shared" si="190"/>
        <v>0</v>
      </c>
      <c r="BZ42" s="254" t="e">
        <f t="shared" si="191"/>
        <v>#REF!</v>
      </c>
      <c r="CA42" s="263" t="e">
        <f t="shared" si="192"/>
        <v>#REF!</v>
      </c>
      <c r="CB42" s="248"/>
      <c r="CC42" s="301"/>
      <c r="CD42" s="226">
        <v>2</v>
      </c>
      <c r="CE42" s="59">
        <f t="shared" si="193"/>
        <v>0</v>
      </c>
      <c r="CF42" s="254" t="e">
        <f t="shared" si="194"/>
        <v>#REF!</v>
      </c>
      <c r="CG42" s="263" t="e">
        <f t="shared" si="195"/>
        <v>#REF!</v>
      </c>
      <c r="CH42" s="248"/>
      <c r="CI42" s="301"/>
      <c r="CJ42" s="226">
        <v>2</v>
      </c>
      <c r="CK42" s="59">
        <f t="shared" si="196"/>
        <v>0</v>
      </c>
      <c r="CL42" s="254" t="e">
        <f t="shared" si="197"/>
        <v>#REF!</v>
      </c>
      <c r="CM42" s="263" t="e">
        <f t="shared" si="198"/>
        <v>#REF!</v>
      </c>
      <c r="CN42" s="248"/>
      <c r="CO42" s="301"/>
      <c r="CP42" s="226">
        <v>2</v>
      </c>
      <c r="CQ42" s="59">
        <f t="shared" si="199"/>
        <v>0</v>
      </c>
      <c r="CR42" s="254" t="e">
        <f t="shared" si="200"/>
        <v>#REF!</v>
      </c>
      <c r="CS42" s="263" t="e">
        <f t="shared" si="201"/>
        <v>#REF!</v>
      </c>
      <c r="CT42" s="248"/>
      <c r="CU42" s="305"/>
      <c r="CV42" s="244"/>
      <c r="CW42" s="307"/>
      <c r="CX42" s="226">
        <v>2</v>
      </c>
      <c r="CY42" s="59">
        <f t="shared" si="202"/>
        <v>0</v>
      </c>
      <c r="CZ42" s="254" t="e">
        <f t="shared" si="203"/>
        <v>#REF!</v>
      </c>
      <c r="DA42" s="263" t="e">
        <f t="shared" si="204"/>
        <v>#REF!</v>
      </c>
      <c r="DB42" s="248"/>
      <c r="DC42" s="301"/>
      <c r="DD42" s="226">
        <v>2</v>
      </c>
      <c r="DE42" s="59">
        <f t="shared" si="205"/>
        <v>0</v>
      </c>
      <c r="DF42" s="254" t="e">
        <f t="shared" si="206"/>
        <v>#REF!</v>
      </c>
      <c r="DG42" s="263" t="e">
        <f t="shared" si="207"/>
        <v>#REF!</v>
      </c>
      <c r="DH42" s="248"/>
      <c r="DI42" s="301"/>
      <c r="DJ42" s="226">
        <v>2</v>
      </c>
      <c r="DK42" s="59">
        <f t="shared" si="208"/>
        <v>0</v>
      </c>
      <c r="DL42" s="254" t="e">
        <f t="shared" si="209"/>
        <v>#REF!</v>
      </c>
      <c r="DM42" s="263" t="e">
        <f t="shared" si="210"/>
        <v>#REF!</v>
      </c>
      <c r="DN42" s="248"/>
      <c r="DO42" s="301"/>
      <c r="DP42" s="226">
        <v>2</v>
      </c>
      <c r="DQ42" s="59">
        <f t="shared" si="211"/>
        <v>0</v>
      </c>
      <c r="DR42" s="254" t="e">
        <f t="shared" si="212"/>
        <v>#REF!</v>
      </c>
      <c r="DS42" s="263" t="e">
        <f t="shared" si="213"/>
        <v>#REF!</v>
      </c>
      <c r="DT42" s="248"/>
      <c r="DU42" s="305"/>
      <c r="DV42" s="244"/>
      <c r="DW42" s="307"/>
      <c r="DX42" s="226">
        <v>2</v>
      </c>
      <c r="DY42" s="59">
        <f t="shared" si="214"/>
        <v>0</v>
      </c>
      <c r="DZ42" s="254" t="e">
        <f t="shared" si="215"/>
        <v>#REF!</v>
      </c>
      <c r="EA42" s="263" t="e">
        <f t="shared" si="216"/>
        <v>#REF!</v>
      </c>
      <c r="EB42" s="248"/>
      <c r="EC42" s="301"/>
      <c r="ED42" s="226">
        <v>2</v>
      </c>
      <c r="EE42" s="59">
        <f t="shared" si="217"/>
        <v>0</v>
      </c>
      <c r="EF42" s="254" t="e">
        <f t="shared" si="218"/>
        <v>#REF!</v>
      </c>
      <c r="EG42" s="263" t="e">
        <f t="shared" si="219"/>
        <v>#REF!</v>
      </c>
      <c r="EH42" s="248"/>
      <c r="EI42" s="301"/>
      <c r="EJ42" s="226">
        <v>2</v>
      </c>
      <c r="EK42" s="59">
        <f t="shared" si="220"/>
        <v>0</v>
      </c>
      <c r="EL42" s="254" t="e">
        <f t="shared" si="221"/>
        <v>#REF!</v>
      </c>
      <c r="EM42" s="263" t="e">
        <f t="shared" si="222"/>
        <v>#REF!</v>
      </c>
      <c r="EN42" s="248"/>
      <c r="EO42" s="305"/>
      <c r="EP42" s="244"/>
      <c r="EQ42" s="307"/>
      <c r="ER42" s="226">
        <v>2</v>
      </c>
      <c r="ES42" s="59">
        <f t="shared" si="223"/>
        <v>0</v>
      </c>
      <c r="ET42" s="254" t="e">
        <f t="shared" si="224"/>
        <v>#REF!</v>
      </c>
      <c r="EU42" s="263" t="e">
        <f t="shared" si="225"/>
        <v>#REF!</v>
      </c>
      <c r="EV42" s="248"/>
      <c r="EW42" s="301"/>
      <c r="EX42" s="226">
        <v>2</v>
      </c>
      <c r="EY42" s="59">
        <f t="shared" si="226"/>
        <v>0</v>
      </c>
      <c r="EZ42" s="254" t="e">
        <f t="shared" si="227"/>
        <v>#REF!</v>
      </c>
      <c r="FA42" s="263" t="e">
        <f t="shared" si="228"/>
        <v>#REF!</v>
      </c>
      <c r="FB42" s="248"/>
      <c r="FC42" s="301"/>
      <c r="FD42" s="226">
        <v>2</v>
      </c>
      <c r="FE42" s="59">
        <f t="shared" si="229"/>
        <v>0</v>
      </c>
      <c r="FF42" s="254" t="e">
        <f t="shared" si="230"/>
        <v>#REF!</v>
      </c>
      <c r="FG42" s="263" t="e">
        <f t="shared" si="231"/>
        <v>#REF!</v>
      </c>
      <c r="FH42" s="248"/>
      <c r="FI42" s="301"/>
      <c r="FJ42" s="226">
        <v>2</v>
      </c>
      <c r="FK42" s="59">
        <f t="shared" si="232"/>
        <v>0</v>
      </c>
      <c r="FL42" s="254" t="e">
        <f t="shared" si="233"/>
        <v>#REF!</v>
      </c>
      <c r="FM42" s="263" t="e">
        <f t="shared" si="234"/>
        <v>#REF!</v>
      </c>
      <c r="FN42" s="248"/>
      <c r="FO42" s="305"/>
      <c r="FP42" s="244"/>
    </row>
    <row r="43" spans="1:172" s="181" customFormat="1" ht="17" x14ac:dyDescent="0.45">
      <c r="A43" s="307"/>
      <c r="B43" s="252">
        <v>3</v>
      </c>
      <c r="C43" s="59">
        <v>0</v>
      </c>
      <c r="D43" s="254" t="e">
        <f t="shared" si="158"/>
        <v>#REF!</v>
      </c>
      <c r="E43" s="263" t="e">
        <f t="shared" si="159"/>
        <v>#REF!</v>
      </c>
      <c r="F43" s="252">
        <v>5</v>
      </c>
      <c r="G43" s="301"/>
      <c r="H43" s="252">
        <v>3</v>
      </c>
      <c r="I43" s="253">
        <f t="shared" si="160"/>
        <v>0</v>
      </c>
      <c r="J43" s="254" t="e">
        <f t="shared" si="161"/>
        <v>#REF!</v>
      </c>
      <c r="K43" s="263" t="e">
        <f t="shared" si="162"/>
        <v>#REF!</v>
      </c>
      <c r="L43" s="252"/>
      <c r="M43" s="305"/>
      <c r="N43" s="244"/>
      <c r="O43" s="307"/>
      <c r="P43" s="252">
        <v>3</v>
      </c>
      <c r="Q43" s="253">
        <f t="shared" si="163"/>
        <v>0</v>
      </c>
      <c r="R43" s="254" t="e">
        <f t="shared" si="164"/>
        <v>#REF!</v>
      </c>
      <c r="S43" s="263" t="e">
        <f t="shared" si="165"/>
        <v>#REF!</v>
      </c>
      <c r="T43" s="252">
        <v>3</v>
      </c>
      <c r="U43" s="301"/>
      <c r="V43" s="252">
        <v>3</v>
      </c>
      <c r="W43" s="253">
        <f t="shared" si="166"/>
        <v>0</v>
      </c>
      <c r="X43" s="254" t="e">
        <f t="shared" si="167"/>
        <v>#REF!</v>
      </c>
      <c r="Y43" s="263" t="e">
        <f t="shared" si="168"/>
        <v>#REF!</v>
      </c>
      <c r="Z43" s="252"/>
      <c r="AA43" s="301"/>
      <c r="AB43" s="252">
        <v>3</v>
      </c>
      <c r="AC43" s="253">
        <f t="shared" si="169"/>
        <v>0</v>
      </c>
      <c r="AD43" s="254" t="e">
        <f t="shared" si="170"/>
        <v>#REF!</v>
      </c>
      <c r="AE43" s="263" t="e">
        <f t="shared" si="171"/>
        <v>#REF!</v>
      </c>
      <c r="AF43" s="252"/>
      <c r="AG43" s="305"/>
      <c r="AH43" s="244"/>
      <c r="AI43" s="307"/>
      <c r="AJ43" s="252">
        <v>3</v>
      </c>
      <c r="AK43" s="253">
        <f t="shared" si="172"/>
        <v>0</v>
      </c>
      <c r="AL43" s="254" t="e">
        <f t="shared" si="173"/>
        <v>#REF!</v>
      </c>
      <c r="AM43" s="263" t="e">
        <f t="shared" si="174"/>
        <v>#REF!</v>
      </c>
      <c r="AN43" s="252"/>
      <c r="AO43" s="301"/>
      <c r="AP43" s="252">
        <v>3</v>
      </c>
      <c r="AQ43" s="253">
        <f t="shared" si="175"/>
        <v>0</v>
      </c>
      <c r="AR43" s="254" t="e">
        <f t="shared" si="176"/>
        <v>#REF!</v>
      </c>
      <c r="AS43" s="263" t="e">
        <f t="shared" si="177"/>
        <v>#REF!</v>
      </c>
      <c r="AT43" s="252">
        <v>13</v>
      </c>
      <c r="AU43" s="301"/>
      <c r="AV43" s="252">
        <v>3</v>
      </c>
      <c r="AW43" s="253">
        <f t="shared" si="178"/>
        <v>0</v>
      </c>
      <c r="AX43" s="254" t="e">
        <f t="shared" si="179"/>
        <v>#REF!</v>
      </c>
      <c r="AY43" s="263" t="e">
        <f t="shared" si="180"/>
        <v>#REF!</v>
      </c>
      <c r="AZ43" s="252"/>
      <c r="BA43" s="305"/>
      <c r="BB43" s="244"/>
      <c r="BC43" s="307"/>
      <c r="BD43" s="252">
        <v>3</v>
      </c>
      <c r="BE43" s="253">
        <f t="shared" si="181"/>
        <v>0</v>
      </c>
      <c r="BF43" s="254" t="e">
        <f t="shared" si="182"/>
        <v>#REF!</v>
      </c>
      <c r="BG43" s="263" t="e">
        <f t="shared" si="183"/>
        <v>#REF!</v>
      </c>
      <c r="BH43" s="252">
        <v>3</v>
      </c>
      <c r="BI43" s="301"/>
      <c r="BJ43" s="252">
        <v>3</v>
      </c>
      <c r="BK43" s="253">
        <f t="shared" si="184"/>
        <v>0</v>
      </c>
      <c r="BL43" s="254" t="e">
        <f t="shared" si="185"/>
        <v>#REF!</v>
      </c>
      <c r="BM43" s="263" t="e">
        <f t="shared" si="186"/>
        <v>#REF!</v>
      </c>
      <c r="BN43" s="252"/>
      <c r="BO43" s="301"/>
      <c r="BP43" s="252">
        <v>3</v>
      </c>
      <c r="BQ43" s="253">
        <f t="shared" si="187"/>
        <v>0</v>
      </c>
      <c r="BR43" s="254" t="e">
        <f t="shared" si="188"/>
        <v>#REF!</v>
      </c>
      <c r="BS43" s="263" t="e">
        <f t="shared" si="189"/>
        <v>#REF!</v>
      </c>
      <c r="BT43" s="252"/>
      <c r="BU43" s="305"/>
      <c r="BV43" s="244"/>
      <c r="BW43" s="307"/>
      <c r="BX43" s="252">
        <v>3</v>
      </c>
      <c r="BY43" s="253">
        <f t="shared" si="190"/>
        <v>0</v>
      </c>
      <c r="BZ43" s="254" t="e">
        <f t="shared" si="191"/>
        <v>#REF!</v>
      </c>
      <c r="CA43" s="263" t="e">
        <f t="shared" si="192"/>
        <v>#REF!</v>
      </c>
      <c r="CB43" s="252"/>
      <c r="CC43" s="301"/>
      <c r="CD43" s="252">
        <v>3</v>
      </c>
      <c r="CE43" s="253">
        <f t="shared" si="193"/>
        <v>0</v>
      </c>
      <c r="CF43" s="254" t="e">
        <f t="shared" si="194"/>
        <v>#REF!</v>
      </c>
      <c r="CG43" s="263" t="e">
        <f t="shared" si="195"/>
        <v>#REF!</v>
      </c>
      <c r="CH43" s="252"/>
      <c r="CI43" s="301"/>
      <c r="CJ43" s="252">
        <v>3</v>
      </c>
      <c r="CK43" s="253">
        <f t="shared" si="196"/>
        <v>0</v>
      </c>
      <c r="CL43" s="254" t="e">
        <f t="shared" si="197"/>
        <v>#REF!</v>
      </c>
      <c r="CM43" s="263" t="e">
        <f t="shared" si="198"/>
        <v>#REF!</v>
      </c>
      <c r="CN43" s="252"/>
      <c r="CO43" s="301"/>
      <c r="CP43" s="252">
        <v>3</v>
      </c>
      <c r="CQ43" s="253">
        <f t="shared" si="199"/>
        <v>0</v>
      </c>
      <c r="CR43" s="254" t="e">
        <f t="shared" si="200"/>
        <v>#REF!</v>
      </c>
      <c r="CS43" s="263" t="e">
        <f t="shared" si="201"/>
        <v>#REF!</v>
      </c>
      <c r="CT43" s="252"/>
      <c r="CU43" s="305"/>
      <c r="CV43" s="244"/>
      <c r="CW43" s="307"/>
      <c r="CX43" s="252">
        <v>3</v>
      </c>
      <c r="CY43" s="253">
        <f t="shared" si="202"/>
        <v>0</v>
      </c>
      <c r="CZ43" s="254" t="e">
        <f t="shared" si="203"/>
        <v>#REF!</v>
      </c>
      <c r="DA43" s="263" t="e">
        <f t="shared" si="204"/>
        <v>#REF!</v>
      </c>
      <c r="DB43" s="252"/>
      <c r="DC43" s="301"/>
      <c r="DD43" s="252">
        <v>3</v>
      </c>
      <c r="DE43" s="253">
        <f t="shared" si="205"/>
        <v>0</v>
      </c>
      <c r="DF43" s="254" t="e">
        <f t="shared" si="206"/>
        <v>#REF!</v>
      </c>
      <c r="DG43" s="263" t="e">
        <f t="shared" si="207"/>
        <v>#REF!</v>
      </c>
      <c r="DH43" s="252"/>
      <c r="DI43" s="301"/>
      <c r="DJ43" s="252">
        <v>3</v>
      </c>
      <c r="DK43" s="253">
        <f t="shared" si="208"/>
        <v>0</v>
      </c>
      <c r="DL43" s="254" t="e">
        <f t="shared" si="209"/>
        <v>#REF!</v>
      </c>
      <c r="DM43" s="263" t="e">
        <f t="shared" si="210"/>
        <v>#REF!</v>
      </c>
      <c r="DN43" s="252"/>
      <c r="DO43" s="301"/>
      <c r="DP43" s="252">
        <v>3</v>
      </c>
      <c r="DQ43" s="253">
        <f t="shared" si="211"/>
        <v>0</v>
      </c>
      <c r="DR43" s="254" t="e">
        <f t="shared" si="212"/>
        <v>#REF!</v>
      </c>
      <c r="DS43" s="263" t="e">
        <f t="shared" si="213"/>
        <v>#REF!</v>
      </c>
      <c r="DT43" s="252"/>
      <c r="DU43" s="305"/>
      <c r="DV43" s="244"/>
      <c r="DW43" s="307"/>
      <c r="DX43" s="252">
        <v>3</v>
      </c>
      <c r="DY43" s="253">
        <f t="shared" si="214"/>
        <v>0</v>
      </c>
      <c r="DZ43" s="254" t="e">
        <f t="shared" si="215"/>
        <v>#REF!</v>
      </c>
      <c r="EA43" s="263" t="e">
        <f t="shared" si="216"/>
        <v>#REF!</v>
      </c>
      <c r="EB43" s="252"/>
      <c r="EC43" s="301"/>
      <c r="ED43" s="252">
        <v>3</v>
      </c>
      <c r="EE43" s="253">
        <f t="shared" si="217"/>
        <v>0</v>
      </c>
      <c r="EF43" s="254" t="e">
        <f t="shared" si="218"/>
        <v>#REF!</v>
      </c>
      <c r="EG43" s="263" t="e">
        <f t="shared" si="219"/>
        <v>#REF!</v>
      </c>
      <c r="EH43" s="252"/>
      <c r="EI43" s="301"/>
      <c r="EJ43" s="252">
        <v>3</v>
      </c>
      <c r="EK43" s="253">
        <f t="shared" si="220"/>
        <v>0</v>
      </c>
      <c r="EL43" s="254" t="e">
        <f t="shared" si="221"/>
        <v>#REF!</v>
      </c>
      <c r="EM43" s="263" t="e">
        <f t="shared" si="222"/>
        <v>#REF!</v>
      </c>
      <c r="EN43" s="252"/>
      <c r="EO43" s="305"/>
      <c r="EP43" s="244"/>
      <c r="EQ43" s="307"/>
      <c r="ER43" s="252">
        <v>3</v>
      </c>
      <c r="ES43" s="253">
        <f t="shared" si="223"/>
        <v>0</v>
      </c>
      <c r="ET43" s="254" t="e">
        <f t="shared" si="224"/>
        <v>#REF!</v>
      </c>
      <c r="EU43" s="263" t="e">
        <f t="shared" si="225"/>
        <v>#REF!</v>
      </c>
      <c r="EV43" s="252"/>
      <c r="EW43" s="301"/>
      <c r="EX43" s="252">
        <v>3</v>
      </c>
      <c r="EY43" s="253">
        <f t="shared" si="226"/>
        <v>0</v>
      </c>
      <c r="EZ43" s="254" t="e">
        <f t="shared" si="227"/>
        <v>#REF!</v>
      </c>
      <c r="FA43" s="263" t="e">
        <f t="shared" si="228"/>
        <v>#REF!</v>
      </c>
      <c r="FB43" s="252"/>
      <c r="FC43" s="301"/>
      <c r="FD43" s="252">
        <v>3</v>
      </c>
      <c r="FE43" s="253">
        <f t="shared" si="229"/>
        <v>0</v>
      </c>
      <c r="FF43" s="254" t="e">
        <f t="shared" si="230"/>
        <v>#REF!</v>
      </c>
      <c r="FG43" s="263" t="e">
        <f t="shared" si="231"/>
        <v>#REF!</v>
      </c>
      <c r="FH43" s="252"/>
      <c r="FI43" s="301"/>
      <c r="FJ43" s="252">
        <v>3</v>
      </c>
      <c r="FK43" s="253">
        <f t="shared" si="232"/>
        <v>0</v>
      </c>
      <c r="FL43" s="254" t="e">
        <f t="shared" si="233"/>
        <v>#REF!</v>
      </c>
      <c r="FM43" s="263" t="e">
        <f t="shared" si="234"/>
        <v>#REF!</v>
      </c>
      <c r="FN43" s="252"/>
      <c r="FO43" s="305"/>
      <c r="FP43" s="244"/>
    </row>
    <row r="44" spans="1:172" ht="17" x14ac:dyDescent="0.45">
      <c r="A44" s="307"/>
      <c r="B44" s="226">
        <v>4</v>
      </c>
      <c r="C44" s="59">
        <v>0</v>
      </c>
      <c r="D44" s="254" t="e">
        <f t="shared" si="158"/>
        <v>#REF!</v>
      </c>
      <c r="E44" s="263" t="e">
        <f t="shared" si="159"/>
        <v>#REF!</v>
      </c>
      <c r="F44" s="248"/>
      <c r="G44" s="301"/>
      <c r="H44" s="226">
        <v>4</v>
      </c>
      <c r="I44" s="59">
        <f t="shared" si="160"/>
        <v>0</v>
      </c>
      <c r="J44" s="254" t="e">
        <f t="shared" si="161"/>
        <v>#REF!</v>
      </c>
      <c r="K44" s="263" t="e">
        <f t="shared" si="162"/>
        <v>#REF!</v>
      </c>
      <c r="L44" s="248"/>
      <c r="M44" s="305"/>
      <c r="N44" s="244"/>
      <c r="O44" s="307"/>
      <c r="P44" s="226">
        <v>4</v>
      </c>
      <c r="Q44" s="59">
        <f t="shared" si="163"/>
        <v>0</v>
      </c>
      <c r="R44" s="254" t="e">
        <f t="shared" si="164"/>
        <v>#REF!</v>
      </c>
      <c r="S44" s="263" t="e">
        <f t="shared" si="165"/>
        <v>#REF!</v>
      </c>
      <c r="T44" s="248"/>
      <c r="U44" s="301"/>
      <c r="V44" s="226">
        <v>4</v>
      </c>
      <c r="W44" s="59">
        <f t="shared" si="166"/>
        <v>0</v>
      </c>
      <c r="X44" s="254" t="e">
        <f t="shared" si="167"/>
        <v>#REF!</v>
      </c>
      <c r="Y44" s="263" t="e">
        <f t="shared" si="168"/>
        <v>#REF!</v>
      </c>
      <c r="Z44" s="248"/>
      <c r="AA44" s="301"/>
      <c r="AB44" s="226">
        <v>4</v>
      </c>
      <c r="AC44" s="59">
        <f t="shared" si="169"/>
        <v>0</v>
      </c>
      <c r="AD44" s="254" t="e">
        <f t="shared" si="170"/>
        <v>#REF!</v>
      </c>
      <c r="AE44" s="263" t="e">
        <f t="shared" si="171"/>
        <v>#REF!</v>
      </c>
      <c r="AF44" s="248"/>
      <c r="AG44" s="305"/>
      <c r="AH44" s="244"/>
      <c r="AI44" s="307"/>
      <c r="AJ44" s="226">
        <v>4</v>
      </c>
      <c r="AK44" s="59">
        <f t="shared" si="172"/>
        <v>0</v>
      </c>
      <c r="AL44" s="254" t="e">
        <f t="shared" si="173"/>
        <v>#REF!</v>
      </c>
      <c r="AM44" s="263" t="e">
        <f t="shared" si="174"/>
        <v>#REF!</v>
      </c>
      <c r="AN44" s="248"/>
      <c r="AO44" s="301"/>
      <c r="AP44" s="226">
        <v>4</v>
      </c>
      <c r="AQ44" s="59">
        <f t="shared" si="175"/>
        <v>0</v>
      </c>
      <c r="AR44" s="254" t="e">
        <f t="shared" si="176"/>
        <v>#REF!</v>
      </c>
      <c r="AS44" s="263" t="e">
        <f t="shared" si="177"/>
        <v>#REF!</v>
      </c>
      <c r="AT44" s="248"/>
      <c r="AU44" s="301"/>
      <c r="AV44" s="226">
        <v>4</v>
      </c>
      <c r="AW44" s="59">
        <f t="shared" si="178"/>
        <v>0</v>
      </c>
      <c r="AX44" s="254" t="e">
        <f t="shared" si="179"/>
        <v>#REF!</v>
      </c>
      <c r="AY44" s="263" t="e">
        <f t="shared" si="180"/>
        <v>#REF!</v>
      </c>
      <c r="AZ44" s="248"/>
      <c r="BA44" s="305"/>
      <c r="BB44" s="244"/>
      <c r="BC44" s="307"/>
      <c r="BD44" s="226">
        <v>4</v>
      </c>
      <c r="BE44" s="59">
        <f t="shared" si="181"/>
        <v>0</v>
      </c>
      <c r="BF44" s="254" t="e">
        <f t="shared" si="182"/>
        <v>#REF!</v>
      </c>
      <c r="BG44" s="263" t="e">
        <f t="shared" si="183"/>
        <v>#REF!</v>
      </c>
      <c r="BH44" s="248"/>
      <c r="BI44" s="301"/>
      <c r="BJ44" s="226">
        <v>4</v>
      </c>
      <c r="BK44" s="59">
        <f t="shared" si="184"/>
        <v>0</v>
      </c>
      <c r="BL44" s="254" t="e">
        <f t="shared" si="185"/>
        <v>#REF!</v>
      </c>
      <c r="BM44" s="263" t="e">
        <f t="shared" si="186"/>
        <v>#REF!</v>
      </c>
      <c r="BN44" s="248"/>
      <c r="BO44" s="301"/>
      <c r="BP44" s="226">
        <v>4</v>
      </c>
      <c r="BQ44" s="59">
        <f t="shared" si="187"/>
        <v>0</v>
      </c>
      <c r="BR44" s="254" t="e">
        <f t="shared" si="188"/>
        <v>#REF!</v>
      </c>
      <c r="BS44" s="263" t="e">
        <f t="shared" si="189"/>
        <v>#REF!</v>
      </c>
      <c r="BT44" s="248"/>
      <c r="BU44" s="305"/>
      <c r="BV44" s="244"/>
      <c r="BW44" s="307"/>
      <c r="BX44" s="226">
        <v>4</v>
      </c>
      <c r="BY44" s="59">
        <f t="shared" si="190"/>
        <v>0</v>
      </c>
      <c r="BZ44" s="254" t="e">
        <f t="shared" si="191"/>
        <v>#REF!</v>
      </c>
      <c r="CA44" s="263" t="e">
        <f t="shared" si="192"/>
        <v>#REF!</v>
      </c>
      <c r="CB44" s="248"/>
      <c r="CC44" s="301"/>
      <c r="CD44" s="226">
        <v>4</v>
      </c>
      <c r="CE44" s="59">
        <f t="shared" si="193"/>
        <v>0</v>
      </c>
      <c r="CF44" s="254" t="e">
        <f t="shared" si="194"/>
        <v>#REF!</v>
      </c>
      <c r="CG44" s="263" t="e">
        <f t="shared" si="195"/>
        <v>#REF!</v>
      </c>
      <c r="CH44" s="248"/>
      <c r="CI44" s="301"/>
      <c r="CJ44" s="226">
        <v>4</v>
      </c>
      <c r="CK44" s="59">
        <f t="shared" si="196"/>
        <v>0</v>
      </c>
      <c r="CL44" s="254" t="e">
        <f t="shared" si="197"/>
        <v>#REF!</v>
      </c>
      <c r="CM44" s="263" t="e">
        <f t="shared" si="198"/>
        <v>#REF!</v>
      </c>
      <c r="CN44" s="248"/>
      <c r="CO44" s="301"/>
      <c r="CP44" s="226">
        <v>4</v>
      </c>
      <c r="CQ44" s="59">
        <f t="shared" si="199"/>
        <v>0</v>
      </c>
      <c r="CR44" s="254" t="e">
        <f t="shared" si="200"/>
        <v>#REF!</v>
      </c>
      <c r="CS44" s="263" t="e">
        <f t="shared" si="201"/>
        <v>#REF!</v>
      </c>
      <c r="CT44" s="248"/>
      <c r="CU44" s="305"/>
      <c r="CV44" s="244"/>
      <c r="CW44" s="307"/>
      <c r="CX44" s="226">
        <v>4</v>
      </c>
      <c r="CY44" s="59">
        <f t="shared" si="202"/>
        <v>0</v>
      </c>
      <c r="CZ44" s="254" t="e">
        <f t="shared" si="203"/>
        <v>#REF!</v>
      </c>
      <c r="DA44" s="263" t="e">
        <f t="shared" si="204"/>
        <v>#REF!</v>
      </c>
      <c r="DB44" s="248"/>
      <c r="DC44" s="301"/>
      <c r="DD44" s="226">
        <v>4</v>
      </c>
      <c r="DE44" s="59">
        <f t="shared" si="205"/>
        <v>0</v>
      </c>
      <c r="DF44" s="254" t="e">
        <f t="shared" si="206"/>
        <v>#REF!</v>
      </c>
      <c r="DG44" s="263" t="e">
        <f t="shared" si="207"/>
        <v>#REF!</v>
      </c>
      <c r="DH44" s="248"/>
      <c r="DI44" s="301"/>
      <c r="DJ44" s="226">
        <v>4</v>
      </c>
      <c r="DK44" s="59">
        <f t="shared" si="208"/>
        <v>0</v>
      </c>
      <c r="DL44" s="254" t="e">
        <f t="shared" si="209"/>
        <v>#REF!</v>
      </c>
      <c r="DM44" s="263" t="e">
        <f t="shared" si="210"/>
        <v>#REF!</v>
      </c>
      <c r="DN44" s="248"/>
      <c r="DO44" s="301"/>
      <c r="DP44" s="226">
        <v>4</v>
      </c>
      <c r="DQ44" s="59">
        <f t="shared" si="211"/>
        <v>0</v>
      </c>
      <c r="DR44" s="254" t="e">
        <f t="shared" si="212"/>
        <v>#REF!</v>
      </c>
      <c r="DS44" s="263" t="e">
        <f t="shared" si="213"/>
        <v>#REF!</v>
      </c>
      <c r="DT44" s="248"/>
      <c r="DU44" s="305"/>
      <c r="DV44" s="244"/>
      <c r="DW44" s="307"/>
      <c r="DX44" s="226">
        <v>4</v>
      </c>
      <c r="DY44" s="59">
        <f t="shared" si="214"/>
        <v>0</v>
      </c>
      <c r="DZ44" s="254" t="e">
        <f t="shared" si="215"/>
        <v>#REF!</v>
      </c>
      <c r="EA44" s="263" t="e">
        <f t="shared" si="216"/>
        <v>#REF!</v>
      </c>
      <c r="EB44" s="248"/>
      <c r="EC44" s="301"/>
      <c r="ED44" s="226">
        <v>4</v>
      </c>
      <c r="EE44" s="59">
        <f t="shared" si="217"/>
        <v>0</v>
      </c>
      <c r="EF44" s="254" t="e">
        <f t="shared" si="218"/>
        <v>#REF!</v>
      </c>
      <c r="EG44" s="263" t="e">
        <f t="shared" si="219"/>
        <v>#REF!</v>
      </c>
      <c r="EH44" s="248"/>
      <c r="EI44" s="301"/>
      <c r="EJ44" s="226">
        <v>4</v>
      </c>
      <c r="EK44" s="59">
        <f t="shared" si="220"/>
        <v>0</v>
      </c>
      <c r="EL44" s="254" t="e">
        <f t="shared" si="221"/>
        <v>#REF!</v>
      </c>
      <c r="EM44" s="263" t="e">
        <f t="shared" si="222"/>
        <v>#REF!</v>
      </c>
      <c r="EN44" s="248"/>
      <c r="EO44" s="305"/>
      <c r="EP44" s="244"/>
      <c r="EQ44" s="307"/>
      <c r="ER44" s="226">
        <v>4</v>
      </c>
      <c r="ES44" s="59">
        <f t="shared" si="223"/>
        <v>0</v>
      </c>
      <c r="ET44" s="254" t="e">
        <f t="shared" si="224"/>
        <v>#REF!</v>
      </c>
      <c r="EU44" s="263" t="e">
        <f t="shared" si="225"/>
        <v>#REF!</v>
      </c>
      <c r="EV44" s="248"/>
      <c r="EW44" s="301"/>
      <c r="EX44" s="226">
        <v>4</v>
      </c>
      <c r="EY44" s="59">
        <f t="shared" si="226"/>
        <v>0</v>
      </c>
      <c r="EZ44" s="254" t="e">
        <f t="shared" si="227"/>
        <v>#REF!</v>
      </c>
      <c r="FA44" s="263" t="e">
        <f t="shared" si="228"/>
        <v>#REF!</v>
      </c>
      <c r="FB44" s="248"/>
      <c r="FC44" s="301"/>
      <c r="FD44" s="226">
        <v>4</v>
      </c>
      <c r="FE44" s="59">
        <f t="shared" si="229"/>
        <v>0</v>
      </c>
      <c r="FF44" s="254" t="e">
        <f t="shared" si="230"/>
        <v>#REF!</v>
      </c>
      <c r="FG44" s="263" t="e">
        <f t="shared" si="231"/>
        <v>#REF!</v>
      </c>
      <c r="FH44" s="248"/>
      <c r="FI44" s="301"/>
      <c r="FJ44" s="226">
        <v>4</v>
      </c>
      <c r="FK44" s="59">
        <f t="shared" si="232"/>
        <v>0</v>
      </c>
      <c r="FL44" s="254" t="e">
        <f t="shared" si="233"/>
        <v>#REF!</v>
      </c>
      <c r="FM44" s="263" t="e">
        <f t="shared" si="234"/>
        <v>#REF!</v>
      </c>
      <c r="FN44" s="248"/>
      <c r="FO44" s="305"/>
      <c r="FP44" s="244"/>
    </row>
    <row r="45" spans="1:172" ht="17" x14ac:dyDescent="0.45">
      <c r="A45" s="307"/>
      <c r="B45" s="226">
        <v>5</v>
      </c>
      <c r="C45" s="59">
        <v>0</v>
      </c>
      <c r="D45" s="254" t="e">
        <f t="shared" si="158"/>
        <v>#REF!</v>
      </c>
      <c r="E45" s="263" t="e">
        <f t="shared" si="159"/>
        <v>#REF!</v>
      </c>
      <c r="F45" s="248"/>
      <c r="G45" s="301"/>
      <c r="H45" s="226">
        <v>5</v>
      </c>
      <c r="I45" s="59">
        <f t="shared" si="160"/>
        <v>0</v>
      </c>
      <c r="J45" s="254" t="e">
        <f t="shared" si="161"/>
        <v>#REF!</v>
      </c>
      <c r="K45" s="263" t="e">
        <f t="shared" si="162"/>
        <v>#REF!</v>
      </c>
      <c r="L45" s="248"/>
      <c r="M45" s="305"/>
      <c r="N45" s="244"/>
      <c r="O45" s="307"/>
      <c r="P45" s="226">
        <v>5</v>
      </c>
      <c r="Q45" s="59">
        <f t="shared" si="163"/>
        <v>0</v>
      </c>
      <c r="R45" s="254" t="e">
        <f t="shared" si="164"/>
        <v>#REF!</v>
      </c>
      <c r="S45" s="263" t="e">
        <f t="shared" si="165"/>
        <v>#REF!</v>
      </c>
      <c r="T45" s="248">
        <v>4</v>
      </c>
      <c r="U45" s="301"/>
      <c r="V45" s="226">
        <v>5</v>
      </c>
      <c r="W45" s="59">
        <f t="shared" si="166"/>
        <v>1</v>
      </c>
      <c r="X45" s="254" t="e">
        <f t="shared" si="167"/>
        <v>#REF!</v>
      </c>
      <c r="Y45" s="263" t="e">
        <f t="shared" si="168"/>
        <v>#REF!</v>
      </c>
      <c r="Z45" s="248"/>
      <c r="AA45" s="301"/>
      <c r="AB45" s="226">
        <v>5</v>
      </c>
      <c r="AC45" s="59">
        <f t="shared" si="169"/>
        <v>1</v>
      </c>
      <c r="AD45" s="254" t="e">
        <f t="shared" si="170"/>
        <v>#REF!</v>
      </c>
      <c r="AE45" s="263" t="e">
        <f t="shared" si="171"/>
        <v>#REF!</v>
      </c>
      <c r="AF45" s="248"/>
      <c r="AG45" s="305"/>
      <c r="AH45" s="244"/>
      <c r="AI45" s="307"/>
      <c r="AJ45" s="226">
        <v>5</v>
      </c>
      <c r="AK45" s="59">
        <f t="shared" si="172"/>
        <v>1</v>
      </c>
      <c r="AL45" s="254" t="e">
        <f t="shared" si="173"/>
        <v>#REF!</v>
      </c>
      <c r="AM45" s="263" t="e">
        <f t="shared" si="174"/>
        <v>#REF!</v>
      </c>
      <c r="AN45" s="248"/>
      <c r="AO45" s="301"/>
      <c r="AP45" s="226">
        <v>5</v>
      </c>
      <c r="AQ45" s="59">
        <f t="shared" si="175"/>
        <v>1</v>
      </c>
      <c r="AR45" s="254" t="e">
        <f t="shared" si="176"/>
        <v>#REF!</v>
      </c>
      <c r="AS45" s="263" t="e">
        <f t="shared" si="177"/>
        <v>#REF!</v>
      </c>
      <c r="AT45" s="248"/>
      <c r="AU45" s="301"/>
      <c r="AV45" s="226">
        <v>5</v>
      </c>
      <c r="AW45" s="59">
        <f t="shared" si="178"/>
        <v>1</v>
      </c>
      <c r="AX45" s="254" t="e">
        <f t="shared" si="179"/>
        <v>#REF!</v>
      </c>
      <c r="AY45" s="263" t="e">
        <f t="shared" si="180"/>
        <v>#REF!</v>
      </c>
      <c r="AZ45" s="248"/>
      <c r="BA45" s="305"/>
      <c r="BB45" s="244"/>
      <c r="BC45" s="307"/>
      <c r="BD45" s="226">
        <v>5</v>
      </c>
      <c r="BE45" s="59">
        <f t="shared" si="181"/>
        <v>1</v>
      </c>
      <c r="BF45" s="254" t="e">
        <f t="shared" si="182"/>
        <v>#REF!</v>
      </c>
      <c r="BG45" s="263" t="e">
        <f t="shared" si="183"/>
        <v>#REF!</v>
      </c>
      <c r="BH45" s="248"/>
      <c r="BI45" s="301"/>
      <c r="BJ45" s="226">
        <v>5</v>
      </c>
      <c r="BK45" s="59">
        <f t="shared" si="184"/>
        <v>1</v>
      </c>
      <c r="BL45" s="254" t="e">
        <f t="shared" si="185"/>
        <v>#REF!</v>
      </c>
      <c r="BM45" s="263" t="e">
        <f t="shared" si="186"/>
        <v>#REF!</v>
      </c>
      <c r="BN45" s="248"/>
      <c r="BO45" s="301"/>
      <c r="BP45" s="226">
        <v>5</v>
      </c>
      <c r="BQ45" s="59">
        <f t="shared" si="187"/>
        <v>1</v>
      </c>
      <c r="BR45" s="254" t="e">
        <f t="shared" si="188"/>
        <v>#REF!</v>
      </c>
      <c r="BS45" s="263" t="e">
        <f t="shared" si="189"/>
        <v>#REF!</v>
      </c>
      <c r="BT45" s="248"/>
      <c r="BU45" s="305"/>
      <c r="BV45" s="244"/>
      <c r="BW45" s="307"/>
      <c r="BX45" s="226">
        <v>5</v>
      </c>
      <c r="BY45" s="59">
        <f t="shared" si="190"/>
        <v>1</v>
      </c>
      <c r="BZ45" s="254" t="e">
        <f t="shared" si="191"/>
        <v>#REF!</v>
      </c>
      <c r="CA45" s="263" t="e">
        <f t="shared" si="192"/>
        <v>#REF!</v>
      </c>
      <c r="CB45" s="248"/>
      <c r="CC45" s="301"/>
      <c r="CD45" s="226">
        <v>5</v>
      </c>
      <c r="CE45" s="59">
        <f t="shared" si="193"/>
        <v>1</v>
      </c>
      <c r="CF45" s="254" t="e">
        <f t="shared" si="194"/>
        <v>#REF!</v>
      </c>
      <c r="CG45" s="263" t="e">
        <f t="shared" si="195"/>
        <v>#REF!</v>
      </c>
      <c r="CH45" s="248"/>
      <c r="CI45" s="301"/>
      <c r="CJ45" s="226">
        <v>5</v>
      </c>
      <c r="CK45" s="59">
        <f t="shared" si="196"/>
        <v>1</v>
      </c>
      <c r="CL45" s="254" t="e">
        <f t="shared" si="197"/>
        <v>#REF!</v>
      </c>
      <c r="CM45" s="263" t="e">
        <f t="shared" si="198"/>
        <v>#REF!</v>
      </c>
      <c r="CN45" s="248"/>
      <c r="CO45" s="301"/>
      <c r="CP45" s="226">
        <v>5</v>
      </c>
      <c r="CQ45" s="59">
        <f t="shared" si="199"/>
        <v>1</v>
      </c>
      <c r="CR45" s="254" t="e">
        <f t="shared" si="200"/>
        <v>#REF!</v>
      </c>
      <c r="CS45" s="263" t="e">
        <f t="shared" si="201"/>
        <v>#REF!</v>
      </c>
      <c r="CT45" s="248"/>
      <c r="CU45" s="305"/>
      <c r="CV45" s="244"/>
      <c r="CW45" s="307"/>
      <c r="CX45" s="226">
        <v>5</v>
      </c>
      <c r="CY45" s="59">
        <f t="shared" si="202"/>
        <v>1</v>
      </c>
      <c r="CZ45" s="254" t="e">
        <f t="shared" si="203"/>
        <v>#REF!</v>
      </c>
      <c r="DA45" s="263" t="e">
        <f t="shared" si="204"/>
        <v>#REF!</v>
      </c>
      <c r="DB45" s="248"/>
      <c r="DC45" s="301"/>
      <c r="DD45" s="226">
        <v>5</v>
      </c>
      <c r="DE45" s="59">
        <f t="shared" si="205"/>
        <v>1</v>
      </c>
      <c r="DF45" s="254" t="e">
        <f t="shared" si="206"/>
        <v>#REF!</v>
      </c>
      <c r="DG45" s="263" t="e">
        <f t="shared" si="207"/>
        <v>#REF!</v>
      </c>
      <c r="DH45" s="248"/>
      <c r="DI45" s="301"/>
      <c r="DJ45" s="226">
        <v>5</v>
      </c>
      <c r="DK45" s="59">
        <f t="shared" si="208"/>
        <v>1</v>
      </c>
      <c r="DL45" s="254" t="e">
        <f t="shared" si="209"/>
        <v>#REF!</v>
      </c>
      <c r="DM45" s="263" t="e">
        <f t="shared" si="210"/>
        <v>#REF!</v>
      </c>
      <c r="DN45" s="248"/>
      <c r="DO45" s="301"/>
      <c r="DP45" s="226">
        <v>5</v>
      </c>
      <c r="DQ45" s="59">
        <f t="shared" si="211"/>
        <v>1</v>
      </c>
      <c r="DR45" s="254" t="e">
        <f t="shared" si="212"/>
        <v>#REF!</v>
      </c>
      <c r="DS45" s="263" t="e">
        <f t="shared" si="213"/>
        <v>#REF!</v>
      </c>
      <c r="DT45" s="248"/>
      <c r="DU45" s="305"/>
      <c r="DV45" s="244"/>
      <c r="DW45" s="307"/>
      <c r="DX45" s="226">
        <v>5</v>
      </c>
      <c r="DY45" s="59">
        <f t="shared" si="214"/>
        <v>1</v>
      </c>
      <c r="DZ45" s="254" t="e">
        <f t="shared" si="215"/>
        <v>#REF!</v>
      </c>
      <c r="EA45" s="263" t="e">
        <f t="shared" si="216"/>
        <v>#REF!</v>
      </c>
      <c r="EB45" s="248"/>
      <c r="EC45" s="301"/>
      <c r="ED45" s="226">
        <v>5</v>
      </c>
      <c r="EE45" s="59">
        <f t="shared" si="217"/>
        <v>1</v>
      </c>
      <c r="EF45" s="254" t="e">
        <f t="shared" si="218"/>
        <v>#REF!</v>
      </c>
      <c r="EG45" s="263" t="e">
        <f t="shared" si="219"/>
        <v>#REF!</v>
      </c>
      <c r="EH45" s="248"/>
      <c r="EI45" s="301"/>
      <c r="EJ45" s="226">
        <v>5</v>
      </c>
      <c r="EK45" s="59">
        <f t="shared" si="220"/>
        <v>1</v>
      </c>
      <c r="EL45" s="254" t="e">
        <f t="shared" si="221"/>
        <v>#REF!</v>
      </c>
      <c r="EM45" s="263" t="e">
        <f t="shared" si="222"/>
        <v>#REF!</v>
      </c>
      <c r="EN45" s="248"/>
      <c r="EO45" s="305"/>
      <c r="EP45" s="244"/>
      <c r="EQ45" s="307"/>
      <c r="ER45" s="226">
        <v>5</v>
      </c>
      <c r="ES45" s="59">
        <f t="shared" si="223"/>
        <v>1</v>
      </c>
      <c r="ET45" s="254" t="e">
        <f t="shared" si="224"/>
        <v>#REF!</v>
      </c>
      <c r="EU45" s="263" t="e">
        <f t="shared" si="225"/>
        <v>#REF!</v>
      </c>
      <c r="EV45" s="248"/>
      <c r="EW45" s="301"/>
      <c r="EX45" s="226">
        <v>5</v>
      </c>
      <c r="EY45" s="59">
        <f t="shared" si="226"/>
        <v>1</v>
      </c>
      <c r="EZ45" s="254" t="e">
        <f t="shared" si="227"/>
        <v>#REF!</v>
      </c>
      <c r="FA45" s="263" t="e">
        <f t="shared" si="228"/>
        <v>#REF!</v>
      </c>
      <c r="FB45" s="248"/>
      <c r="FC45" s="301"/>
      <c r="FD45" s="226">
        <v>5</v>
      </c>
      <c r="FE45" s="59">
        <f t="shared" si="229"/>
        <v>1</v>
      </c>
      <c r="FF45" s="254" t="e">
        <f t="shared" si="230"/>
        <v>#REF!</v>
      </c>
      <c r="FG45" s="263" t="e">
        <f t="shared" si="231"/>
        <v>#REF!</v>
      </c>
      <c r="FH45" s="248"/>
      <c r="FI45" s="301"/>
      <c r="FJ45" s="226">
        <v>5</v>
      </c>
      <c r="FK45" s="59">
        <f t="shared" si="232"/>
        <v>1</v>
      </c>
      <c r="FL45" s="254" t="e">
        <f t="shared" si="233"/>
        <v>#REF!</v>
      </c>
      <c r="FM45" s="263" t="e">
        <f t="shared" si="234"/>
        <v>#REF!</v>
      </c>
      <c r="FN45" s="248"/>
      <c r="FO45" s="305"/>
      <c r="FP45" s="244"/>
    </row>
    <row r="46" spans="1:172" ht="17" x14ac:dyDescent="0.45">
      <c r="A46" s="307"/>
      <c r="B46" s="226">
        <v>6</v>
      </c>
      <c r="C46" s="59">
        <v>0</v>
      </c>
      <c r="D46" s="254" t="e">
        <f t="shared" si="158"/>
        <v>#REF!</v>
      </c>
      <c r="E46" s="263" t="e">
        <f t="shared" si="159"/>
        <v>#REF!</v>
      </c>
      <c r="F46" s="248">
        <v>6</v>
      </c>
      <c r="G46" s="301"/>
      <c r="H46" s="226">
        <v>6</v>
      </c>
      <c r="I46" s="59">
        <f t="shared" si="160"/>
        <v>1</v>
      </c>
      <c r="J46" s="254" t="e">
        <f t="shared" si="161"/>
        <v>#REF!</v>
      </c>
      <c r="K46" s="263" t="e">
        <f t="shared" si="162"/>
        <v>#REF!</v>
      </c>
      <c r="L46" s="248"/>
      <c r="M46" s="305"/>
      <c r="N46" s="244"/>
      <c r="O46" s="307"/>
      <c r="P46" s="226">
        <v>6</v>
      </c>
      <c r="Q46" s="59">
        <f t="shared" si="163"/>
        <v>1</v>
      </c>
      <c r="R46" s="254" t="e">
        <f t="shared" si="164"/>
        <v>#REF!</v>
      </c>
      <c r="S46" s="263" t="e">
        <f t="shared" si="165"/>
        <v>#REF!</v>
      </c>
      <c r="T46" s="248"/>
      <c r="U46" s="301"/>
      <c r="V46" s="226">
        <v>6</v>
      </c>
      <c r="W46" s="59">
        <f t="shared" si="166"/>
        <v>1</v>
      </c>
      <c r="X46" s="254" t="e">
        <f t="shared" si="167"/>
        <v>#REF!</v>
      </c>
      <c r="Y46" s="263" t="e">
        <f t="shared" si="168"/>
        <v>#REF!</v>
      </c>
      <c r="Z46" s="248"/>
      <c r="AA46" s="301"/>
      <c r="AB46" s="226">
        <v>6</v>
      </c>
      <c r="AC46" s="59">
        <f t="shared" si="169"/>
        <v>1</v>
      </c>
      <c r="AD46" s="254" t="e">
        <f t="shared" si="170"/>
        <v>#REF!</v>
      </c>
      <c r="AE46" s="263" t="e">
        <f t="shared" si="171"/>
        <v>#REF!</v>
      </c>
      <c r="AF46" s="248"/>
      <c r="AG46" s="305"/>
      <c r="AH46" s="244"/>
      <c r="AI46" s="307"/>
      <c r="AJ46" s="226">
        <v>6</v>
      </c>
      <c r="AK46" s="59">
        <f t="shared" si="172"/>
        <v>1</v>
      </c>
      <c r="AL46" s="254" t="e">
        <f t="shared" si="173"/>
        <v>#REF!</v>
      </c>
      <c r="AM46" s="263" t="e">
        <f t="shared" si="174"/>
        <v>#REF!</v>
      </c>
      <c r="AN46" s="248"/>
      <c r="AO46" s="301"/>
      <c r="AP46" s="226">
        <v>6</v>
      </c>
      <c r="AQ46" s="59">
        <f t="shared" si="175"/>
        <v>1</v>
      </c>
      <c r="AR46" s="254" t="e">
        <f t="shared" si="176"/>
        <v>#REF!</v>
      </c>
      <c r="AS46" s="263" t="e">
        <f t="shared" si="177"/>
        <v>#REF!</v>
      </c>
      <c r="AT46" s="248">
        <v>14</v>
      </c>
      <c r="AU46" s="301"/>
      <c r="AV46" s="226">
        <v>6</v>
      </c>
      <c r="AW46" s="59">
        <f t="shared" si="178"/>
        <v>2</v>
      </c>
      <c r="AX46" s="254" t="e">
        <f t="shared" si="179"/>
        <v>#REF!</v>
      </c>
      <c r="AY46" s="263" t="e">
        <f t="shared" si="180"/>
        <v>#REF!</v>
      </c>
      <c r="AZ46" s="248"/>
      <c r="BA46" s="305"/>
      <c r="BB46" s="244"/>
      <c r="BC46" s="307"/>
      <c r="BD46" s="226">
        <v>6</v>
      </c>
      <c r="BE46" s="59">
        <f t="shared" si="181"/>
        <v>2</v>
      </c>
      <c r="BF46" s="254" t="e">
        <f t="shared" si="182"/>
        <v>#REF!</v>
      </c>
      <c r="BG46" s="263" t="e">
        <f t="shared" si="183"/>
        <v>#REF!</v>
      </c>
      <c r="BH46" s="248"/>
      <c r="BI46" s="301"/>
      <c r="BJ46" s="226">
        <v>6</v>
      </c>
      <c r="BK46" s="59">
        <f t="shared" si="184"/>
        <v>2</v>
      </c>
      <c r="BL46" s="254" t="e">
        <f t="shared" si="185"/>
        <v>#REF!</v>
      </c>
      <c r="BM46" s="263" t="e">
        <f t="shared" si="186"/>
        <v>#REF!</v>
      </c>
      <c r="BN46" s="248"/>
      <c r="BO46" s="301"/>
      <c r="BP46" s="226">
        <v>6</v>
      </c>
      <c r="BQ46" s="59">
        <f t="shared" si="187"/>
        <v>2</v>
      </c>
      <c r="BR46" s="254" t="e">
        <f t="shared" si="188"/>
        <v>#REF!</v>
      </c>
      <c r="BS46" s="263" t="e">
        <f t="shared" si="189"/>
        <v>#REF!</v>
      </c>
      <c r="BT46" s="248"/>
      <c r="BU46" s="305"/>
      <c r="BV46" s="244"/>
      <c r="BW46" s="307"/>
      <c r="BX46" s="226">
        <v>6</v>
      </c>
      <c r="BY46" s="59">
        <f t="shared" si="190"/>
        <v>2</v>
      </c>
      <c r="BZ46" s="254" t="e">
        <f t="shared" si="191"/>
        <v>#REF!</v>
      </c>
      <c r="CA46" s="263" t="e">
        <f t="shared" si="192"/>
        <v>#REF!</v>
      </c>
      <c r="CB46" s="248"/>
      <c r="CC46" s="301"/>
      <c r="CD46" s="226">
        <v>6</v>
      </c>
      <c r="CE46" s="59">
        <f t="shared" si="193"/>
        <v>2</v>
      </c>
      <c r="CF46" s="254" t="e">
        <f t="shared" si="194"/>
        <v>#REF!</v>
      </c>
      <c r="CG46" s="263" t="e">
        <f t="shared" si="195"/>
        <v>#REF!</v>
      </c>
      <c r="CH46" s="248"/>
      <c r="CI46" s="301"/>
      <c r="CJ46" s="226">
        <v>6</v>
      </c>
      <c r="CK46" s="59">
        <f t="shared" si="196"/>
        <v>2</v>
      </c>
      <c r="CL46" s="254" t="e">
        <f t="shared" si="197"/>
        <v>#REF!</v>
      </c>
      <c r="CM46" s="263" t="e">
        <f t="shared" si="198"/>
        <v>#REF!</v>
      </c>
      <c r="CN46" s="248"/>
      <c r="CO46" s="301"/>
      <c r="CP46" s="226">
        <v>6</v>
      </c>
      <c r="CQ46" s="59">
        <f t="shared" si="199"/>
        <v>2</v>
      </c>
      <c r="CR46" s="254" t="e">
        <f t="shared" si="200"/>
        <v>#REF!</v>
      </c>
      <c r="CS46" s="263" t="e">
        <f t="shared" si="201"/>
        <v>#REF!</v>
      </c>
      <c r="CT46" s="248"/>
      <c r="CU46" s="305"/>
      <c r="CV46" s="244"/>
      <c r="CW46" s="307"/>
      <c r="CX46" s="226">
        <v>6</v>
      </c>
      <c r="CY46" s="59">
        <f t="shared" si="202"/>
        <v>2</v>
      </c>
      <c r="CZ46" s="254" t="e">
        <f t="shared" si="203"/>
        <v>#REF!</v>
      </c>
      <c r="DA46" s="263" t="e">
        <f t="shared" si="204"/>
        <v>#REF!</v>
      </c>
      <c r="DB46" s="248"/>
      <c r="DC46" s="301"/>
      <c r="DD46" s="226">
        <v>6</v>
      </c>
      <c r="DE46" s="59">
        <f t="shared" si="205"/>
        <v>2</v>
      </c>
      <c r="DF46" s="254" t="e">
        <f t="shared" si="206"/>
        <v>#REF!</v>
      </c>
      <c r="DG46" s="263" t="e">
        <f t="shared" si="207"/>
        <v>#REF!</v>
      </c>
      <c r="DH46" s="248"/>
      <c r="DI46" s="301"/>
      <c r="DJ46" s="226">
        <v>6</v>
      </c>
      <c r="DK46" s="59">
        <f t="shared" si="208"/>
        <v>2</v>
      </c>
      <c r="DL46" s="254" t="e">
        <f t="shared" si="209"/>
        <v>#REF!</v>
      </c>
      <c r="DM46" s="263" t="e">
        <f t="shared" si="210"/>
        <v>#REF!</v>
      </c>
      <c r="DN46" s="248"/>
      <c r="DO46" s="301"/>
      <c r="DP46" s="226">
        <v>6</v>
      </c>
      <c r="DQ46" s="59">
        <f t="shared" si="211"/>
        <v>2</v>
      </c>
      <c r="DR46" s="254" t="e">
        <f t="shared" si="212"/>
        <v>#REF!</v>
      </c>
      <c r="DS46" s="263" t="e">
        <f t="shared" si="213"/>
        <v>#REF!</v>
      </c>
      <c r="DT46" s="248"/>
      <c r="DU46" s="305"/>
      <c r="DV46" s="244"/>
      <c r="DW46" s="307"/>
      <c r="DX46" s="226">
        <v>6</v>
      </c>
      <c r="DY46" s="59">
        <f t="shared" si="214"/>
        <v>2</v>
      </c>
      <c r="DZ46" s="254" t="e">
        <f t="shared" si="215"/>
        <v>#REF!</v>
      </c>
      <c r="EA46" s="263" t="e">
        <f t="shared" si="216"/>
        <v>#REF!</v>
      </c>
      <c r="EB46" s="248"/>
      <c r="EC46" s="301"/>
      <c r="ED46" s="226">
        <v>6</v>
      </c>
      <c r="EE46" s="59">
        <f t="shared" si="217"/>
        <v>2</v>
      </c>
      <c r="EF46" s="254" t="e">
        <f t="shared" si="218"/>
        <v>#REF!</v>
      </c>
      <c r="EG46" s="263" t="e">
        <f t="shared" si="219"/>
        <v>#REF!</v>
      </c>
      <c r="EH46" s="248"/>
      <c r="EI46" s="301"/>
      <c r="EJ46" s="226">
        <v>6</v>
      </c>
      <c r="EK46" s="59">
        <f t="shared" si="220"/>
        <v>2</v>
      </c>
      <c r="EL46" s="254" t="e">
        <f t="shared" si="221"/>
        <v>#REF!</v>
      </c>
      <c r="EM46" s="263" t="e">
        <f t="shared" si="222"/>
        <v>#REF!</v>
      </c>
      <c r="EN46" s="248"/>
      <c r="EO46" s="305"/>
      <c r="EP46" s="244"/>
      <c r="EQ46" s="307"/>
      <c r="ER46" s="226">
        <v>6</v>
      </c>
      <c r="ES46" s="59">
        <f t="shared" si="223"/>
        <v>2</v>
      </c>
      <c r="ET46" s="254" t="e">
        <f t="shared" si="224"/>
        <v>#REF!</v>
      </c>
      <c r="EU46" s="263" t="e">
        <f t="shared" si="225"/>
        <v>#REF!</v>
      </c>
      <c r="EV46" s="248"/>
      <c r="EW46" s="301"/>
      <c r="EX46" s="226">
        <v>6</v>
      </c>
      <c r="EY46" s="59">
        <f t="shared" si="226"/>
        <v>2</v>
      </c>
      <c r="EZ46" s="254" t="e">
        <f t="shared" si="227"/>
        <v>#REF!</v>
      </c>
      <c r="FA46" s="263" t="e">
        <f t="shared" si="228"/>
        <v>#REF!</v>
      </c>
      <c r="FB46" s="248"/>
      <c r="FC46" s="301"/>
      <c r="FD46" s="226">
        <v>6</v>
      </c>
      <c r="FE46" s="59">
        <f t="shared" si="229"/>
        <v>2</v>
      </c>
      <c r="FF46" s="254" t="e">
        <f t="shared" si="230"/>
        <v>#REF!</v>
      </c>
      <c r="FG46" s="263" t="e">
        <f t="shared" si="231"/>
        <v>#REF!</v>
      </c>
      <c r="FH46" s="248"/>
      <c r="FI46" s="301"/>
      <c r="FJ46" s="226">
        <v>6</v>
      </c>
      <c r="FK46" s="59">
        <f t="shared" si="232"/>
        <v>2</v>
      </c>
      <c r="FL46" s="254" t="e">
        <f t="shared" si="233"/>
        <v>#REF!</v>
      </c>
      <c r="FM46" s="263" t="e">
        <f t="shared" si="234"/>
        <v>#REF!</v>
      </c>
      <c r="FN46" s="248"/>
      <c r="FO46" s="305"/>
      <c r="FP46" s="244"/>
    </row>
    <row r="47" spans="1:172" ht="17" x14ac:dyDescent="0.45">
      <c r="A47" s="307"/>
      <c r="B47" s="226">
        <v>7</v>
      </c>
      <c r="C47" s="59">
        <v>0</v>
      </c>
      <c r="D47" s="254" t="e">
        <f t="shared" si="158"/>
        <v>#REF!</v>
      </c>
      <c r="E47" s="263" t="e">
        <f t="shared" si="159"/>
        <v>#REF!</v>
      </c>
      <c r="F47" s="248"/>
      <c r="G47" s="301"/>
      <c r="H47" s="226">
        <v>7</v>
      </c>
      <c r="I47" s="59">
        <f t="shared" si="160"/>
        <v>0</v>
      </c>
      <c r="J47" s="254" t="e">
        <f t="shared" si="161"/>
        <v>#REF!</v>
      </c>
      <c r="K47" s="263" t="e">
        <f t="shared" si="162"/>
        <v>#REF!</v>
      </c>
      <c r="L47" s="248"/>
      <c r="M47" s="305"/>
      <c r="N47" s="244"/>
      <c r="O47" s="307"/>
      <c r="P47" s="226">
        <v>7</v>
      </c>
      <c r="Q47" s="59">
        <f t="shared" si="163"/>
        <v>0</v>
      </c>
      <c r="R47" s="254" t="e">
        <f t="shared" si="164"/>
        <v>#REF!</v>
      </c>
      <c r="S47" s="263" t="e">
        <f t="shared" si="165"/>
        <v>#REF!</v>
      </c>
      <c r="T47" s="248"/>
      <c r="U47" s="301"/>
      <c r="V47" s="226">
        <v>7</v>
      </c>
      <c r="W47" s="59">
        <f t="shared" si="166"/>
        <v>0</v>
      </c>
      <c r="X47" s="254" t="e">
        <f t="shared" si="167"/>
        <v>#REF!</v>
      </c>
      <c r="Y47" s="263" t="e">
        <f t="shared" si="168"/>
        <v>#REF!</v>
      </c>
      <c r="Z47" s="248"/>
      <c r="AA47" s="301"/>
      <c r="AB47" s="226">
        <v>7</v>
      </c>
      <c r="AC47" s="59">
        <f t="shared" si="169"/>
        <v>0</v>
      </c>
      <c r="AD47" s="254" t="e">
        <f t="shared" si="170"/>
        <v>#REF!</v>
      </c>
      <c r="AE47" s="263" t="e">
        <f t="shared" si="171"/>
        <v>#REF!</v>
      </c>
      <c r="AF47" s="248"/>
      <c r="AG47" s="305"/>
      <c r="AH47" s="244"/>
      <c r="AI47" s="307"/>
      <c r="AJ47" s="226">
        <v>7</v>
      </c>
      <c r="AK47" s="59">
        <f t="shared" si="172"/>
        <v>0</v>
      </c>
      <c r="AL47" s="254" t="e">
        <f t="shared" si="173"/>
        <v>#REF!</v>
      </c>
      <c r="AM47" s="263" t="e">
        <f t="shared" si="174"/>
        <v>#REF!</v>
      </c>
      <c r="AN47" s="248"/>
      <c r="AO47" s="301"/>
      <c r="AP47" s="226">
        <v>7</v>
      </c>
      <c r="AQ47" s="59">
        <f t="shared" si="175"/>
        <v>0</v>
      </c>
      <c r="AR47" s="254" t="e">
        <f t="shared" si="176"/>
        <v>#REF!</v>
      </c>
      <c r="AS47" s="263" t="e">
        <f t="shared" si="177"/>
        <v>#REF!</v>
      </c>
      <c r="AT47" s="248"/>
      <c r="AU47" s="301"/>
      <c r="AV47" s="226">
        <v>7</v>
      </c>
      <c r="AW47" s="59">
        <f t="shared" si="178"/>
        <v>0</v>
      </c>
      <c r="AX47" s="254" t="e">
        <f t="shared" si="179"/>
        <v>#REF!</v>
      </c>
      <c r="AY47" s="263" t="e">
        <f t="shared" si="180"/>
        <v>#REF!</v>
      </c>
      <c r="AZ47" s="248"/>
      <c r="BA47" s="305"/>
      <c r="BB47" s="244"/>
      <c r="BC47" s="307"/>
      <c r="BD47" s="226">
        <v>7</v>
      </c>
      <c r="BE47" s="59">
        <f t="shared" si="181"/>
        <v>0</v>
      </c>
      <c r="BF47" s="254" t="e">
        <f t="shared" si="182"/>
        <v>#REF!</v>
      </c>
      <c r="BG47" s="263" t="e">
        <f t="shared" si="183"/>
        <v>#REF!</v>
      </c>
      <c r="BH47" s="248"/>
      <c r="BI47" s="301"/>
      <c r="BJ47" s="226">
        <v>7</v>
      </c>
      <c r="BK47" s="59">
        <f t="shared" si="184"/>
        <v>0</v>
      </c>
      <c r="BL47" s="254" t="e">
        <f t="shared" si="185"/>
        <v>#REF!</v>
      </c>
      <c r="BM47" s="263" t="e">
        <f t="shared" si="186"/>
        <v>#REF!</v>
      </c>
      <c r="BN47" s="248"/>
      <c r="BO47" s="301"/>
      <c r="BP47" s="226">
        <v>7</v>
      </c>
      <c r="BQ47" s="59">
        <f t="shared" si="187"/>
        <v>0</v>
      </c>
      <c r="BR47" s="254" t="e">
        <f t="shared" si="188"/>
        <v>#REF!</v>
      </c>
      <c r="BS47" s="263" t="e">
        <f t="shared" si="189"/>
        <v>#REF!</v>
      </c>
      <c r="BT47" s="248"/>
      <c r="BU47" s="305"/>
      <c r="BV47" s="244"/>
      <c r="BW47" s="307"/>
      <c r="BX47" s="226">
        <v>7</v>
      </c>
      <c r="BY47" s="59">
        <f t="shared" si="190"/>
        <v>0</v>
      </c>
      <c r="BZ47" s="254" t="e">
        <f t="shared" si="191"/>
        <v>#REF!</v>
      </c>
      <c r="CA47" s="263" t="e">
        <f t="shared" si="192"/>
        <v>#REF!</v>
      </c>
      <c r="CB47" s="248"/>
      <c r="CC47" s="301"/>
      <c r="CD47" s="226">
        <v>7</v>
      </c>
      <c r="CE47" s="59">
        <f t="shared" si="193"/>
        <v>0</v>
      </c>
      <c r="CF47" s="254" t="e">
        <f t="shared" si="194"/>
        <v>#REF!</v>
      </c>
      <c r="CG47" s="263" t="e">
        <f t="shared" si="195"/>
        <v>#REF!</v>
      </c>
      <c r="CH47" s="248"/>
      <c r="CI47" s="301"/>
      <c r="CJ47" s="226">
        <v>7</v>
      </c>
      <c r="CK47" s="59">
        <f t="shared" si="196"/>
        <v>0</v>
      </c>
      <c r="CL47" s="254" t="e">
        <f t="shared" si="197"/>
        <v>#REF!</v>
      </c>
      <c r="CM47" s="263" t="e">
        <f t="shared" si="198"/>
        <v>#REF!</v>
      </c>
      <c r="CN47" s="248"/>
      <c r="CO47" s="301"/>
      <c r="CP47" s="226">
        <v>7</v>
      </c>
      <c r="CQ47" s="59">
        <f t="shared" si="199"/>
        <v>0</v>
      </c>
      <c r="CR47" s="254" t="e">
        <f t="shared" si="200"/>
        <v>#REF!</v>
      </c>
      <c r="CS47" s="263" t="e">
        <f t="shared" si="201"/>
        <v>#REF!</v>
      </c>
      <c r="CT47" s="248"/>
      <c r="CU47" s="305"/>
      <c r="CV47" s="244"/>
      <c r="CW47" s="307"/>
      <c r="CX47" s="226">
        <v>7</v>
      </c>
      <c r="CY47" s="59">
        <f t="shared" si="202"/>
        <v>0</v>
      </c>
      <c r="CZ47" s="254" t="e">
        <f t="shared" si="203"/>
        <v>#REF!</v>
      </c>
      <c r="DA47" s="263" t="e">
        <f t="shared" si="204"/>
        <v>#REF!</v>
      </c>
      <c r="DB47" s="248"/>
      <c r="DC47" s="301"/>
      <c r="DD47" s="226">
        <v>7</v>
      </c>
      <c r="DE47" s="59">
        <f t="shared" si="205"/>
        <v>0</v>
      </c>
      <c r="DF47" s="254" t="e">
        <f t="shared" si="206"/>
        <v>#REF!</v>
      </c>
      <c r="DG47" s="263" t="e">
        <f t="shared" si="207"/>
        <v>#REF!</v>
      </c>
      <c r="DH47" s="248"/>
      <c r="DI47" s="301"/>
      <c r="DJ47" s="226">
        <v>7</v>
      </c>
      <c r="DK47" s="59">
        <f t="shared" si="208"/>
        <v>0</v>
      </c>
      <c r="DL47" s="254" t="e">
        <f t="shared" si="209"/>
        <v>#REF!</v>
      </c>
      <c r="DM47" s="263" t="e">
        <f t="shared" si="210"/>
        <v>#REF!</v>
      </c>
      <c r="DN47" s="248"/>
      <c r="DO47" s="301"/>
      <c r="DP47" s="226">
        <v>7</v>
      </c>
      <c r="DQ47" s="59">
        <f t="shared" si="211"/>
        <v>0</v>
      </c>
      <c r="DR47" s="254" t="e">
        <f t="shared" si="212"/>
        <v>#REF!</v>
      </c>
      <c r="DS47" s="263" t="e">
        <f t="shared" si="213"/>
        <v>#REF!</v>
      </c>
      <c r="DT47" s="248"/>
      <c r="DU47" s="305"/>
      <c r="DV47" s="244"/>
      <c r="DW47" s="307"/>
      <c r="DX47" s="226">
        <v>7</v>
      </c>
      <c r="DY47" s="59">
        <f t="shared" si="214"/>
        <v>0</v>
      </c>
      <c r="DZ47" s="254" t="e">
        <f t="shared" si="215"/>
        <v>#REF!</v>
      </c>
      <c r="EA47" s="263" t="e">
        <f t="shared" si="216"/>
        <v>#REF!</v>
      </c>
      <c r="EB47" s="248"/>
      <c r="EC47" s="301"/>
      <c r="ED47" s="226">
        <v>7</v>
      </c>
      <c r="EE47" s="59">
        <f t="shared" si="217"/>
        <v>0</v>
      </c>
      <c r="EF47" s="254" t="e">
        <f t="shared" si="218"/>
        <v>#REF!</v>
      </c>
      <c r="EG47" s="263" t="e">
        <f t="shared" si="219"/>
        <v>#REF!</v>
      </c>
      <c r="EH47" s="248"/>
      <c r="EI47" s="301"/>
      <c r="EJ47" s="226">
        <v>7</v>
      </c>
      <c r="EK47" s="59">
        <f t="shared" si="220"/>
        <v>0</v>
      </c>
      <c r="EL47" s="254" t="e">
        <f t="shared" si="221"/>
        <v>#REF!</v>
      </c>
      <c r="EM47" s="263" t="e">
        <f t="shared" si="222"/>
        <v>#REF!</v>
      </c>
      <c r="EN47" s="248"/>
      <c r="EO47" s="305"/>
      <c r="EP47" s="244"/>
      <c r="EQ47" s="307"/>
      <c r="ER47" s="226">
        <v>7</v>
      </c>
      <c r="ES47" s="59">
        <f t="shared" si="223"/>
        <v>0</v>
      </c>
      <c r="ET47" s="254" t="e">
        <f t="shared" si="224"/>
        <v>#REF!</v>
      </c>
      <c r="EU47" s="263" t="e">
        <f t="shared" si="225"/>
        <v>#REF!</v>
      </c>
      <c r="EV47" s="248"/>
      <c r="EW47" s="301"/>
      <c r="EX47" s="226">
        <v>7</v>
      </c>
      <c r="EY47" s="59">
        <f t="shared" si="226"/>
        <v>0</v>
      </c>
      <c r="EZ47" s="254" t="e">
        <f t="shared" si="227"/>
        <v>#REF!</v>
      </c>
      <c r="FA47" s="263" t="e">
        <f t="shared" si="228"/>
        <v>#REF!</v>
      </c>
      <c r="FB47" s="248"/>
      <c r="FC47" s="301"/>
      <c r="FD47" s="226">
        <v>7</v>
      </c>
      <c r="FE47" s="59">
        <f t="shared" si="229"/>
        <v>0</v>
      </c>
      <c r="FF47" s="254" t="e">
        <f t="shared" si="230"/>
        <v>#REF!</v>
      </c>
      <c r="FG47" s="263" t="e">
        <f t="shared" si="231"/>
        <v>#REF!</v>
      </c>
      <c r="FH47" s="248"/>
      <c r="FI47" s="301"/>
      <c r="FJ47" s="226">
        <v>7</v>
      </c>
      <c r="FK47" s="59">
        <f t="shared" si="232"/>
        <v>0</v>
      </c>
      <c r="FL47" s="254" t="e">
        <f t="shared" si="233"/>
        <v>#REF!</v>
      </c>
      <c r="FM47" s="263" t="e">
        <f t="shared" si="234"/>
        <v>#REF!</v>
      </c>
      <c r="FN47" s="248"/>
      <c r="FO47" s="305"/>
      <c r="FP47" s="244"/>
    </row>
    <row r="48" spans="1:172" ht="17.5" thickBot="1" x14ac:dyDescent="0.5">
      <c r="A48" s="309"/>
      <c r="B48" s="261">
        <v>8</v>
      </c>
      <c r="C48" s="59">
        <v>0</v>
      </c>
      <c r="D48" s="254" t="e">
        <f t="shared" si="158"/>
        <v>#REF!</v>
      </c>
      <c r="E48" s="263" t="e">
        <f t="shared" si="159"/>
        <v>#REF!</v>
      </c>
      <c r="F48" s="260"/>
      <c r="G48" s="302"/>
      <c r="H48" s="261">
        <v>8</v>
      </c>
      <c r="I48" s="59">
        <f t="shared" si="160"/>
        <v>0</v>
      </c>
      <c r="J48" s="254" t="e">
        <f t="shared" si="161"/>
        <v>#REF!</v>
      </c>
      <c r="K48" s="263" t="e">
        <f t="shared" si="162"/>
        <v>#REF!</v>
      </c>
      <c r="L48" s="260"/>
      <c r="M48" s="305"/>
      <c r="N48" s="244"/>
      <c r="O48" s="309"/>
      <c r="P48" s="261">
        <v>8</v>
      </c>
      <c r="Q48" s="59">
        <f t="shared" si="163"/>
        <v>0</v>
      </c>
      <c r="R48" s="254" t="e">
        <f t="shared" si="164"/>
        <v>#REF!</v>
      </c>
      <c r="S48" s="263" t="e">
        <f t="shared" si="165"/>
        <v>#REF!</v>
      </c>
      <c r="T48" s="260"/>
      <c r="U48" s="302"/>
      <c r="V48" s="261">
        <v>8</v>
      </c>
      <c r="W48" s="59">
        <f t="shared" si="166"/>
        <v>0</v>
      </c>
      <c r="X48" s="254" t="e">
        <f t="shared" si="167"/>
        <v>#REF!</v>
      </c>
      <c r="Y48" s="263" t="e">
        <f t="shared" si="168"/>
        <v>#REF!</v>
      </c>
      <c r="Z48" s="260"/>
      <c r="AA48" s="302"/>
      <c r="AB48" s="261">
        <v>8</v>
      </c>
      <c r="AC48" s="59">
        <f t="shared" si="169"/>
        <v>0</v>
      </c>
      <c r="AD48" s="254" t="e">
        <f t="shared" si="170"/>
        <v>#REF!</v>
      </c>
      <c r="AE48" s="263" t="e">
        <f t="shared" si="171"/>
        <v>#REF!</v>
      </c>
      <c r="AF48" s="260"/>
      <c r="AG48" s="305"/>
      <c r="AH48" s="244"/>
      <c r="AI48" s="309"/>
      <c r="AJ48" s="261">
        <v>8</v>
      </c>
      <c r="AK48" s="59">
        <f t="shared" si="172"/>
        <v>0</v>
      </c>
      <c r="AL48" s="254" t="e">
        <f t="shared" si="173"/>
        <v>#REF!</v>
      </c>
      <c r="AM48" s="263" t="e">
        <f t="shared" si="174"/>
        <v>#REF!</v>
      </c>
      <c r="AN48" s="260"/>
      <c r="AO48" s="302"/>
      <c r="AP48" s="261">
        <v>8</v>
      </c>
      <c r="AQ48" s="59">
        <f t="shared" si="175"/>
        <v>0</v>
      </c>
      <c r="AR48" s="254" t="e">
        <f t="shared" si="176"/>
        <v>#REF!</v>
      </c>
      <c r="AS48" s="263" t="e">
        <f t="shared" si="177"/>
        <v>#REF!</v>
      </c>
      <c r="AT48" s="260"/>
      <c r="AU48" s="302"/>
      <c r="AV48" s="261">
        <v>8</v>
      </c>
      <c r="AW48" s="59">
        <f t="shared" si="178"/>
        <v>0</v>
      </c>
      <c r="AX48" s="254" t="e">
        <f t="shared" si="179"/>
        <v>#REF!</v>
      </c>
      <c r="AY48" s="263" t="e">
        <f t="shared" si="180"/>
        <v>#REF!</v>
      </c>
      <c r="AZ48" s="260"/>
      <c r="BA48" s="305"/>
      <c r="BB48" s="244"/>
      <c r="BC48" s="309"/>
      <c r="BD48" s="261">
        <v>8</v>
      </c>
      <c r="BE48" s="59">
        <f t="shared" si="181"/>
        <v>0</v>
      </c>
      <c r="BF48" s="254" t="e">
        <f t="shared" si="182"/>
        <v>#REF!</v>
      </c>
      <c r="BG48" s="263" t="e">
        <f t="shared" si="183"/>
        <v>#REF!</v>
      </c>
      <c r="BH48" s="260">
        <v>4</v>
      </c>
      <c r="BI48" s="302"/>
      <c r="BJ48" s="261">
        <v>8</v>
      </c>
      <c r="BK48" s="59">
        <f t="shared" si="184"/>
        <v>1</v>
      </c>
      <c r="BL48" s="254" t="e">
        <f t="shared" si="185"/>
        <v>#REF!</v>
      </c>
      <c r="BM48" s="263" t="e">
        <f t="shared" si="186"/>
        <v>#REF!</v>
      </c>
      <c r="BN48" s="260"/>
      <c r="BO48" s="302"/>
      <c r="BP48" s="261">
        <v>8</v>
      </c>
      <c r="BQ48" s="59">
        <f t="shared" si="187"/>
        <v>1</v>
      </c>
      <c r="BR48" s="254" t="e">
        <f t="shared" si="188"/>
        <v>#REF!</v>
      </c>
      <c r="BS48" s="263" t="e">
        <f t="shared" si="189"/>
        <v>#REF!</v>
      </c>
      <c r="BT48" s="260"/>
      <c r="BU48" s="305"/>
      <c r="BV48" s="244"/>
      <c r="BW48" s="309"/>
      <c r="BX48" s="261">
        <v>8</v>
      </c>
      <c r="BY48" s="59">
        <f t="shared" si="190"/>
        <v>1</v>
      </c>
      <c r="BZ48" s="254" t="e">
        <f t="shared" si="191"/>
        <v>#REF!</v>
      </c>
      <c r="CA48" s="263" t="e">
        <f t="shared" si="192"/>
        <v>#REF!</v>
      </c>
      <c r="CB48" s="260"/>
      <c r="CC48" s="302"/>
      <c r="CD48" s="261">
        <v>8</v>
      </c>
      <c r="CE48" s="59">
        <f t="shared" si="193"/>
        <v>1</v>
      </c>
      <c r="CF48" s="254" t="e">
        <f t="shared" si="194"/>
        <v>#REF!</v>
      </c>
      <c r="CG48" s="263" t="e">
        <f t="shared" si="195"/>
        <v>#REF!</v>
      </c>
      <c r="CH48" s="260"/>
      <c r="CI48" s="302"/>
      <c r="CJ48" s="261">
        <v>8</v>
      </c>
      <c r="CK48" s="59">
        <f t="shared" si="196"/>
        <v>1</v>
      </c>
      <c r="CL48" s="254" t="e">
        <f t="shared" si="197"/>
        <v>#REF!</v>
      </c>
      <c r="CM48" s="263" t="e">
        <f t="shared" si="198"/>
        <v>#REF!</v>
      </c>
      <c r="CN48" s="260"/>
      <c r="CO48" s="302"/>
      <c r="CP48" s="261">
        <v>8</v>
      </c>
      <c r="CQ48" s="59">
        <f t="shared" si="199"/>
        <v>1</v>
      </c>
      <c r="CR48" s="254" t="e">
        <f t="shared" si="200"/>
        <v>#REF!</v>
      </c>
      <c r="CS48" s="263" t="e">
        <f t="shared" si="201"/>
        <v>#REF!</v>
      </c>
      <c r="CT48" s="260"/>
      <c r="CU48" s="305"/>
      <c r="CV48" s="244"/>
      <c r="CW48" s="309"/>
      <c r="CX48" s="261">
        <v>8</v>
      </c>
      <c r="CY48" s="59">
        <f t="shared" si="202"/>
        <v>1</v>
      </c>
      <c r="CZ48" s="254" t="e">
        <f t="shared" si="203"/>
        <v>#REF!</v>
      </c>
      <c r="DA48" s="263" t="e">
        <f t="shared" si="204"/>
        <v>#REF!</v>
      </c>
      <c r="DB48" s="260"/>
      <c r="DC48" s="302"/>
      <c r="DD48" s="261">
        <v>8</v>
      </c>
      <c r="DE48" s="59">
        <f t="shared" si="205"/>
        <v>1</v>
      </c>
      <c r="DF48" s="254" t="e">
        <f t="shared" si="206"/>
        <v>#REF!</v>
      </c>
      <c r="DG48" s="263" t="e">
        <f t="shared" si="207"/>
        <v>#REF!</v>
      </c>
      <c r="DH48" s="260"/>
      <c r="DI48" s="302"/>
      <c r="DJ48" s="261">
        <v>8</v>
      </c>
      <c r="DK48" s="59">
        <f t="shared" si="208"/>
        <v>1</v>
      </c>
      <c r="DL48" s="254" t="e">
        <f t="shared" si="209"/>
        <v>#REF!</v>
      </c>
      <c r="DM48" s="263" t="e">
        <f t="shared" si="210"/>
        <v>#REF!</v>
      </c>
      <c r="DN48" s="260"/>
      <c r="DO48" s="302"/>
      <c r="DP48" s="261">
        <v>8</v>
      </c>
      <c r="DQ48" s="59">
        <f t="shared" si="211"/>
        <v>1</v>
      </c>
      <c r="DR48" s="254" t="e">
        <f t="shared" si="212"/>
        <v>#REF!</v>
      </c>
      <c r="DS48" s="263" t="e">
        <f t="shared" si="213"/>
        <v>#REF!</v>
      </c>
      <c r="DT48" s="260"/>
      <c r="DU48" s="305"/>
      <c r="DV48" s="244"/>
      <c r="DW48" s="309"/>
      <c r="DX48" s="261">
        <v>8</v>
      </c>
      <c r="DY48" s="59">
        <f t="shared" si="214"/>
        <v>1</v>
      </c>
      <c r="DZ48" s="254" t="e">
        <f t="shared" si="215"/>
        <v>#REF!</v>
      </c>
      <c r="EA48" s="263" t="e">
        <f t="shared" si="216"/>
        <v>#REF!</v>
      </c>
      <c r="EB48" s="260"/>
      <c r="EC48" s="302"/>
      <c r="ED48" s="261">
        <v>8</v>
      </c>
      <c r="EE48" s="59">
        <f t="shared" si="217"/>
        <v>1</v>
      </c>
      <c r="EF48" s="254" t="e">
        <f t="shared" si="218"/>
        <v>#REF!</v>
      </c>
      <c r="EG48" s="263" t="e">
        <f t="shared" si="219"/>
        <v>#REF!</v>
      </c>
      <c r="EH48" s="260"/>
      <c r="EI48" s="302"/>
      <c r="EJ48" s="261">
        <v>8</v>
      </c>
      <c r="EK48" s="59">
        <f t="shared" si="220"/>
        <v>1</v>
      </c>
      <c r="EL48" s="254" t="e">
        <f t="shared" si="221"/>
        <v>#REF!</v>
      </c>
      <c r="EM48" s="263" t="e">
        <f t="shared" si="222"/>
        <v>#REF!</v>
      </c>
      <c r="EN48" s="260"/>
      <c r="EO48" s="305"/>
      <c r="EP48" s="244"/>
      <c r="EQ48" s="309"/>
      <c r="ER48" s="261">
        <v>8</v>
      </c>
      <c r="ES48" s="59">
        <f t="shared" si="223"/>
        <v>1</v>
      </c>
      <c r="ET48" s="254" t="e">
        <f t="shared" si="224"/>
        <v>#REF!</v>
      </c>
      <c r="EU48" s="263" t="e">
        <f t="shared" si="225"/>
        <v>#REF!</v>
      </c>
      <c r="EV48" s="260"/>
      <c r="EW48" s="302"/>
      <c r="EX48" s="261">
        <v>8</v>
      </c>
      <c r="EY48" s="59">
        <f t="shared" si="226"/>
        <v>1</v>
      </c>
      <c r="EZ48" s="254" t="e">
        <f t="shared" si="227"/>
        <v>#REF!</v>
      </c>
      <c r="FA48" s="263" t="e">
        <f t="shared" si="228"/>
        <v>#REF!</v>
      </c>
      <c r="FB48" s="260"/>
      <c r="FC48" s="302"/>
      <c r="FD48" s="261">
        <v>8</v>
      </c>
      <c r="FE48" s="59">
        <f t="shared" si="229"/>
        <v>1</v>
      </c>
      <c r="FF48" s="254" t="e">
        <f t="shared" si="230"/>
        <v>#REF!</v>
      </c>
      <c r="FG48" s="263" t="e">
        <f t="shared" si="231"/>
        <v>#REF!</v>
      </c>
      <c r="FH48" s="260"/>
      <c r="FI48" s="302"/>
      <c r="FJ48" s="261">
        <v>8</v>
      </c>
      <c r="FK48" s="59">
        <f t="shared" si="232"/>
        <v>1</v>
      </c>
      <c r="FL48" s="254" t="e">
        <f t="shared" si="233"/>
        <v>#REF!</v>
      </c>
      <c r="FM48" s="263" t="e">
        <f t="shared" si="234"/>
        <v>#REF!</v>
      </c>
      <c r="FN48" s="260"/>
      <c r="FO48" s="305"/>
      <c r="FP48" s="244"/>
    </row>
    <row r="49" spans="1:172" s="79" customFormat="1" ht="17" x14ac:dyDescent="0.45">
      <c r="A49" s="306">
        <v>4</v>
      </c>
      <c r="B49" s="265">
        <f>U9</f>
        <v>3</v>
      </c>
      <c r="C49" s="206" t="s">
        <v>154</v>
      </c>
      <c r="D49" s="206" t="s">
        <v>158</v>
      </c>
      <c r="E49" s="242" t="s">
        <v>152</v>
      </c>
      <c r="F49" s="262"/>
      <c r="G49" s="300">
        <v>4</v>
      </c>
      <c r="H49" s="245"/>
      <c r="I49" s="206" t="s">
        <v>154</v>
      </c>
      <c r="J49" s="206" t="s">
        <v>158</v>
      </c>
      <c r="K49" s="242" t="s">
        <v>152</v>
      </c>
      <c r="L49" s="262"/>
      <c r="M49" s="305">
        <f>IF(COUNT(#REF!,F50:F58,L50:L58) &gt;0, COUNT(#REF!,F50:F58,L50:L58) /2,"")</f>
        <v>2</v>
      </c>
      <c r="N49" s="244"/>
      <c r="O49" s="306">
        <v>4</v>
      </c>
      <c r="P49" s="245"/>
      <c r="Q49" s="206" t="s">
        <v>154</v>
      </c>
      <c r="R49" s="206" t="s">
        <v>158</v>
      </c>
      <c r="S49" s="242" t="s">
        <v>152</v>
      </c>
      <c r="T49" s="262"/>
      <c r="U49" s="300">
        <v>4</v>
      </c>
      <c r="V49" s="245"/>
      <c r="W49" s="206" t="s">
        <v>154</v>
      </c>
      <c r="X49" s="206" t="s">
        <v>158</v>
      </c>
      <c r="Y49" s="242" t="s">
        <v>152</v>
      </c>
      <c r="Z49" s="262"/>
      <c r="AA49" s="300">
        <v>4</v>
      </c>
      <c r="AB49" s="245"/>
      <c r="AC49" s="206" t="s">
        <v>154</v>
      </c>
      <c r="AD49" s="206" t="s">
        <v>158</v>
      </c>
      <c r="AE49" s="242" t="s">
        <v>152</v>
      </c>
      <c r="AF49" s="262"/>
      <c r="AG49" s="305">
        <f>IF(COUNT(N50:N58,T50:T58,Z50:Z58,AF50:AF58) &gt;0, COUNT(N50:N58,T50:T58,Z50:Z58,AF50:AF58) /2,"")</f>
        <v>1</v>
      </c>
      <c r="AH49" s="244"/>
      <c r="AI49" s="306">
        <v>4</v>
      </c>
      <c r="AJ49" s="245"/>
      <c r="AK49" s="206" t="s">
        <v>154</v>
      </c>
      <c r="AL49" s="206" t="s">
        <v>158</v>
      </c>
      <c r="AM49" s="242" t="s">
        <v>152</v>
      </c>
      <c r="AN49" s="262"/>
      <c r="AO49" s="300">
        <v>4</v>
      </c>
      <c r="AP49" s="245"/>
      <c r="AQ49" s="206" t="s">
        <v>154</v>
      </c>
      <c r="AR49" s="206" t="s">
        <v>158</v>
      </c>
      <c r="AS49" s="242" t="s">
        <v>152</v>
      </c>
      <c r="AT49" s="262"/>
      <c r="AU49" s="300">
        <v>4</v>
      </c>
      <c r="AV49" s="245"/>
      <c r="AW49" s="206" t="s">
        <v>154</v>
      </c>
      <c r="AX49" s="206" t="s">
        <v>158</v>
      </c>
      <c r="AY49" s="242" t="s">
        <v>152</v>
      </c>
      <c r="AZ49" s="262"/>
      <c r="BA49" s="305">
        <f>IF(COUNT(AN50:AN58,AT50:AT58,AZ50:AZ58) &gt;0, COUNT(AN50:AN58,AT50:AT58,AZ50:AZ58) /2,"")</f>
        <v>2</v>
      </c>
      <c r="BB49" s="244"/>
      <c r="BC49" s="306">
        <v>4</v>
      </c>
      <c r="BD49" s="245"/>
      <c r="BE49" s="206" t="s">
        <v>154</v>
      </c>
      <c r="BF49" s="206" t="s">
        <v>158</v>
      </c>
      <c r="BG49" s="242" t="s">
        <v>152</v>
      </c>
      <c r="BH49" s="262"/>
      <c r="BI49" s="300">
        <v>4</v>
      </c>
      <c r="BJ49" s="245"/>
      <c r="BK49" s="206" t="s">
        <v>154</v>
      </c>
      <c r="BL49" s="206" t="s">
        <v>158</v>
      </c>
      <c r="BM49" s="242" t="s">
        <v>152</v>
      </c>
      <c r="BN49" s="262"/>
      <c r="BO49" s="300">
        <v>4</v>
      </c>
      <c r="BP49" s="245"/>
      <c r="BQ49" s="206" t="s">
        <v>154</v>
      </c>
      <c r="BR49" s="206" t="s">
        <v>158</v>
      </c>
      <c r="BS49" s="242" t="s">
        <v>152</v>
      </c>
      <c r="BT49" s="262"/>
      <c r="BU49" s="305">
        <f>IF(COUNT(BH50:BH58,BN50:BN58,BT50:BT58) &gt;0, COUNT(BH50:BH58,BN50:BN58,BT50:BT58) /2,"")</f>
        <v>1</v>
      </c>
      <c r="BV49" s="244"/>
      <c r="BW49" s="306">
        <v>4</v>
      </c>
      <c r="BX49" s="245"/>
      <c r="BY49" s="206" t="s">
        <v>154</v>
      </c>
      <c r="BZ49" s="206" t="s">
        <v>158</v>
      </c>
      <c r="CA49" s="242" t="s">
        <v>152</v>
      </c>
      <c r="CB49" s="262"/>
      <c r="CC49" s="300">
        <v>4</v>
      </c>
      <c r="CD49" s="245"/>
      <c r="CE49" s="206" t="s">
        <v>154</v>
      </c>
      <c r="CF49" s="206" t="s">
        <v>158</v>
      </c>
      <c r="CG49" s="242" t="s">
        <v>152</v>
      </c>
      <c r="CH49" s="262"/>
      <c r="CI49" s="300">
        <v>4</v>
      </c>
      <c r="CJ49" s="245"/>
      <c r="CK49" s="206" t="s">
        <v>154</v>
      </c>
      <c r="CL49" s="206" t="s">
        <v>158</v>
      </c>
      <c r="CM49" s="242" t="s">
        <v>152</v>
      </c>
      <c r="CN49" s="262"/>
      <c r="CO49" s="300">
        <v>4</v>
      </c>
      <c r="CP49" s="245"/>
      <c r="CQ49" s="206" t="s">
        <v>154</v>
      </c>
      <c r="CR49" s="206" t="s">
        <v>158</v>
      </c>
      <c r="CS49" s="242" t="s">
        <v>152</v>
      </c>
      <c r="CT49" s="262"/>
      <c r="CU49" s="305" t="str">
        <f>IF(COUNT(CB50:CB58,CH50:CH58,CN50:CN58,CT50:CT58) &gt;0, COUNT(CB50:CB58,CH50:CH58,CN50:CN58,CT50:CT58) /2,"")</f>
        <v/>
      </c>
      <c r="CV49" s="244"/>
      <c r="CW49" s="306">
        <v>4</v>
      </c>
      <c r="CX49" s="245"/>
      <c r="CY49" s="206" t="s">
        <v>154</v>
      </c>
      <c r="CZ49" s="206" t="s">
        <v>158</v>
      </c>
      <c r="DA49" s="242" t="s">
        <v>152</v>
      </c>
      <c r="DB49" s="262"/>
      <c r="DC49" s="300">
        <v>4</v>
      </c>
      <c r="DD49" s="245"/>
      <c r="DE49" s="206" t="s">
        <v>154</v>
      </c>
      <c r="DF49" s="206" t="s">
        <v>158</v>
      </c>
      <c r="DG49" s="242" t="s">
        <v>152</v>
      </c>
      <c r="DH49" s="262"/>
      <c r="DI49" s="300">
        <v>4</v>
      </c>
      <c r="DJ49" s="245"/>
      <c r="DK49" s="206" t="s">
        <v>154</v>
      </c>
      <c r="DL49" s="206" t="s">
        <v>158</v>
      </c>
      <c r="DM49" s="242" t="s">
        <v>152</v>
      </c>
      <c r="DN49" s="262"/>
      <c r="DO49" s="300">
        <v>4</v>
      </c>
      <c r="DP49" s="245"/>
      <c r="DQ49" s="206" t="s">
        <v>154</v>
      </c>
      <c r="DR49" s="206" t="s">
        <v>158</v>
      </c>
      <c r="DS49" s="242" t="s">
        <v>152</v>
      </c>
      <c r="DT49" s="262"/>
      <c r="DU49" s="305" t="str">
        <f>IF(COUNT(DB50:DB58,DH50:DH58,DN50:DN58,DT50:DT58) &gt;0, COUNT(DB50:DB58,DH50:DH58,DN50:DN58,DT50:DT58) /2,"")</f>
        <v/>
      </c>
      <c r="DV49" s="244"/>
      <c r="DW49" s="306">
        <v>4</v>
      </c>
      <c r="DX49" s="245"/>
      <c r="DY49" s="206" t="s">
        <v>154</v>
      </c>
      <c r="DZ49" s="206" t="s">
        <v>158</v>
      </c>
      <c r="EA49" s="242" t="s">
        <v>152</v>
      </c>
      <c r="EB49" s="262"/>
      <c r="EC49" s="300">
        <v>4</v>
      </c>
      <c r="ED49" s="245"/>
      <c r="EE49" s="206" t="s">
        <v>154</v>
      </c>
      <c r="EF49" s="206" t="s">
        <v>158</v>
      </c>
      <c r="EG49" s="242" t="s">
        <v>152</v>
      </c>
      <c r="EH49" s="262"/>
      <c r="EI49" s="300">
        <v>4</v>
      </c>
      <c r="EJ49" s="245"/>
      <c r="EK49" s="206" t="s">
        <v>154</v>
      </c>
      <c r="EL49" s="206" t="s">
        <v>158</v>
      </c>
      <c r="EM49" s="242" t="s">
        <v>152</v>
      </c>
      <c r="EN49" s="262"/>
      <c r="EO49" s="305" t="str">
        <f>IF(COUNT(EB50:EB58,EH50:EH58,EN50:EN58) &gt;0, COUNT(EB50:EB58,EH50:EH58,EN50:EN58) /2,"")</f>
        <v/>
      </c>
      <c r="EP49" s="244"/>
      <c r="EQ49" s="306">
        <v>4</v>
      </c>
      <c r="ER49" s="245"/>
      <c r="ES49" s="206" t="s">
        <v>154</v>
      </c>
      <c r="ET49" s="206" t="s">
        <v>158</v>
      </c>
      <c r="EU49" s="242" t="s">
        <v>152</v>
      </c>
      <c r="EV49" s="262"/>
      <c r="EW49" s="300">
        <v>4</v>
      </c>
      <c r="EX49" s="245"/>
      <c r="EY49" s="206" t="s">
        <v>154</v>
      </c>
      <c r="EZ49" s="206" t="s">
        <v>158</v>
      </c>
      <c r="FA49" s="242" t="s">
        <v>152</v>
      </c>
      <c r="FB49" s="262"/>
      <c r="FC49" s="300">
        <v>4</v>
      </c>
      <c r="FD49" s="245"/>
      <c r="FE49" s="206" t="s">
        <v>154</v>
      </c>
      <c r="FF49" s="206" t="s">
        <v>158</v>
      </c>
      <c r="FG49" s="242" t="s">
        <v>152</v>
      </c>
      <c r="FH49" s="262"/>
      <c r="FI49" s="300">
        <v>4</v>
      </c>
      <c r="FJ49" s="245"/>
      <c r="FK49" s="206" t="s">
        <v>154</v>
      </c>
      <c r="FL49" s="206" t="s">
        <v>158</v>
      </c>
      <c r="FM49" s="242" t="s">
        <v>152</v>
      </c>
      <c r="FN49" s="262"/>
      <c r="FO49" s="305" t="str">
        <f>IF(COUNT(EV50:EV58,FB50:FB58,FH50:FH58,FN50:FN58) &gt;0, COUNT(EV50:EV58,FB50:FB58,FH50:FH58,FN50:FN58) /2,"")</f>
        <v/>
      </c>
      <c r="FP49" s="244"/>
    </row>
    <row r="50" spans="1:172" ht="27.75" customHeight="1" x14ac:dyDescent="0.45">
      <c r="A50" s="307"/>
      <c r="B50" s="249" t="s">
        <v>162</v>
      </c>
      <c r="C50" s="41" t="s">
        <v>156</v>
      </c>
      <c r="D50" s="41" t="s">
        <v>175</v>
      </c>
      <c r="E50" s="249" t="s">
        <v>174</v>
      </c>
      <c r="F50" s="250"/>
      <c r="G50" s="301"/>
      <c r="H50" s="249" t="s">
        <v>162</v>
      </c>
      <c r="I50" s="59" t="s">
        <v>155</v>
      </c>
      <c r="J50" s="41" t="s">
        <v>175</v>
      </c>
      <c r="K50" s="249" t="s">
        <v>174</v>
      </c>
      <c r="L50" s="250"/>
      <c r="M50" s="305"/>
      <c r="N50" s="244"/>
      <c r="O50" s="307"/>
      <c r="P50" s="249" t="s">
        <v>162</v>
      </c>
      <c r="Q50" s="59" t="s">
        <v>155</v>
      </c>
      <c r="R50" s="41" t="s">
        <v>175</v>
      </c>
      <c r="S50" s="249" t="s">
        <v>174</v>
      </c>
      <c r="T50" s="250"/>
      <c r="U50" s="301"/>
      <c r="V50" s="249" t="s">
        <v>162</v>
      </c>
      <c r="W50" s="59" t="s">
        <v>155</v>
      </c>
      <c r="X50" s="41" t="s">
        <v>175</v>
      </c>
      <c r="Y50" s="249" t="s">
        <v>174</v>
      </c>
      <c r="Z50" s="250"/>
      <c r="AA50" s="301"/>
      <c r="AB50" s="249" t="s">
        <v>162</v>
      </c>
      <c r="AC50" s="59" t="s">
        <v>155</v>
      </c>
      <c r="AD50" s="41" t="s">
        <v>175</v>
      </c>
      <c r="AE50" s="249" t="s">
        <v>174</v>
      </c>
      <c r="AF50" s="250"/>
      <c r="AG50" s="305"/>
      <c r="AH50" s="244"/>
      <c r="AI50" s="307"/>
      <c r="AJ50" s="249" t="s">
        <v>162</v>
      </c>
      <c r="AK50" s="59" t="s">
        <v>155</v>
      </c>
      <c r="AL50" s="41" t="s">
        <v>175</v>
      </c>
      <c r="AM50" s="249" t="s">
        <v>174</v>
      </c>
      <c r="AN50" s="250"/>
      <c r="AO50" s="301"/>
      <c r="AP50" s="249" t="s">
        <v>162</v>
      </c>
      <c r="AQ50" s="59" t="s">
        <v>155</v>
      </c>
      <c r="AR50" s="41" t="s">
        <v>175</v>
      </c>
      <c r="AS50" s="249" t="s">
        <v>174</v>
      </c>
      <c r="AT50" s="250"/>
      <c r="AU50" s="301"/>
      <c r="AV50" s="249" t="s">
        <v>162</v>
      </c>
      <c r="AW50" s="59" t="s">
        <v>155</v>
      </c>
      <c r="AX50" s="41" t="s">
        <v>175</v>
      </c>
      <c r="AY50" s="249" t="s">
        <v>174</v>
      </c>
      <c r="AZ50" s="250"/>
      <c r="BA50" s="305"/>
      <c r="BB50" s="244"/>
      <c r="BC50" s="307"/>
      <c r="BD50" s="249" t="s">
        <v>162</v>
      </c>
      <c r="BE50" s="59" t="s">
        <v>155</v>
      </c>
      <c r="BF50" s="41" t="s">
        <v>175</v>
      </c>
      <c r="BG50" s="249" t="s">
        <v>174</v>
      </c>
      <c r="BH50" s="250"/>
      <c r="BI50" s="301"/>
      <c r="BJ50" s="249" t="s">
        <v>162</v>
      </c>
      <c r="BK50" s="59" t="s">
        <v>155</v>
      </c>
      <c r="BL50" s="41" t="s">
        <v>175</v>
      </c>
      <c r="BM50" s="249" t="s">
        <v>174</v>
      </c>
      <c r="BN50" s="250"/>
      <c r="BO50" s="301"/>
      <c r="BP50" s="249" t="s">
        <v>162</v>
      </c>
      <c r="BQ50" s="59" t="s">
        <v>155</v>
      </c>
      <c r="BR50" s="41" t="s">
        <v>175</v>
      </c>
      <c r="BS50" s="249" t="s">
        <v>174</v>
      </c>
      <c r="BT50" s="250"/>
      <c r="BU50" s="305"/>
      <c r="BV50" s="244"/>
      <c r="BW50" s="307"/>
      <c r="BX50" s="249" t="s">
        <v>162</v>
      </c>
      <c r="BY50" s="59" t="s">
        <v>155</v>
      </c>
      <c r="BZ50" s="41" t="s">
        <v>175</v>
      </c>
      <c r="CA50" s="249" t="s">
        <v>174</v>
      </c>
      <c r="CB50" s="250"/>
      <c r="CC50" s="301"/>
      <c r="CD50" s="249" t="s">
        <v>162</v>
      </c>
      <c r="CE50" s="59" t="s">
        <v>155</v>
      </c>
      <c r="CF50" s="41" t="s">
        <v>175</v>
      </c>
      <c r="CG50" s="249" t="s">
        <v>174</v>
      </c>
      <c r="CH50" s="250"/>
      <c r="CI50" s="301"/>
      <c r="CJ50" s="249" t="s">
        <v>162</v>
      </c>
      <c r="CK50" s="59" t="s">
        <v>155</v>
      </c>
      <c r="CL50" s="41" t="s">
        <v>175</v>
      </c>
      <c r="CM50" s="249" t="s">
        <v>174</v>
      </c>
      <c r="CN50" s="250"/>
      <c r="CO50" s="301"/>
      <c r="CP50" s="249" t="s">
        <v>162</v>
      </c>
      <c r="CQ50" s="59" t="s">
        <v>155</v>
      </c>
      <c r="CR50" s="41" t="s">
        <v>175</v>
      </c>
      <c r="CS50" s="249" t="s">
        <v>174</v>
      </c>
      <c r="CT50" s="250"/>
      <c r="CU50" s="305"/>
      <c r="CV50" s="244"/>
      <c r="CW50" s="307"/>
      <c r="CX50" s="249" t="s">
        <v>162</v>
      </c>
      <c r="CY50" s="59" t="s">
        <v>155</v>
      </c>
      <c r="CZ50" s="41" t="s">
        <v>175</v>
      </c>
      <c r="DA50" s="249" t="s">
        <v>174</v>
      </c>
      <c r="DB50" s="250"/>
      <c r="DC50" s="301"/>
      <c r="DD50" s="249" t="s">
        <v>162</v>
      </c>
      <c r="DE50" s="59" t="s">
        <v>155</v>
      </c>
      <c r="DF50" s="41" t="s">
        <v>175</v>
      </c>
      <c r="DG50" s="249" t="s">
        <v>174</v>
      </c>
      <c r="DH50" s="250"/>
      <c r="DI50" s="301"/>
      <c r="DJ50" s="249" t="s">
        <v>162</v>
      </c>
      <c r="DK50" s="59" t="s">
        <v>155</v>
      </c>
      <c r="DL50" s="41" t="s">
        <v>175</v>
      </c>
      <c r="DM50" s="249" t="s">
        <v>174</v>
      </c>
      <c r="DN50" s="250"/>
      <c r="DO50" s="301"/>
      <c r="DP50" s="249" t="s">
        <v>162</v>
      </c>
      <c r="DQ50" s="59" t="s">
        <v>155</v>
      </c>
      <c r="DR50" s="41" t="s">
        <v>175</v>
      </c>
      <c r="DS50" s="249" t="s">
        <v>174</v>
      </c>
      <c r="DT50" s="250"/>
      <c r="DU50" s="305"/>
      <c r="DV50" s="244"/>
      <c r="DW50" s="307"/>
      <c r="DX50" s="249" t="s">
        <v>162</v>
      </c>
      <c r="DY50" s="59" t="s">
        <v>155</v>
      </c>
      <c r="DZ50" s="41" t="s">
        <v>175</v>
      </c>
      <c r="EA50" s="249" t="s">
        <v>174</v>
      </c>
      <c r="EB50" s="250"/>
      <c r="EC50" s="301"/>
      <c r="ED50" s="249" t="s">
        <v>162</v>
      </c>
      <c r="EE50" s="59" t="s">
        <v>155</v>
      </c>
      <c r="EF50" s="41" t="s">
        <v>175</v>
      </c>
      <c r="EG50" s="249" t="s">
        <v>174</v>
      </c>
      <c r="EH50" s="250"/>
      <c r="EI50" s="301"/>
      <c r="EJ50" s="249" t="s">
        <v>162</v>
      </c>
      <c r="EK50" s="59" t="s">
        <v>155</v>
      </c>
      <c r="EL50" s="41" t="s">
        <v>175</v>
      </c>
      <c r="EM50" s="249" t="s">
        <v>174</v>
      </c>
      <c r="EN50" s="250"/>
      <c r="EO50" s="305"/>
      <c r="EP50" s="244"/>
      <c r="EQ50" s="307"/>
      <c r="ER50" s="249" t="s">
        <v>162</v>
      </c>
      <c r="ES50" s="59" t="s">
        <v>155</v>
      </c>
      <c r="ET50" s="41" t="s">
        <v>175</v>
      </c>
      <c r="EU50" s="249" t="s">
        <v>174</v>
      </c>
      <c r="EV50" s="250"/>
      <c r="EW50" s="301"/>
      <c r="EX50" s="249" t="s">
        <v>162</v>
      </c>
      <c r="EY50" s="59" t="s">
        <v>155</v>
      </c>
      <c r="EZ50" s="41" t="s">
        <v>175</v>
      </c>
      <c r="FA50" s="249" t="s">
        <v>174</v>
      </c>
      <c r="FB50" s="250"/>
      <c r="FC50" s="301"/>
      <c r="FD50" s="249" t="s">
        <v>162</v>
      </c>
      <c r="FE50" s="59" t="s">
        <v>155</v>
      </c>
      <c r="FF50" s="41" t="s">
        <v>175</v>
      </c>
      <c r="FG50" s="249" t="s">
        <v>174</v>
      </c>
      <c r="FH50" s="250"/>
      <c r="FI50" s="301"/>
      <c r="FJ50" s="249" t="s">
        <v>162</v>
      </c>
      <c r="FK50" s="59" t="s">
        <v>155</v>
      </c>
      <c r="FL50" s="41" t="s">
        <v>175</v>
      </c>
      <c r="FM50" s="249" t="s">
        <v>174</v>
      </c>
      <c r="FN50" s="250"/>
      <c r="FO50" s="305"/>
      <c r="FP50" s="244"/>
    </row>
    <row r="51" spans="1:172" ht="17" x14ac:dyDescent="0.45">
      <c r="A51" s="307"/>
      <c r="B51" s="226">
        <v>1</v>
      </c>
      <c r="C51" s="59">
        <v>0</v>
      </c>
      <c r="D51" s="254">
        <f t="shared" ref="D51:D58" si="235">(C51+$B$49)*$H$3</f>
        <v>24</v>
      </c>
      <c r="E51" s="263">
        <f t="shared" ref="E51:E58" si="236">MOD($F6+D51,$H$2)</f>
        <v>31</v>
      </c>
      <c r="F51" s="264"/>
      <c r="G51" s="301"/>
      <c r="H51" s="226">
        <v>1</v>
      </c>
      <c r="I51" s="59">
        <f t="shared" ref="I51:I58" si="237">IF(F51="", C51,IF(F51=MAX(F$51:F$58),C51+1,0))</f>
        <v>0</v>
      </c>
      <c r="J51" s="254">
        <f t="shared" ref="J51:J58" si="238">(I51+$B$49)*$H$3</f>
        <v>24</v>
      </c>
      <c r="K51" s="263">
        <f t="shared" ref="K51:K58" si="239">MOD($F6+J51,$H$2)</f>
        <v>31</v>
      </c>
      <c r="L51" s="264"/>
      <c r="M51" s="305"/>
      <c r="N51" s="244"/>
      <c r="O51" s="307"/>
      <c r="P51" s="226">
        <v>1</v>
      </c>
      <c r="Q51" s="59">
        <f t="shared" ref="Q51:Q58" si="240">IF(F51="", C51,IF(F51=MAX(F$51:F$58),C51+1,0))</f>
        <v>0</v>
      </c>
      <c r="R51" s="254">
        <f t="shared" ref="R51:R58" si="241">(Q51+$B$49)*$H$3</f>
        <v>24</v>
      </c>
      <c r="S51" s="263">
        <f t="shared" ref="S51:S58" si="242">MOD($F6+R51,$H$2)</f>
        <v>31</v>
      </c>
      <c r="T51" s="264"/>
      <c r="U51" s="301"/>
      <c r="V51" s="226">
        <v>1</v>
      </c>
      <c r="W51" s="59">
        <f t="shared" ref="W51:W58" si="243">IF(T51="", Q51,IF(T51=MAX(T$51:T$58),Q51+1,0))</f>
        <v>0</v>
      </c>
      <c r="X51" s="254">
        <f t="shared" ref="X51:X58" si="244">(W51+$B$49)*$H$3</f>
        <v>24</v>
      </c>
      <c r="Y51" s="263">
        <f t="shared" ref="Y51:Y58" si="245">MOD($F6+X51,$H$2)</f>
        <v>31</v>
      </c>
      <c r="Z51" s="264"/>
      <c r="AA51" s="301"/>
      <c r="AB51" s="226">
        <v>1</v>
      </c>
      <c r="AC51" s="59">
        <f t="shared" ref="AC51:AC58" si="246">IF(Z51="", W51,IF(Z51=MAX(Z$51:Z$58),W51+1,0))</f>
        <v>0</v>
      </c>
      <c r="AD51" s="254">
        <f t="shared" ref="AD51:AD58" si="247">(AC51+$B$49)*$H$3</f>
        <v>24</v>
      </c>
      <c r="AE51" s="263">
        <f t="shared" ref="AE51:AE58" si="248">MOD($F6+AD51,$H$2)</f>
        <v>31</v>
      </c>
      <c r="AF51" s="264"/>
      <c r="AG51" s="305"/>
      <c r="AH51" s="244"/>
      <c r="AI51" s="307"/>
      <c r="AJ51" s="226">
        <v>1</v>
      </c>
      <c r="AK51" s="59">
        <f t="shared" ref="AK51:AK58" si="249">IF(AF51="", AC51,IF(AF51=MAX(AF$51:AF$58),AC51+1,0))</f>
        <v>0</v>
      </c>
      <c r="AL51" s="254">
        <f t="shared" ref="AL51:AL58" si="250">(AK51+$B$49)*$H$3</f>
        <v>24</v>
      </c>
      <c r="AM51" s="263">
        <f t="shared" ref="AM51:AM58" si="251">MOD($F6+AL51,$H$2)</f>
        <v>31</v>
      </c>
      <c r="AN51" s="264"/>
      <c r="AO51" s="301"/>
      <c r="AP51" s="226">
        <v>1</v>
      </c>
      <c r="AQ51" s="59">
        <f t="shared" ref="AQ51:AQ58" si="252">IF(AN51="", AK51,IF(AN51=MAX(AN$51:AN$58),AK51+1,0))</f>
        <v>0</v>
      </c>
      <c r="AR51" s="254">
        <f t="shared" ref="AR51:AR58" si="253">(AQ51+$B$49)*$H$3</f>
        <v>24</v>
      </c>
      <c r="AS51" s="263">
        <f t="shared" ref="AS51:AS58" si="254">MOD($F6+AR51,$H$2)</f>
        <v>31</v>
      </c>
      <c r="AT51" s="264"/>
      <c r="AU51" s="301"/>
      <c r="AV51" s="226">
        <v>1</v>
      </c>
      <c r="AW51" s="59">
        <f t="shared" ref="AW51:AW58" si="255">IF(AT51="", AQ51,IF(AT51=MAX(AT$51:AT$58),AQ51+1,0))</f>
        <v>0</v>
      </c>
      <c r="AX51" s="254">
        <f t="shared" ref="AX51:AX58" si="256">(AW51+$B$49)*$H$3</f>
        <v>24</v>
      </c>
      <c r="AY51" s="263">
        <f t="shared" ref="AY51:AY58" si="257">MOD($F6+AX51,$H$2)</f>
        <v>31</v>
      </c>
      <c r="AZ51" s="264"/>
      <c r="BA51" s="305"/>
      <c r="BB51" s="244"/>
      <c r="BC51" s="307"/>
      <c r="BD51" s="226">
        <v>1</v>
      </c>
      <c r="BE51" s="59">
        <f t="shared" ref="BE51:BE58" si="258">IF(AZ51="", AW51,IF(AZ51=MAX(AZ$51:AZ$58),AW51+1,0))</f>
        <v>0</v>
      </c>
      <c r="BF51" s="254">
        <f t="shared" ref="BF51:BF58" si="259">(BE51+$B$49)*$H$3</f>
        <v>24</v>
      </c>
      <c r="BG51" s="263">
        <f t="shared" ref="BG51:BG58" si="260">MOD($F6+BF51,$H$2)</f>
        <v>31</v>
      </c>
      <c r="BH51" s="264"/>
      <c r="BI51" s="301"/>
      <c r="BJ51" s="226">
        <v>1</v>
      </c>
      <c r="BK51" s="59">
        <f t="shared" ref="BK51:BK58" si="261">IF(BH51="", BE51,IF(BH51=MAX(BH$51:BH$58),BE51+1,0))</f>
        <v>0</v>
      </c>
      <c r="BL51" s="254">
        <f t="shared" ref="BL51:BL58" si="262">(BK51+$B$49)*$H$3</f>
        <v>24</v>
      </c>
      <c r="BM51" s="263">
        <f t="shared" ref="BM51:BM58" si="263">MOD($F6+BL51,$H$2)</f>
        <v>31</v>
      </c>
      <c r="BN51" s="264"/>
      <c r="BO51" s="301"/>
      <c r="BP51" s="226">
        <v>1</v>
      </c>
      <c r="BQ51" s="59">
        <f t="shared" ref="BQ51:BQ58" si="264">IF(BN51="", BK51,IF(BN51=MAX(BN$51:BN$58),BK51+1,0))</f>
        <v>0</v>
      </c>
      <c r="BR51" s="254">
        <f t="shared" ref="BR51:BR58" si="265">(BQ51+$B$49)*$H$3</f>
        <v>24</v>
      </c>
      <c r="BS51" s="263">
        <f t="shared" ref="BS51:BS58" si="266">MOD($F6+BR51,$H$2)</f>
        <v>31</v>
      </c>
      <c r="BT51" s="264"/>
      <c r="BU51" s="305"/>
      <c r="BV51" s="244"/>
      <c r="BW51" s="307"/>
      <c r="BX51" s="226">
        <v>1</v>
      </c>
      <c r="BY51" s="59">
        <f t="shared" ref="BY51:BY58" si="267">IF(BT51="", BQ51,IF(BT51=MAX(BT$51:BT$58),BQ51+1,0))</f>
        <v>0</v>
      </c>
      <c r="BZ51" s="254">
        <f t="shared" ref="BZ51:BZ58" si="268">(BY51+$B$49)*$H$3</f>
        <v>24</v>
      </c>
      <c r="CA51" s="263">
        <f t="shared" ref="CA51:CA58" si="269">MOD($F6+BZ51,$H$2)</f>
        <v>31</v>
      </c>
      <c r="CB51" s="264"/>
      <c r="CC51" s="301"/>
      <c r="CD51" s="226">
        <v>1</v>
      </c>
      <c r="CE51" s="59">
        <f t="shared" ref="CE51:CE58" si="270">IF(CB51="", BY51,IF(CB51=MAX(CB$51:CB$58),BY51+1,0))</f>
        <v>0</v>
      </c>
      <c r="CF51" s="254">
        <f t="shared" ref="CF51:CF58" si="271">(CE51+$B$49)*$H$3</f>
        <v>24</v>
      </c>
      <c r="CG51" s="263">
        <f t="shared" ref="CG51:CG58" si="272">MOD($F6+CF51,$H$2)</f>
        <v>31</v>
      </c>
      <c r="CH51" s="264"/>
      <c r="CI51" s="301"/>
      <c r="CJ51" s="226">
        <v>1</v>
      </c>
      <c r="CK51" s="59">
        <f t="shared" ref="CK51:CK58" si="273">IF(CH51="", CE51,IF(CH51=MAX(CH$51:CH$58),CE51+1,0))</f>
        <v>0</v>
      </c>
      <c r="CL51" s="254">
        <f t="shared" ref="CL51:CL58" si="274">(CK51+$B$49)*$H$3</f>
        <v>24</v>
      </c>
      <c r="CM51" s="263">
        <f t="shared" ref="CM51:CM58" si="275">MOD($F6+CL51,$H$2)</f>
        <v>31</v>
      </c>
      <c r="CN51" s="264"/>
      <c r="CO51" s="301"/>
      <c r="CP51" s="226">
        <v>1</v>
      </c>
      <c r="CQ51" s="59">
        <f t="shared" ref="CQ51:CQ58" si="276">IF(CN51="", CK51,IF(CN51=MAX(CN$51:CN$58),CK51+1,0))</f>
        <v>0</v>
      </c>
      <c r="CR51" s="254">
        <f t="shared" ref="CR51:CR58" si="277">(CQ51+$B$49)*$H$3</f>
        <v>24</v>
      </c>
      <c r="CS51" s="263">
        <f t="shared" ref="CS51:CS58" si="278">MOD($F6+CR51,$H$2)</f>
        <v>31</v>
      </c>
      <c r="CT51" s="264"/>
      <c r="CU51" s="305"/>
      <c r="CV51" s="244"/>
      <c r="CW51" s="307"/>
      <c r="CX51" s="226">
        <v>1</v>
      </c>
      <c r="CY51" s="59">
        <f t="shared" ref="CY51:CY58" si="279">IF(CT51="", CQ51,IF(CT51=MAX(CT$51:CT$58),CQ51+1,0))</f>
        <v>0</v>
      </c>
      <c r="CZ51" s="254">
        <f t="shared" ref="CZ51:CZ58" si="280">(CY51+$B$49)*$H$3</f>
        <v>24</v>
      </c>
      <c r="DA51" s="263">
        <f t="shared" ref="DA51:DA58" si="281">MOD($F6+CZ51,$H$2)</f>
        <v>31</v>
      </c>
      <c r="DB51" s="264"/>
      <c r="DC51" s="301"/>
      <c r="DD51" s="226">
        <v>1</v>
      </c>
      <c r="DE51" s="59">
        <f t="shared" ref="DE51:DE58" si="282">IF(DB51="", CY51,IF(DB51=MAX(DB$51:DB$58),CY51+1,0))</f>
        <v>0</v>
      </c>
      <c r="DF51" s="254">
        <f t="shared" ref="DF51:DF58" si="283">(DE51+$B$49)*$H$3</f>
        <v>24</v>
      </c>
      <c r="DG51" s="263">
        <f t="shared" ref="DG51:DG58" si="284">MOD($F6+DF51,$H$2)</f>
        <v>31</v>
      </c>
      <c r="DH51" s="264"/>
      <c r="DI51" s="301"/>
      <c r="DJ51" s="226">
        <v>1</v>
      </c>
      <c r="DK51" s="59">
        <f t="shared" ref="DK51:DK58" si="285">IF(DH51="", DE51,IF(DH51=MAX(DH$51:DH$58),DE51+1,0))</f>
        <v>0</v>
      </c>
      <c r="DL51" s="254">
        <f t="shared" ref="DL51:DL58" si="286">(DK51+$B$49)*$H$3</f>
        <v>24</v>
      </c>
      <c r="DM51" s="263">
        <f t="shared" ref="DM51:DM58" si="287">MOD($F6+DL51,$H$2)</f>
        <v>31</v>
      </c>
      <c r="DN51" s="264"/>
      <c r="DO51" s="301"/>
      <c r="DP51" s="226">
        <v>1</v>
      </c>
      <c r="DQ51" s="59">
        <f t="shared" ref="DQ51:DQ58" si="288">IF(DN51="", DK51,IF(DN51=MAX(DN$51:DN$58),DK51+1,0))</f>
        <v>0</v>
      </c>
      <c r="DR51" s="254">
        <f t="shared" ref="DR51:DR58" si="289">(DQ51+$B$49)*$H$3</f>
        <v>24</v>
      </c>
      <c r="DS51" s="263">
        <f t="shared" ref="DS51:DS58" si="290">MOD($F6+DR51,$H$2)</f>
        <v>31</v>
      </c>
      <c r="DT51" s="264"/>
      <c r="DU51" s="305"/>
      <c r="DV51" s="244"/>
      <c r="DW51" s="307"/>
      <c r="DX51" s="226">
        <v>1</v>
      </c>
      <c r="DY51" s="59">
        <f t="shared" ref="DY51:DY58" si="291">IF(DN51="", DK51,IF(DN51=MAX(DN$51:DN$58),DK51+1,0))</f>
        <v>0</v>
      </c>
      <c r="DZ51" s="254">
        <f t="shared" ref="DZ51:DZ58" si="292">(DY51+$B$49)*$H$3</f>
        <v>24</v>
      </c>
      <c r="EA51" s="263">
        <f t="shared" ref="EA51:EA58" si="293">MOD($F6+DZ51,$H$2)</f>
        <v>31</v>
      </c>
      <c r="EB51" s="264"/>
      <c r="EC51" s="301"/>
      <c r="ED51" s="226">
        <v>1</v>
      </c>
      <c r="EE51" s="59">
        <f t="shared" ref="EE51:EE58" si="294">IF(EB51="", DY51,IF(EB51=MAX(EB$51:EB$58),DY51+1,0))</f>
        <v>0</v>
      </c>
      <c r="EF51" s="254">
        <f t="shared" ref="EF51:EF58" si="295">(EE51+$B$49)*$H$3</f>
        <v>24</v>
      </c>
      <c r="EG51" s="263">
        <f t="shared" ref="EG51:EG58" si="296">MOD($F6+EF51,$H$2)</f>
        <v>31</v>
      </c>
      <c r="EH51" s="264"/>
      <c r="EI51" s="301"/>
      <c r="EJ51" s="226">
        <v>1</v>
      </c>
      <c r="EK51" s="59">
        <f t="shared" ref="EK51:EK58" si="297">IF(EH51="", EE51,IF(EH51=MAX(EH$51:EH$58),EE51+1,0))</f>
        <v>0</v>
      </c>
      <c r="EL51" s="254">
        <f t="shared" ref="EL51:EL58" si="298">(EK51+$B$49)*$H$3</f>
        <v>24</v>
      </c>
      <c r="EM51" s="263">
        <f t="shared" ref="EM51:EM58" si="299">MOD($F6+EL51,$H$2)</f>
        <v>31</v>
      </c>
      <c r="EN51" s="264"/>
      <c r="EO51" s="305"/>
      <c r="EP51" s="244"/>
      <c r="EQ51" s="307"/>
      <c r="ER51" s="226">
        <v>1</v>
      </c>
      <c r="ES51" s="59">
        <f t="shared" ref="ES51:ES58" si="300">IF(EN51="", EK51,IF(EN51=MAX(EN$51:EN$58),EK51+1,0))</f>
        <v>0</v>
      </c>
      <c r="ET51" s="254">
        <f t="shared" ref="ET51:ET58" si="301">(ES51+$B$49)*$H$3</f>
        <v>24</v>
      </c>
      <c r="EU51" s="263">
        <f t="shared" ref="EU51:EU58" si="302">MOD($F6+ET51,$H$2)</f>
        <v>31</v>
      </c>
      <c r="EV51" s="264"/>
      <c r="EW51" s="301"/>
      <c r="EX51" s="226">
        <v>1</v>
      </c>
      <c r="EY51" s="59">
        <f t="shared" ref="EY51:EY58" si="303">IF(EV51="", ES51,IF(EV51=MAX(EV$51:EV$58),ES51+1,0))</f>
        <v>0</v>
      </c>
      <c r="EZ51" s="254">
        <f t="shared" ref="EZ51:EZ58" si="304">(EY51+$B$49)*$H$3</f>
        <v>24</v>
      </c>
      <c r="FA51" s="263">
        <f t="shared" ref="FA51:FA58" si="305">MOD($F6+EZ51,$H$2)</f>
        <v>31</v>
      </c>
      <c r="FB51" s="264"/>
      <c r="FC51" s="301"/>
      <c r="FD51" s="226">
        <v>1</v>
      </c>
      <c r="FE51" s="59">
        <f t="shared" ref="FE51:FE58" si="306">IF(FB51="", EY51,IF(FB51=MAX(FB$51:FB$58),EY51+1,0))</f>
        <v>0</v>
      </c>
      <c r="FF51" s="254">
        <f t="shared" ref="FF51:FF58" si="307">(FE51+$B$49)*$H$3</f>
        <v>24</v>
      </c>
      <c r="FG51" s="263">
        <f t="shared" ref="FG51:FG58" si="308">MOD($F6+FF51,$H$2)</f>
        <v>31</v>
      </c>
      <c r="FH51" s="264"/>
      <c r="FI51" s="301"/>
      <c r="FJ51" s="226">
        <v>1</v>
      </c>
      <c r="FK51" s="59">
        <f t="shared" ref="FK51:FK58" si="309">IF(FH51="", FE51,IF(FH51=MAX(FH$51:FH$58),FE51+1,0))</f>
        <v>0</v>
      </c>
      <c r="FL51" s="254">
        <f t="shared" ref="FL51:FL58" si="310">(FK51+$B$49)*$H$3</f>
        <v>24</v>
      </c>
      <c r="FM51" s="263">
        <f t="shared" ref="FM51:FM58" si="311">MOD($F6+FL51,$H$2)</f>
        <v>31</v>
      </c>
      <c r="FN51" s="264"/>
      <c r="FO51" s="305"/>
      <c r="FP51" s="244"/>
    </row>
    <row r="52" spans="1:172" ht="17" x14ac:dyDescent="0.45">
      <c r="A52" s="307"/>
      <c r="B52" s="226">
        <v>2</v>
      </c>
      <c r="C52" s="59">
        <v>0</v>
      </c>
      <c r="D52" s="254">
        <f t="shared" si="235"/>
        <v>24</v>
      </c>
      <c r="E52" s="263">
        <f t="shared" si="236"/>
        <v>27</v>
      </c>
      <c r="F52" s="248"/>
      <c r="G52" s="301"/>
      <c r="H52" s="226">
        <v>2</v>
      </c>
      <c r="I52" s="59">
        <f t="shared" si="237"/>
        <v>0</v>
      </c>
      <c r="J52" s="254">
        <f t="shared" si="238"/>
        <v>24</v>
      </c>
      <c r="K52" s="263">
        <f t="shared" si="239"/>
        <v>27</v>
      </c>
      <c r="L52" s="248"/>
      <c r="M52" s="305"/>
      <c r="N52" s="244"/>
      <c r="O52" s="307"/>
      <c r="P52" s="226">
        <v>2</v>
      </c>
      <c r="Q52" s="59">
        <f t="shared" si="240"/>
        <v>0</v>
      </c>
      <c r="R52" s="254">
        <f t="shared" si="241"/>
        <v>24</v>
      </c>
      <c r="S52" s="263">
        <f t="shared" si="242"/>
        <v>27</v>
      </c>
      <c r="T52" s="248"/>
      <c r="U52" s="301"/>
      <c r="V52" s="226">
        <v>2</v>
      </c>
      <c r="W52" s="59">
        <f t="shared" si="243"/>
        <v>0</v>
      </c>
      <c r="X52" s="254">
        <f t="shared" si="244"/>
        <v>24</v>
      </c>
      <c r="Y52" s="263">
        <f t="shared" si="245"/>
        <v>27</v>
      </c>
      <c r="Z52" s="248"/>
      <c r="AA52" s="301"/>
      <c r="AB52" s="226">
        <v>2</v>
      </c>
      <c r="AC52" s="59">
        <f t="shared" si="246"/>
        <v>0</v>
      </c>
      <c r="AD52" s="254">
        <f t="shared" si="247"/>
        <v>24</v>
      </c>
      <c r="AE52" s="263">
        <f t="shared" si="248"/>
        <v>27</v>
      </c>
      <c r="AF52" s="248"/>
      <c r="AG52" s="305"/>
      <c r="AH52" s="244"/>
      <c r="AI52" s="307"/>
      <c r="AJ52" s="226">
        <v>2</v>
      </c>
      <c r="AK52" s="59">
        <f t="shared" si="249"/>
        <v>0</v>
      </c>
      <c r="AL52" s="254">
        <f t="shared" si="250"/>
        <v>24</v>
      </c>
      <c r="AM52" s="263">
        <f t="shared" si="251"/>
        <v>27</v>
      </c>
      <c r="AN52" s="248"/>
      <c r="AO52" s="301"/>
      <c r="AP52" s="226">
        <v>2</v>
      </c>
      <c r="AQ52" s="59">
        <f t="shared" si="252"/>
        <v>0</v>
      </c>
      <c r="AR52" s="254">
        <f t="shared" si="253"/>
        <v>24</v>
      </c>
      <c r="AS52" s="263">
        <f t="shared" si="254"/>
        <v>27</v>
      </c>
      <c r="AT52" s="248"/>
      <c r="AU52" s="301"/>
      <c r="AV52" s="226">
        <v>2</v>
      </c>
      <c r="AW52" s="59">
        <f t="shared" si="255"/>
        <v>0</v>
      </c>
      <c r="AX52" s="254">
        <f t="shared" si="256"/>
        <v>24</v>
      </c>
      <c r="AY52" s="263">
        <f t="shared" si="257"/>
        <v>27</v>
      </c>
      <c r="AZ52" s="248"/>
      <c r="BA52" s="305"/>
      <c r="BB52" s="244"/>
      <c r="BC52" s="307"/>
      <c r="BD52" s="226">
        <v>2</v>
      </c>
      <c r="BE52" s="59">
        <f t="shared" si="258"/>
        <v>0</v>
      </c>
      <c r="BF52" s="254">
        <f t="shared" si="259"/>
        <v>24</v>
      </c>
      <c r="BG52" s="263">
        <f t="shared" si="260"/>
        <v>27</v>
      </c>
      <c r="BH52" s="248"/>
      <c r="BI52" s="301"/>
      <c r="BJ52" s="226">
        <v>2</v>
      </c>
      <c r="BK52" s="59">
        <f t="shared" si="261"/>
        <v>0</v>
      </c>
      <c r="BL52" s="254">
        <f t="shared" si="262"/>
        <v>24</v>
      </c>
      <c r="BM52" s="263">
        <f t="shared" si="263"/>
        <v>27</v>
      </c>
      <c r="BN52" s="248"/>
      <c r="BO52" s="301"/>
      <c r="BP52" s="226">
        <v>2</v>
      </c>
      <c r="BQ52" s="59">
        <f t="shared" si="264"/>
        <v>0</v>
      </c>
      <c r="BR52" s="254">
        <f t="shared" si="265"/>
        <v>24</v>
      </c>
      <c r="BS52" s="263">
        <f t="shared" si="266"/>
        <v>27</v>
      </c>
      <c r="BT52" s="248"/>
      <c r="BU52" s="305"/>
      <c r="BV52" s="244"/>
      <c r="BW52" s="307"/>
      <c r="BX52" s="226">
        <v>2</v>
      </c>
      <c r="BY52" s="59">
        <f t="shared" si="267"/>
        <v>0</v>
      </c>
      <c r="BZ52" s="254">
        <f t="shared" si="268"/>
        <v>24</v>
      </c>
      <c r="CA52" s="263">
        <f t="shared" si="269"/>
        <v>27</v>
      </c>
      <c r="CB52" s="248"/>
      <c r="CC52" s="301"/>
      <c r="CD52" s="226">
        <v>2</v>
      </c>
      <c r="CE52" s="59">
        <f t="shared" si="270"/>
        <v>0</v>
      </c>
      <c r="CF52" s="254">
        <f t="shared" si="271"/>
        <v>24</v>
      </c>
      <c r="CG52" s="263">
        <f t="shared" si="272"/>
        <v>27</v>
      </c>
      <c r="CH52" s="248"/>
      <c r="CI52" s="301"/>
      <c r="CJ52" s="226">
        <v>2</v>
      </c>
      <c r="CK52" s="59">
        <f t="shared" si="273"/>
        <v>0</v>
      </c>
      <c r="CL52" s="254">
        <f t="shared" si="274"/>
        <v>24</v>
      </c>
      <c r="CM52" s="263">
        <f t="shared" si="275"/>
        <v>27</v>
      </c>
      <c r="CN52" s="248"/>
      <c r="CO52" s="301"/>
      <c r="CP52" s="226">
        <v>2</v>
      </c>
      <c r="CQ52" s="59">
        <f t="shared" si="276"/>
        <v>0</v>
      </c>
      <c r="CR52" s="254">
        <f t="shared" si="277"/>
        <v>24</v>
      </c>
      <c r="CS52" s="263">
        <f t="shared" si="278"/>
        <v>27</v>
      </c>
      <c r="CT52" s="248"/>
      <c r="CU52" s="305"/>
      <c r="CV52" s="244"/>
      <c r="CW52" s="307"/>
      <c r="CX52" s="226">
        <v>2</v>
      </c>
      <c r="CY52" s="59">
        <f t="shared" si="279"/>
        <v>0</v>
      </c>
      <c r="CZ52" s="254">
        <f t="shared" si="280"/>
        <v>24</v>
      </c>
      <c r="DA52" s="263">
        <f t="shared" si="281"/>
        <v>27</v>
      </c>
      <c r="DB52" s="248"/>
      <c r="DC52" s="301"/>
      <c r="DD52" s="226">
        <v>2</v>
      </c>
      <c r="DE52" s="59">
        <f t="shared" si="282"/>
        <v>0</v>
      </c>
      <c r="DF52" s="254">
        <f t="shared" si="283"/>
        <v>24</v>
      </c>
      <c r="DG52" s="263">
        <f t="shared" si="284"/>
        <v>27</v>
      </c>
      <c r="DH52" s="248"/>
      <c r="DI52" s="301"/>
      <c r="DJ52" s="226">
        <v>2</v>
      </c>
      <c r="DK52" s="59">
        <f t="shared" si="285"/>
        <v>0</v>
      </c>
      <c r="DL52" s="254">
        <f t="shared" si="286"/>
        <v>24</v>
      </c>
      <c r="DM52" s="263">
        <f t="shared" si="287"/>
        <v>27</v>
      </c>
      <c r="DN52" s="248"/>
      <c r="DO52" s="301"/>
      <c r="DP52" s="226">
        <v>2</v>
      </c>
      <c r="DQ52" s="59">
        <f t="shared" si="288"/>
        <v>0</v>
      </c>
      <c r="DR52" s="254">
        <f t="shared" si="289"/>
        <v>24</v>
      </c>
      <c r="DS52" s="263">
        <f t="shared" si="290"/>
        <v>27</v>
      </c>
      <c r="DT52" s="248"/>
      <c r="DU52" s="305"/>
      <c r="DV52" s="244"/>
      <c r="DW52" s="307"/>
      <c r="DX52" s="226">
        <v>2</v>
      </c>
      <c r="DY52" s="59">
        <f t="shared" si="291"/>
        <v>0</v>
      </c>
      <c r="DZ52" s="254">
        <f t="shared" si="292"/>
        <v>24</v>
      </c>
      <c r="EA52" s="263">
        <f t="shared" si="293"/>
        <v>27</v>
      </c>
      <c r="EB52" s="248"/>
      <c r="EC52" s="301"/>
      <c r="ED52" s="226">
        <v>2</v>
      </c>
      <c r="EE52" s="59">
        <f t="shared" si="294"/>
        <v>0</v>
      </c>
      <c r="EF52" s="254">
        <f t="shared" si="295"/>
        <v>24</v>
      </c>
      <c r="EG52" s="263">
        <f t="shared" si="296"/>
        <v>27</v>
      </c>
      <c r="EH52" s="248"/>
      <c r="EI52" s="301"/>
      <c r="EJ52" s="226">
        <v>2</v>
      </c>
      <c r="EK52" s="59">
        <f t="shared" si="297"/>
        <v>0</v>
      </c>
      <c r="EL52" s="254">
        <f t="shared" si="298"/>
        <v>24</v>
      </c>
      <c r="EM52" s="263">
        <f t="shared" si="299"/>
        <v>27</v>
      </c>
      <c r="EN52" s="248"/>
      <c r="EO52" s="305"/>
      <c r="EP52" s="244"/>
      <c r="EQ52" s="307"/>
      <c r="ER52" s="226">
        <v>2</v>
      </c>
      <c r="ES52" s="59">
        <f t="shared" si="300"/>
        <v>0</v>
      </c>
      <c r="ET52" s="254">
        <f t="shared" si="301"/>
        <v>24</v>
      </c>
      <c r="EU52" s="263">
        <f t="shared" si="302"/>
        <v>27</v>
      </c>
      <c r="EV52" s="248"/>
      <c r="EW52" s="301"/>
      <c r="EX52" s="226">
        <v>2</v>
      </c>
      <c r="EY52" s="59">
        <f t="shared" si="303"/>
        <v>0</v>
      </c>
      <c r="EZ52" s="254">
        <f t="shared" si="304"/>
        <v>24</v>
      </c>
      <c r="FA52" s="263">
        <f t="shared" si="305"/>
        <v>27</v>
      </c>
      <c r="FB52" s="248"/>
      <c r="FC52" s="301"/>
      <c r="FD52" s="226">
        <v>2</v>
      </c>
      <c r="FE52" s="59">
        <f t="shared" si="306"/>
        <v>0</v>
      </c>
      <c r="FF52" s="254">
        <f t="shared" si="307"/>
        <v>24</v>
      </c>
      <c r="FG52" s="263">
        <f t="shared" si="308"/>
        <v>27</v>
      </c>
      <c r="FH52" s="248"/>
      <c r="FI52" s="301"/>
      <c r="FJ52" s="226">
        <v>2</v>
      </c>
      <c r="FK52" s="59">
        <f t="shared" si="309"/>
        <v>0</v>
      </c>
      <c r="FL52" s="254">
        <f t="shared" si="310"/>
        <v>24</v>
      </c>
      <c r="FM52" s="263">
        <f t="shared" si="311"/>
        <v>27</v>
      </c>
      <c r="FN52" s="248"/>
      <c r="FO52" s="305"/>
      <c r="FP52" s="244"/>
    </row>
    <row r="53" spans="1:172" ht="17" x14ac:dyDescent="0.45">
      <c r="A53" s="307"/>
      <c r="B53" s="226">
        <v>3</v>
      </c>
      <c r="C53" s="59">
        <v>0</v>
      </c>
      <c r="D53" s="254">
        <f t="shared" si="235"/>
        <v>24</v>
      </c>
      <c r="E53" s="263">
        <f t="shared" si="236"/>
        <v>6</v>
      </c>
      <c r="F53" s="248">
        <v>4</v>
      </c>
      <c r="G53" s="301"/>
      <c r="H53" s="226">
        <v>3</v>
      </c>
      <c r="I53" s="59">
        <f t="shared" si="237"/>
        <v>1</v>
      </c>
      <c r="J53" s="254">
        <f t="shared" si="238"/>
        <v>32</v>
      </c>
      <c r="K53" s="263">
        <f t="shared" si="239"/>
        <v>14</v>
      </c>
      <c r="L53" s="248"/>
      <c r="M53" s="305"/>
      <c r="N53" s="244"/>
      <c r="O53" s="307"/>
      <c r="P53" s="226">
        <v>3</v>
      </c>
      <c r="Q53" s="59">
        <f t="shared" si="240"/>
        <v>1</v>
      </c>
      <c r="R53" s="254">
        <f t="shared" si="241"/>
        <v>32</v>
      </c>
      <c r="S53" s="263">
        <f t="shared" si="242"/>
        <v>14</v>
      </c>
      <c r="T53" s="248"/>
      <c r="U53" s="301"/>
      <c r="V53" s="226">
        <v>3</v>
      </c>
      <c r="W53" s="59">
        <f t="shared" si="243"/>
        <v>1</v>
      </c>
      <c r="X53" s="254">
        <f t="shared" si="244"/>
        <v>32</v>
      </c>
      <c r="Y53" s="263">
        <f t="shared" si="245"/>
        <v>14</v>
      </c>
      <c r="Z53" s="248"/>
      <c r="AA53" s="301"/>
      <c r="AB53" s="226">
        <v>3</v>
      </c>
      <c r="AC53" s="59">
        <f t="shared" si="246"/>
        <v>1</v>
      </c>
      <c r="AD53" s="254">
        <f t="shared" si="247"/>
        <v>32</v>
      </c>
      <c r="AE53" s="263">
        <f t="shared" si="248"/>
        <v>14</v>
      </c>
      <c r="AF53" s="248"/>
      <c r="AG53" s="305"/>
      <c r="AH53" s="244"/>
      <c r="AI53" s="307"/>
      <c r="AJ53" s="226">
        <v>3</v>
      </c>
      <c r="AK53" s="59">
        <f t="shared" si="249"/>
        <v>1</v>
      </c>
      <c r="AL53" s="254">
        <f t="shared" si="250"/>
        <v>32</v>
      </c>
      <c r="AM53" s="263">
        <f t="shared" si="251"/>
        <v>14</v>
      </c>
      <c r="AN53" s="248"/>
      <c r="AO53" s="301"/>
      <c r="AP53" s="226">
        <v>3</v>
      </c>
      <c r="AQ53" s="59">
        <f t="shared" si="252"/>
        <v>1</v>
      </c>
      <c r="AR53" s="254">
        <f t="shared" si="253"/>
        <v>32</v>
      </c>
      <c r="AS53" s="263">
        <f t="shared" si="254"/>
        <v>14</v>
      </c>
      <c r="AT53" s="248">
        <v>12</v>
      </c>
      <c r="AU53" s="301"/>
      <c r="AV53" s="226">
        <v>3</v>
      </c>
      <c r="AW53" s="59">
        <f t="shared" si="255"/>
        <v>2</v>
      </c>
      <c r="AX53" s="254">
        <f t="shared" si="256"/>
        <v>40</v>
      </c>
      <c r="AY53" s="263">
        <f t="shared" si="257"/>
        <v>22</v>
      </c>
      <c r="AZ53" s="248"/>
      <c r="BA53" s="305"/>
      <c r="BB53" s="244"/>
      <c r="BC53" s="307"/>
      <c r="BD53" s="226">
        <v>3</v>
      </c>
      <c r="BE53" s="59">
        <f t="shared" si="258"/>
        <v>2</v>
      </c>
      <c r="BF53" s="254">
        <f t="shared" si="259"/>
        <v>40</v>
      </c>
      <c r="BG53" s="263">
        <f t="shared" si="260"/>
        <v>22</v>
      </c>
      <c r="BH53" s="248"/>
      <c r="BI53" s="301"/>
      <c r="BJ53" s="226">
        <v>3</v>
      </c>
      <c r="BK53" s="59">
        <f t="shared" si="261"/>
        <v>2</v>
      </c>
      <c r="BL53" s="254">
        <f t="shared" si="262"/>
        <v>40</v>
      </c>
      <c r="BM53" s="263">
        <f t="shared" si="263"/>
        <v>22</v>
      </c>
      <c r="BN53" s="248"/>
      <c r="BO53" s="301"/>
      <c r="BP53" s="226">
        <v>3</v>
      </c>
      <c r="BQ53" s="59">
        <f t="shared" si="264"/>
        <v>2</v>
      </c>
      <c r="BR53" s="254">
        <f t="shared" si="265"/>
        <v>40</v>
      </c>
      <c r="BS53" s="263">
        <f t="shared" si="266"/>
        <v>22</v>
      </c>
      <c r="BT53" s="248"/>
      <c r="BU53" s="305"/>
      <c r="BV53" s="244"/>
      <c r="BW53" s="307"/>
      <c r="BX53" s="226">
        <v>3</v>
      </c>
      <c r="BY53" s="59">
        <f t="shared" si="267"/>
        <v>2</v>
      </c>
      <c r="BZ53" s="254">
        <f t="shared" si="268"/>
        <v>40</v>
      </c>
      <c r="CA53" s="263">
        <f t="shared" si="269"/>
        <v>22</v>
      </c>
      <c r="CB53" s="248"/>
      <c r="CC53" s="301"/>
      <c r="CD53" s="226">
        <v>3</v>
      </c>
      <c r="CE53" s="59">
        <f t="shared" si="270"/>
        <v>2</v>
      </c>
      <c r="CF53" s="254">
        <f t="shared" si="271"/>
        <v>40</v>
      </c>
      <c r="CG53" s="263">
        <f t="shared" si="272"/>
        <v>22</v>
      </c>
      <c r="CH53" s="248"/>
      <c r="CI53" s="301"/>
      <c r="CJ53" s="226">
        <v>3</v>
      </c>
      <c r="CK53" s="59">
        <f t="shared" si="273"/>
        <v>2</v>
      </c>
      <c r="CL53" s="254">
        <f t="shared" si="274"/>
        <v>40</v>
      </c>
      <c r="CM53" s="263">
        <f t="shared" si="275"/>
        <v>22</v>
      </c>
      <c r="CN53" s="248"/>
      <c r="CO53" s="301"/>
      <c r="CP53" s="226">
        <v>3</v>
      </c>
      <c r="CQ53" s="59">
        <f t="shared" si="276"/>
        <v>2</v>
      </c>
      <c r="CR53" s="254">
        <f t="shared" si="277"/>
        <v>40</v>
      </c>
      <c r="CS53" s="263">
        <f t="shared" si="278"/>
        <v>22</v>
      </c>
      <c r="CT53" s="248"/>
      <c r="CU53" s="305"/>
      <c r="CV53" s="244"/>
      <c r="CW53" s="307"/>
      <c r="CX53" s="226">
        <v>3</v>
      </c>
      <c r="CY53" s="59">
        <f t="shared" si="279"/>
        <v>2</v>
      </c>
      <c r="CZ53" s="254">
        <f t="shared" si="280"/>
        <v>40</v>
      </c>
      <c r="DA53" s="263">
        <f t="shared" si="281"/>
        <v>22</v>
      </c>
      <c r="DB53" s="248"/>
      <c r="DC53" s="301"/>
      <c r="DD53" s="226">
        <v>3</v>
      </c>
      <c r="DE53" s="59">
        <f t="shared" si="282"/>
        <v>2</v>
      </c>
      <c r="DF53" s="254">
        <f t="shared" si="283"/>
        <v>40</v>
      </c>
      <c r="DG53" s="263">
        <f t="shared" si="284"/>
        <v>22</v>
      </c>
      <c r="DH53" s="248"/>
      <c r="DI53" s="301"/>
      <c r="DJ53" s="226">
        <v>3</v>
      </c>
      <c r="DK53" s="59">
        <f t="shared" si="285"/>
        <v>2</v>
      </c>
      <c r="DL53" s="254">
        <f t="shared" si="286"/>
        <v>40</v>
      </c>
      <c r="DM53" s="263">
        <f t="shared" si="287"/>
        <v>22</v>
      </c>
      <c r="DN53" s="248"/>
      <c r="DO53" s="301"/>
      <c r="DP53" s="226">
        <v>3</v>
      </c>
      <c r="DQ53" s="59">
        <f t="shared" si="288"/>
        <v>2</v>
      </c>
      <c r="DR53" s="254">
        <f t="shared" si="289"/>
        <v>40</v>
      </c>
      <c r="DS53" s="263">
        <f t="shared" si="290"/>
        <v>22</v>
      </c>
      <c r="DT53" s="248"/>
      <c r="DU53" s="305"/>
      <c r="DV53" s="244"/>
      <c r="DW53" s="307"/>
      <c r="DX53" s="226">
        <v>3</v>
      </c>
      <c r="DY53" s="59">
        <f t="shared" si="291"/>
        <v>2</v>
      </c>
      <c r="DZ53" s="254">
        <f t="shared" si="292"/>
        <v>40</v>
      </c>
      <c r="EA53" s="263">
        <f t="shared" si="293"/>
        <v>22</v>
      </c>
      <c r="EB53" s="248"/>
      <c r="EC53" s="301"/>
      <c r="ED53" s="226">
        <v>3</v>
      </c>
      <c r="EE53" s="59">
        <f t="shared" si="294"/>
        <v>2</v>
      </c>
      <c r="EF53" s="254">
        <f t="shared" si="295"/>
        <v>40</v>
      </c>
      <c r="EG53" s="263">
        <f t="shared" si="296"/>
        <v>22</v>
      </c>
      <c r="EH53" s="248"/>
      <c r="EI53" s="301"/>
      <c r="EJ53" s="226">
        <v>3</v>
      </c>
      <c r="EK53" s="59">
        <f t="shared" si="297"/>
        <v>2</v>
      </c>
      <c r="EL53" s="254">
        <f t="shared" si="298"/>
        <v>40</v>
      </c>
      <c r="EM53" s="263">
        <f t="shared" si="299"/>
        <v>22</v>
      </c>
      <c r="EN53" s="248"/>
      <c r="EO53" s="305"/>
      <c r="EP53" s="244"/>
      <c r="EQ53" s="307"/>
      <c r="ER53" s="226">
        <v>3</v>
      </c>
      <c r="ES53" s="59">
        <f t="shared" si="300"/>
        <v>2</v>
      </c>
      <c r="ET53" s="254">
        <f t="shared" si="301"/>
        <v>40</v>
      </c>
      <c r="EU53" s="263">
        <f t="shared" si="302"/>
        <v>22</v>
      </c>
      <c r="EV53" s="248"/>
      <c r="EW53" s="301"/>
      <c r="EX53" s="226">
        <v>3</v>
      </c>
      <c r="EY53" s="59">
        <f t="shared" si="303"/>
        <v>2</v>
      </c>
      <c r="EZ53" s="254">
        <f t="shared" si="304"/>
        <v>40</v>
      </c>
      <c r="FA53" s="263">
        <f t="shared" si="305"/>
        <v>22</v>
      </c>
      <c r="FB53" s="248"/>
      <c r="FC53" s="301"/>
      <c r="FD53" s="226">
        <v>3</v>
      </c>
      <c r="FE53" s="59">
        <f t="shared" si="306"/>
        <v>2</v>
      </c>
      <c r="FF53" s="254">
        <f t="shared" si="307"/>
        <v>40</v>
      </c>
      <c r="FG53" s="263">
        <f t="shared" si="308"/>
        <v>22</v>
      </c>
      <c r="FH53" s="248"/>
      <c r="FI53" s="301"/>
      <c r="FJ53" s="226">
        <v>3</v>
      </c>
      <c r="FK53" s="59">
        <f t="shared" si="309"/>
        <v>2</v>
      </c>
      <c r="FL53" s="254">
        <f t="shared" si="310"/>
        <v>40</v>
      </c>
      <c r="FM53" s="263">
        <f t="shared" si="311"/>
        <v>22</v>
      </c>
      <c r="FN53" s="248"/>
      <c r="FO53" s="305"/>
      <c r="FP53" s="244"/>
    </row>
    <row r="54" spans="1:172" s="181" customFormat="1" ht="17" x14ac:dyDescent="0.45">
      <c r="A54" s="307"/>
      <c r="B54" s="252">
        <v>4</v>
      </c>
      <c r="C54" s="59">
        <v>0</v>
      </c>
      <c r="D54" s="254">
        <f t="shared" si="235"/>
        <v>24</v>
      </c>
      <c r="E54" s="263">
        <f t="shared" si="236"/>
        <v>2</v>
      </c>
      <c r="F54" s="252">
        <v>3</v>
      </c>
      <c r="G54" s="301"/>
      <c r="H54" s="252">
        <v>4</v>
      </c>
      <c r="I54" s="253">
        <f t="shared" si="237"/>
        <v>0</v>
      </c>
      <c r="J54" s="254">
        <f t="shared" si="238"/>
        <v>24</v>
      </c>
      <c r="K54" s="263">
        <f t="shared" si="239"/>
        <v>2</v>
      </c>
      <c r="L54" s="252">
        <v>17</v>
      </c>
      <c r="M54" s="305"/>
      <c r="N54" s="244"/>
      <c r="O54" s="307"/>
      <c r="P54" s="252">
        <v>4</v>
      </c>
      <c r="Q54" s="253">
        <f t="shared" si="240"/>
        <v>0</v>
      </c>
      <c r="R54" s="254">
        <f t="shared" si="241"/>
        <v>24</v>
      </c>
      <c r="S54" s="263">
        <f t="shared" si="242"/>
        <v>2</v>
      </c>
      <c r="T54" s="252"/>
      <c r="U54" s="301"/>
      <c r="V54" s="252">
        <v>4</v>
      </c>
      <c r="W54" s="253">
        <f t="shared" si="243"/>
        <v>0</v>
      </c>
      <c r="X54" s="254">
        <f t="shared" si="244"/>
        <v>24</v>
      </c>
      <c r="Y54" s="263">
        <f t="shared" si="245"/>
        <v>2</v>
      </c>
      <c r="Z54" s="252">
        <v>17</v>
      </c>
      <c r="AA54" s="301"/>
      <c r="AB54" s="252">
        <v>4</v>
      </c>
      <c r="AC54" s="253">
        <f t="shared" si="246"/>
        <v>0</v>
      </c>
      <c r="AD54" s="254">
        <f t="shared" si="247"/>
        <v>24</v>
      </c>
      <c r="AE54" s="263">
        <f t="shared" si="248"/>
        <v>2</v>
      </c>
      <c r="AF54" s="252"/>
      <c r="AG54" s="305"/>
      <c r="AH54" s="244"/>
      <c r="AI54" s="307"/>
      <c r="AJ54" s="252">
        <v>4</v>
      </c>
      <c r="AK54" s="253">
        <f t="shared" si="249"/>
        <v>0</v>
      </c>
      <c r="AL54" s="254">
        <f t="shared" si="250"/>
        <v>24</v>
      </c>
      <c r="AM54" s="263">
        <f t="shared" si="251"/>
        <v>2</v>
      </c>
      <c r="AN54" s="252">
        <v>3</v>
      </c>
      <c r="AO54" s="301"/>
      <c r="AP54" s="252">
        <v>4</v>
      </c>
      <c r="AQ54" s="253">
        <f t="shared" si="252"/>
        <v>0</v>
      </c>
      <c r="AR54" s="254">
        <f t="shared" si="253"/>
        <v>24</v>
      </c>
      <c r="AS54" s="263">
        <f t="shared" si="254"/>
        <v>2</v>
      </c>
      <c r="AT54" s="252">
        <v>11</v>
      </c>
      <c r="AU54" s="301"/>
      <c r="AV54" s="252">
        <v>4</v>
      </c>
      <c r="AW54" s="253">
        <f t="shared" si="255"/>
        <v>0</v>
      </c>
      <c r="AX54" s="254">
        <f t="shared" si="256"/>
        <v>24</v>
      </c>
      <c r="AY54" s="263">
        <f t="shared" si="257"/>
        <v>2</v>
      </c>
      <c r="AZ54" s="252"/>
      <c r="BA54" s="305"/>
      <c r="BB54" s="244"/>
      <c r="BC54" s="307"/>
      <c r="BD54" s="252">
        <v>4</v>
      </c>
      <c r="BE54" s="253">
        <f t="shared" si="258"/>
        <v>0</v>
      </c>
      <c r="BF54" s="254">
        <f t="shared" si="259"/>
        <v>24</v>
      </c>
      <c r="BG54" s="263">
        <f t="shared" si="260"/>
        <v>2</v>
      </c>
      <c r="BH54" s="252"/>
      <c r="BI54" s="301"/>
      <c r="BJ54" s="252">
        <v>4</v>
      </c>
      <c r="BK54" s="253">
        <f t="shared" si="261"/>
        <v>0</v>
      </c>
      <c r="BL54" s="254">
        <f t="shared" si="262"/>
        <v>24</v>
      </c>
      <c r="BM54" s="263">
        <f t="shared" si="263"/>
        <v>2</v>
      </c>
      <c r="BN54" s="252">
        <v>13</v>
      </c>
      <c r="BO54" s="301"/>
      <c r="BP54" s="252">
        <v>4</v>
      </c>
      <c r="BQ54" s="253">
        <f t="shared" si="264"/>
        <v>0</v>
      </c>
      <c r="BR54" s="254">
        <f t="shared" si="265"/>
        <v>24</v>
      </c>
      <c r="BS54" s="263">
        <f t="shared" si="266"/>
        <v>2</v>
      </c>
      <c r="BT54" s="252"/>
      <c r="BU54" s="305"/>
      <c r="BV54" s="244"/>
      <c r="BW54" s="307"/>
      <c r="BX54" s="252">
        <v>4</v>
      </c>
      <c r="BY54" s="253">
        <f t="shared" si="267"/>
        <v>0</v>
      </c>
      <c r="BZ54" s="254">
        <f t="shared" si="268"/>
        <v>24</v>
      </c>
      <c r="CA54" s="263">
        <f t="shared" si="269"/>
        <v>2</v>
      </c>
      <c r="CB54" s="252"/>
      <c r="CC54" s="301"/>
      <c r="CD54" s="252">
        <v>4</v>
      </c>
      <c r="CE54" s="253">
        <f t="shared" si="270"/>
        <v>0</v>
      </c>
      <c r="CF54" s="254">
        <f t="shared" si="271"/>
        <v>24</v>
      </c>
      <c r="CG54" s="263">
        <f t="shared" si="272"/>
        <v>2</v>
      </c>
      <c r="CH54" s="252"/>
      <c r="CI54" s="301"/>
      <c r="CJ54" s="252">
        <v>4</v>
      </c>
      <c r="CK54" s="253">
        <f t="shared" si="273"/>
        <v>0</v>
      </c>
      <c r="CL54" s="254">
        <f t="shared" si="274"/>
        <v>24</v>
      </c>
      <c r="CM54" s="263">
        <f t="shared" si="275"/>
        <v>2</v>
      </c>
      <c r="CN54" s="252"/>
      <c r="CO54" s="301"/>
      <c r="CP54" s="252">
        <v>4</v>
      </c>
      <c r="CQ54" s="253">
        <f t="shared" si="276"/>
        <v>0</v>
      </c>
      <c r="CR54" s="254">
        <f t="shared" si="277"/>
        <v>24</v>
      </c>
      <c r="CS54" s="263">
        <f t="shared" si="278"/>
        <v>2</v>
      </c>
      <c r="CT54" s="252"/>
      <c r="CU54" s="305"/>
      <c r="CV54" s="244"/>
      <c r="CW54" s="307"/>
      <c r="CX54" s="252">
        <v>4</v>
      </c>
      <c r="CY54" s="253">
        <f t="shared" si="279"/>
        <v>0</v>
      </c>
      <c r="CZ54" s="254">
        <f t="shared" si="280"/>
        <v>24</v>
      </c>
      <c r="DA54" s="263">
        <f t="shared" si="281"/>
        <v>2</v>
      </c>
      <c r="DB54" s="252"/>
      <c r="DC54" s="301"/>
      <c r="DD54" s="252">
        <v>4</v>
      </c>
      <c r="DE54" s="253">
        <f t="shared" si="282"/>
        <v>0</v>
      </c>
      <c r="DF54" s="254">
        <f t="shared" si="283"/>
        <v>24</v>
      </c>
      <c r="DG54" s="263">
        <f t="shared" si="284"/>
        <v>2</v>
      </c>
      <c r="DH54" s="252"/>
      <c r="DI54" s="301"/>
      <c r="DJ54" s="252">
        <v>4</v>
      </c>
      <c r="DK54" s="253">
        <f t="shared" si="285"/>
        <v>0</v>
      </c>
      <c r="DL54" s="254">
        <f t="shared" si="286"/>
        <v>24</v>
      </c>
      <c r="DM54" s="263">
        <f t="shared" si="287"/>
        <v>2</v>
      </c>
      <c r="DN54" s="252"/>
      <c r="DO54" s="301"/>
      <c r="DP54" s="252">
        <v>4</v>
      </c>
      <c r="DQ54" s="253">
        <f t="shared" si="288"/>
        <v>0</v>
      </c>
      <c r="DR54" s="254">
        <f t="shared" si="289"/>
        <v>24</v>
      </c>
      <c r="DS54" s="263">
        <f t="shared" si="290"/>
        <v>2</v>
      </c>
      <c r="DT54" s="252"/>
      <c r="DU54" s="305"/>
      <c r="DV54" s="244"/>
      <c r="DW54" s="307"/>
      <c r="DX54" s="252">
        <v>4</v>
      </c>
      <c r="DY54" s="253">
        <f t="shared" si="291"/>
        <v>0</v>
      </c>
      <c r="DZ54" s="254">
        <f t="shared" si="292"/>
        <v>24</v>
      </c>
      <c r="EA54" s="263">
        <f t="shared" si="293"/>
        <v>2</v>
      </c>
      <c r="EB54" s="252"/>
      <c r="EC54" s="301"/>
      <c r="ED54" s="252">
        <v>4</v>
      </c>
      <c r="EE54" s="253">
        <f t="shared" si="294"/>
        <v>0</v>
      </c>
      <c r="EF54" s="254">
        <f t="shared" si="295"/>
        <v>24</v>
      </c>
      <c r="EG54" s="263">
        <f t="shared" si="296"/>
        <v>2</v>
      </c>
      <c r="EH54" s="252"/>
      <c r="EI54" s="301"/>
      <c r="EJ54" s="252">
        <v>4</v>
      </c>
      <c r="EK54" s="253">
        <f t="shared" si="297"/>
        <v>0</v>
      </c>
      <c r="EL54" s="254">
        <f t="shared" si="298"/>
        <v>24</v>
      </c>
      <c r="EM54" s="263">
        <f t="shared" si="299"/>
        <v>2</v>
      </c>
      <c r="EN54" s="252"/>
      <c r="EO54" s="305"/>
      <c r="EP54" s="244"/>
      <c r="EQ54" s="307"/>
      <c r="ER54" s="252">
        <v>4</v>
      </c>
      <c r="ES54" s="253">
        <f t="shared" si="300"/>
        <v>0</v>
      </c>
      <c r="ET54" s="254">
        <f t="shared" si="301"/>
        <v>24</v>
      </c>
      <c r="EU54" s="263">
        <f t="shared" si="302"/>
        <v>2</v>
      </c>
      <c r="EV54" s="252"/>
      <c r="EW54" s="301"/>
      <c r="EX54" s="252">
        <v>4</v>
      </c>
      <c r="EY54" s="253">
        <f t="shared" si="303"/>
        <v>0</v>
      </c>
      <c r="EZ54" s="254">
        <f t="shared" si="304"/>
        <v>24</v>
      </c>
      <c r="FA54" s="263">
        <f t="shared" si="305"/>
        <v>2</v>
      </c>
      <c r="FB54" s="252"/>
      <c r="FC54" s="301"/>
      <c r="FD54" s="252">
        <v>4</v>
      </c>
      <c r="FE54" s="253">
        <f t="shared" si="306"/>
        <v>0</v>
      </c>
      <c r="FF54" s="254">
        <f t="shared" si="307"/>
        <v>24</v>
      </c>
      <c r="FG54" s="263">
        <f t="shared" si="308"/>
        <v>2</v>
      </c>
      <c r="FH54" s="252"/>
      <c r="FI54" s="301"/>
      <c r="FJ54" s="252">
        <v>4</v>
      </c>
      <c r="FK54" s="253">
        <f t="shared" si="309"/>
        <v>0</v>
      </c>
      <c r="FL54" s="254">
        <f t="shared" si="310"/>
        <v>24</v>
      </c>
      <c r="FM54" s="263">
        <f t="shared" si="311"/>
        <v>2</v>
      </c>
      <c r="FN54" s="252"/>
      <c r="FO54" s="305"/>
      <c r="FP54" s="244"/>
    </row>
    <row r="55" spans="1:172" ht="17" x14ac:dyDescent="0.45">
      <c r="A55" s="307"/>
      <c r="B55" s="226">
        <v>5</v>
      </c>
      <c r="C55" s="59">
        <v>0</v>
      </c>
      <c r="D55" s="254">
        <f t="shared" si="235"/>
        <v>24</v>
      </c>
      <c r="E55" s="263">
        <f t="shared" si="236"/>
        <v>12</v>
      </c>
      <c r="F55" s="248"/>
      <c r="G55" s="301"/>
      <c r="H55" s="226">
        <v>5</v>
      </c>
      <c r="I55" s="59">
        <f t="shared" si="237"/>
        <v>0</v>
      </c>
      <c r="J55" s="254">
        <f t="shared" si="238"/>
        <v>24</v>
      </c>
      <c r="K55" s="263">
        <f t="shared" si="239"/>
        <v>12</v>
      </c>
      <c r="L55" s="248"/>
      <c r="M55" s="305"/>
      <c r="N55" s="244"/>
      <c r="O55" s="307"/>
      <c r="P55" s="226">
        <v>5</v>
      </c>
      <c r="Q55" s="59">
        <f t="shared" si="240"/>
        <v>0</v>
      </c>
      <c r="R55" s="254">
        <f t="shared" si="241"/>
        <v>24</v>
      </c>
      <c r="S55" s="263">
        <f t="shared" si="242"/>
        <v>12</v>
      </c>
      <c r="T55" s="248"/>
      <c r="U55" s="301"/>
      <c r="V55" s="226">
        <v>5</v>
      </c>
      <c r="W55" s="59">
        <f t="shared" si="243"/>
        <v>0</v>
      </c>
      <c r="X55" s="254">
        <f t="shared" si="244"/>
        <v>24</v>
      </c>
      <c r="Y55" s="263">
        <f t="shared" si="245"/>
        <v>12</v>
      </c>
      <c r="Z55" s="248"/>
      <c r="AA55" s="301"/>
      <c r="AB55" s="226">
        <v>5</v>
      </c>
      <c r="AC55" s="59">
        <f t="shared" si="246"/>
        <v>0</v>
      </c>
      <c r="AD55" s="254">
        <f t="shared" si="247"/>
        <v>24</v>
      </c>
      <c r="AE55" s="263">
        <f t="shared" si="248"/>
        <v>12</v>
      </c>
      <c r="AF55" s="248"/>
      <c r="AG55" s="305"/>
      <c r="AH55" s="244"/>
      <c r="AI55" s="307"/>
      <c r="AJ55" s="226">
        <v>5</v>
      </c>
      <c r="AK55" s="59">
        <f t="shared" si="249"/>
        <v>0</v>
      </c>
      <c r="AL55" s="254">
        <f t="shared" si="250"/>
        <v>24</v>
      </c>
      <c r="AM55" s="263">
        <f t="shared" si="251"/>
        <v>12</v>
      </c>
      <c r="AN55" s="248">
        <v>4</v>
      </c>
      <c r="AO55" s="301"/>
      <c r="AP55" s="226">
        <v>5</v>
      </c>
      <c r="AQ55" s="59">
        <f t="shared" si="252"/>
        <v>1</v>
      </c>
      <c r="AR55" s="254">
        <f t="shared" si="253"/>
        <v>32</v>
      </c>
      <c r="AS55" s="263">
        <f t="shared" si="254"/>
        <v>20</v>
      </c>
      <c r="AT55" s="248"/>
      <c r="AU55" s="301"/>
      <c r="AV55" s="226">
        <v>5</v>
      </c>
      <c r="AW55" s="59">
        <f t="shared" si="255"/>
        <v>1</v>
      </c>
      <c r="AX55" s="254">
        <f t="shared" si="256"/>
        <v>32</v>
      </c>
      <c r="AY55" s="263">
        <f t="shared" si="257"/>
        <v>20</v>
      </c>
      <c r="AZ55" s="248"/>
      <c r="BA55" s="305"/>
      <c r="BB55" s="244"/>
      <c r="BC55" s="307"/>
      <c r="BD55" s="226">
        <v>5</v>
      </c>
      <c r="BE55" s="59">
        <f t="shared" si="258"/>
        <v>1</v>
      </c>
      <c r="BF55" s="254">
        <f t="shared" si="259"/>
        <v>32</v>
      </c>
      <c r="BG55" s="263">
        <f t="shared" si="260"/>
        <v>20</v>
      </c>
      <c r="BH55" s="248"/>
      <c r="BI55" s="301"/>
      <c r="BJ55" s="226">
        <v>5</v>
      </c>
      <c r="BK55" s="59">
        <f t="shared" si="261"/>
        <v>1</v>
      </c>
      <c r="BL55" s="254">
        <f t="shared" si="262"/>
        <v>32</v>
      </c>
      <c r="BM55" s="263">
        <f t="shared" si="263"/>
        <v>20</v>
      </c>
      <c r="BN55" s="248"/>
      <c r="BO55" s="301"/>
      <c r="BP55" s="226">
        <v>5</v>
      </c>
      <c r="BQ55" s="59">
        <f t="shared" si="264"/>
        <v>1</v>
      </c>
      <c r="BR55" s="254">
        <f t="shared" si="265"/>
        <v>32</v>
      </c>
      <c r="BS55" s="263">
        <f t="shared" si="266"/>
        <v>20</v>
      </c>
      <c r="BT55" s="248"/>
      <c r="BU55" s="305"/>
      <c r="BV55" s="244"/>
      <c r="BW55" s="307"/>
      <c r="BX55" s="226">
        <v>5</v>
      </c>
      <c r="BY55" s="59">
        <f t="shared" si="267"/>
        <v>1</v>
      </c>
      <c r="BZ55" s="254">
        <f t="shared" si="268"/>
        <v>32</v>
      </c>
      <c r="CA55" s="263">
        <f t="shared" si="269"/>
        <v>20</v>
      </c>
      <c r="CB55" s="248"/>
      <c r="CC55" s="301"/>
      <c r="CD55" s="226">
        <v>5</v>
      </c>
      <c r="CE55" s="59">
        <f t="shared" si="270"/>
        <v>1</v>
      </c>
      <c r="CF55" s="254">
        <f t="shared" si="271"/>
        <v>32</v>
      </c>
      <c r="CG55" s="263">
        <f t="shared" si="272"/>
        <v>20</v>
      </c>
      <c r="CH55" s="248"/>
      <c r="CI55" s="301"/>
      <c r="CJ55" s="226">
        <v>5</v>
      </c>
      <c r="CK55" s="59">
        <f t="shared" si="273"/>
        <v>1</v>
      </c>
      <c r="CL55" s="254">
        <f t="shared" si="274"/>
        <v>32</v>
      </c>
      <c r="CM55" s="263">
        <f t="shared" si="275"/>
        <v>20</v>
      </c>
      <c r="CN55" s="248"/>
      <c r="CO55" s="301"/>
      <c r="CP55" s="226">
        <v>5</v>
      </c>
      <c r="CQ55" s="59">
        <f t="shared" si="276"/>
        <v>1</v>
      </c>
      <c r="CR55" s="254">
        <f t="shared" si="277"/>
        <v>32</v>
      </c>
      <c r="CS55" s="263">
        <f t="shared" si="278"/>
        <v>20</v>
      </c>
      <c r="CT55" s="248"/>
      <c r="CU55" s="305"/>
      <c r="CV55" s="244"/>
      <c r="CW55" s="307"/>
      <c r="CX55" s="226">
        <v>5</v>
      </c>
      <c r="CY55" s="59">
        <f t="shared" si="279"/>
        <v>1</v>
      </c>
      <c r="CZ55" s="254">
        <f t="shared" si="280"/>
        <v>32</v>
      </c>
      <c r="DA55" s="263">
        <f t="shared" si="281"/>
        <v>20</v>
      </c>
      <c r="DB55" s="248"/>
      <c r="DC55" s="301"/>
      <c r="DD55" s="226">
        <v>5</v>
      </c>
      <c r="DE55" s="59">
        <f t="shared" si="282"/>
        <v>1</v>
      </c>
      <c r="DF55" s="254">
        <f t="shared" si="283"/>
        <v>32</v>
      </c>
      <c r="DG55" s="263">
        <f t="shared" si="284"/>
        <v>20</v>
      </c>
      <c r="DH55" s="248"/>
      <c r="DI55" s="301"/>
      <c r="DJ55" s="226">
        <v>5</v>
      </c>
      <c r="DK55" s="59">
        <f t="shared" si="285"/>
        <v>1</v>
      </c>
      <c r="DL55" s="254">
        <f t="shared" si="286"/>
        <v>32</v>
      </c>
      <c r="DM55" s="263">
        <f t="shared" si="287"/>
        <v>20</v>
      </c>
      <c r="DN55" s="248"/>
      <c r="DO55" s="301"/>
      <c r="DP55" s="226">
        <v>5</v>
      </c>
      <c r="DQ55" s="59">
        <f t="shared" si="288"/>
        <v>1</v>
      </c>
      <c r="DR55" s="254">
        <f t="shared" si="289"/>
        <v>32</v>
      </c>
      <c r="DS55" s="263">
        <f t="shared" si="290"/>
        <v>20</v>
      </c>
      <c r="DT55" s="248"/>
      <c r="DU55" s="305"/>
      <c r="DV55" s="244"/>
      <c r="DW55" s="307"/>
      <c r="DX55" s="226">
        <v>5</v>
      </c>
      <c r="DY55" s="59">
        <f t="shared" si="291"/>
        <v>1</v>
      </c>
      <c r="DZ55" s="254">
        <f t="shared" si="292"/>
        <v>32</v>
      </c>
      <c r="EA55" s="263">
        <f t="shared" si="293"/>
        <v>20</v>
      </c>
      <c r="EB55" s="248"/>
      <c r="EC55" s="301"/>
      <c r="ED55" s="226">
        <v>5</v>
      </c>
      <c r="EE55" s="59">
        <f t="shared" si="294"/>
        <v>1</v>
      </c>
      <c r="EF55" s="254">
        <f t="shared" si="295"/>
        <v>32</v>
      </c>
      <c r="EG55" s="263">
        <f t="shared" si="296"/>
        <v>20</v>
      </c>
      <c r="EH55" s="248"/>
      <c r="EI55" s="301"/>
      <c r="EJ55" s="226">
        <v>5</v>
      </c>
      <c r="EK55" s="59">
        <f t="shared" si="297"/>
        <v>1</v>
      </c>
      <c r="EL55" s="254">
        <f t="shared" si="298"/>
        <v>32</v>
      </c>
      <c r="EM55" s="263">
        <f t="shared" si="299"/>
        <v>20</v>
      </c>
      <c r="EN55" s="248"/>
      <c r="EO55" s="305"/>
      <c r="EP55" s="244"/>
      <c r="EQ55" s="307"/>
      <c r="ER55" s="226">
        <v>5</v>
      </c>
      <c r="ES55" s="59">
        <f t="shared" si="300"/>
        <v>1</v>
      </c>
      <c r="ET55" s="254">
        <f t="shared" si="301"/>
        <v>32</v>
      </c>
      <c r="EU55" s="263">
        <f t="shared" si="302"/>
        <v>20</v>
      </c>
      <c r="EV55" s="248"/>
      <c r="EW55" s="301"/>
      <c r="EX55" s="226">
        <v>5</v>
      </c>
      <c r="EY55" s="59">
        <f t="shared" si="303"/>
        <v>1</v>
      </c>
      <c r="EZ55" s="254">
        <f t="shared" si="304"/>
        <v>32</v>
      </c>
      <c r="FA55" s="263">
        <f t="shared" si="305"/>
        <v>20</v>
      </c>
      <c r="FB55" s="248"/>
      <c r="FC55" s="301"/>
      <c r="FD55" s="226">
        <v>5</v>
      </c>
      <c r="FE55" s="59">
        <f t="shared" si="306"/>
        <v>1</v>
      </c>
      <c r="FF55" s="254">
        <f t="shared" si="307"/>
        <v>32</v>
      </c>
      <c r="FG55" s="263">
        <f t="shared" si="308"/>
        <v>20</v>
      </c>
      <c r="FH55" s="248"/>
      <c r="FI55" s="301"/>
      <c r="FJ55" s="226">
        <v>5</v>
      </c>
      <c r="FK55" s="59">
        <f t="shared" si="309"/>
        <v>1</v>
      </c>
      <c r="FL55" s="254">
        <f t="shared" si="310"/>
        <v>32</v>
      </c>
      <c r="FM55" s="263">
        <f t="shared" si="311"/>
        <v>20</v>
      </c>
      <c r="FN55" s="248"/>
      <c r="FO55" s="305"/>
      <c r="FP55" s="244"/>
    </row>
    <row r="56" spans="1:172" ht="17" x14ac:dyDescent="0.45">
      <c r="A56" s="307"/>
      <c r="B56" s="226">
        <v>6</v>
      </c>
      <c r="C56" s="59">
        <v>0</v>
      </c>
      <c r="D56" s="254">
        <f t="shared" si="235"/>
        <v>24</v>
      </c>
      <c r="E56" s="263">
        <f t="shared" si="236"/>
        <v>8</v>
      </c>
      <c r="F56" s="248"/>
      <c r="G56" s="301"/>
      <c r="H56" s="226">
        <v>6</v>
      </c>
      <c r="I56" s="59">
        <f t="shared" si="237"/>
        <v>0</v>
      </c>
      <c r="J56" s="254">
        <f t="shared" si="238"/>
        <v>24</v>
      </c>
      <c r="K56" s="263">
        <f t="shared" si="239"/>
        <v>8</v>
      </c>
      <c r="L56" s="248"/>
      <c r="M56" s="305"/>
      <c r="N56" s="244"/>
      <c r="O56" s="307"/>
      <c r="P56" s="226">
        <v>6</v>
      </c>
      <c r="Q56" s="59">
        <f t="shared" si="240"/>
        <v>0</v>
      </c>
      <c r="R56" s="254">
        <f t="shared" si="241"/>
        <v>24</v>
      </c>
      <c r="S56" s="263">
        <f t="shared" si="242"/>
        <v>8</v>
      </c>
      <c r="T56" s="248"/>
      <c r="U56" s="301"/>
      <c r="V56" s="226">
        <v>6</v>
      </c>
      <c r="W56" s="59">
        <f t="shared" si="243"/>
        <v>0</v>
      </c>
      <c r="X56" s="254">
        <f t="shared" si="244"/>
        <v>24</v>
      </c>
      <c r="Y56" s="263">
        <f t="shared" si="245"/>
        <v>8</v>
      </c>
      <c r="Z56" s="248">
        <v>18</v>
      </c>
      <c r="AA56" s="301"/>
      <c r="AB56" s="226">
        <v>6</v>
      </c>
      <c r="AC56" s="59">
        <f t="shared" si="246"/>
        <v>1</v>
      </c>
      <c r="AD56" s="254">
        <f t="shared" si="247"/>
        <v>32</v>
      </c>
      <c r="AE56" s="263">
        <f t="shared" si="248"/>
        <v>16</v>
      </c>
      <c r="AF56" s="248"/>
      <c r="AG56" s="305"/>
      <c r="AH56" s="244"/>
      <c r="AI56" s="307"/>
      <c r="AJ56" s="226">
        <v>6</v>
      </c>
      <c r="AK56" s="59">
        <f t="shared" si="249"/>
        <v>1</v>
      </c>
      <c r="AL56" s="254">
        <f t="shared" si="250"/>
        <v>32</v>
      </c>
      <c r="AM56" s="263">
        <f t="shared" si="251"/>
        <v>16</v>
      </c>
      <c r="AN56" s="248"/>
      <c r="AO56" s="301"/>
      <c r="AP56" s="226">
        <v>6</v>
      </c>
      <c r="AQ56" s="59">
        <f t="shared" si="252"/>
        <v>1</v>
      </c>
      <c r="AR56" s="254">
        <f t="shared" si="253"/>
        <v>32</v>
      </c>
      <c r="AS56" s="263">
        <f t="shared" si="254"/>
        <v>16</v>
      </c>
      <c r="AT56" s="248"/>
      <c r="AU56" s="301"/>
      <c r="AV56" s="226">
        <v>6</v>
      </c>
      <c r="AW56" s="59">
        <f t="shared" si="255"/>
        <v>1</v>
      </c>
      <c r="AX56" s="254">
        <f t="shared" si="256"/>
        <v>32</v>
      </c>
      <c r="AY56" s="263">
        <f t="shared" si="257"/>
        <v>16</v>
      </c>
      <c r="AZ56" s="248"/>
      <c r="BA56" s="305"/>
      <c r="BB56" s="244"/>
      <c r="BC56" s="307"/>
      <c r="BD56" s="226">
        <v>6</v>
      </c>
      <c r="BE56" s="59">
        <f t="shared" si="258"/>
        <v>1</v>
      </c>
      <c r="BF56" s="254">
        <f t="shared" si="259"/>
        <v>32</v>
      </c>
      <c r="BG56" s="263">
        <f t="shared" si="260"/>
        <v>16</v>
      </c>
      <c r="BH56" s="248"/>
      <c r="BI56" s="301"/>
      <c r="BJ56" s="226">
        <v>6</v>
      </c>
      <c r="BK56" s="59">
        <f t="shared" si="261"/>
        <v>1</v>
      </c>
      <c r="BL56" s="254">
        <f t="shared" si="262"/>
        <v>32</v>
      </c>
      <c r="BM56" s="263">
        <f t="shared" si="263"/>
        <v>16</v>
      </c>
      <c r="BN56" s="248">
        <v>14</v>
      </c>
      <c r="BO56" s="301"/>
      <c r="BP56" s="226">
        <v>6</v>
      </c>
      <c r="BQ56" s="59">
        <f t="shared" si="264"/>
        <v>2</v>
      </c>
      <c r="BR56" s="254">
        <f t="shared" si="265"/>
        <v>40</v>
      </c>
      <c r="BS56" s="263">
        <f t="shared" si="266"/>
        <v>24</v>
      </c>
      <c r="BT56" s="248"/>
      <c r="BU56" s="305"/>
      <c r="BV56" s="244"/>
      <c r="BW56" s="307"/>
      <c r="BX56" s="226">
        <v>6</v>
      </c>
      <c r="BY56" s="59">
        <f t="shared" si="267"/>
        <v>2</v>
      </c>
      <c r="BZ56" s="254">
        <f t="shared" si="268"/>
        <v>40</v>
      </c>
      <c r="CA56" s="263">
        <f t="shared" si="269"/>
        <v>24</v>
      </c>
      <c r="CB56" s="248"/>
      <c r="CC56" s="301"/>
      <c r="CD56" s="226">
        <v>6</v>
      </c>
      <c r="CE56" s="59">
        <f t="shared" si="270"/>
        <v>2</v>
      </c>
      <c r="CF56" s="254">
        <f t="shared" si="271"/>
        <v>40</v>
      </c>
      <c r="CG56" s="263">
        <f t="shared" si="272"/>
        <v>24</v>
      </c>
      <c r="CH56" s="248"/>
      <c r="CI56" s="301"/>
      <c r="CJ56" s="226">
        <v>6</v>
      </c>
      <c r="CK56" s="59">
        <f t="shared" si="273"/>
        <v>2</v>
      </c>
      <c r="CL56" s="254">
        <f t="shared" si="274"/>
        <v>40</v>
      </c>
      <c r="CM56" s="263">
        <f t="shared" si="275"/>
        <v>24</v>
      </c>
      <c r="CN56" s="248"/>
      <c r="CO56" s="301"/>
      <c r="CP56" s="226">
        <v>6</v>
      </c>
      <c r="CQ56" s="59">
        <f t="shared" si="276"/>
        <v>2</v>
      </c>
      <c r="CR56" s="254">
        <f t="shared" si="277"/>
        <v>40</v>
      </c>
      <c r="CS56" s="263">
        <f t="shared" si="278"/>
        <v>24</v>
      </c>
      <c r="CT56" s="248"/>
      <c r="CU56" s="305"/>
      <c r="CV56" s="244"/>
      <c r="CW56" s="307"/>
      <c r="CX56" s="226">
        <v>6</v>
      </c>
      <c r="CY56" s="59">
        <f t="shared" si="279"/>
        <v>2</v>
      </c>
      <c r="CZ56" s="254">
        <f t="shared" si="280"/>
        <v>40</v>
      </c>
      <c r="DA56" s="263">
        <f t="shared" si="281"/>
        <v>24</v>
      </c>
      <c r="DB56" s="248"/>
      <c r="DC56" s="301"/>
      <c r="DD56" s="226">
        <v>6</v>
      </c>
      <c r="DE56" s="59">
        <f t="shared" si="282"/>
        <v>2</v>
      </c>
      <c r="DF56" s="254">
        <f t="shared" si="283"/>
        <v>40</v>
      </c>
      <c r="DG56" s="263">
        <f t="shared" si="284"/>
        <v>24</v>
      </c>
      <c r="DH56" s="248"/>
      <c r="DI56" s="301"/>
      <c r="DJ56" s="226">
        <v>6</v>
      </c>
      <c r="DK56" s="59">
        <f t="shared" si="285"/>
        <v>2</v>
      </c>
      <c r="DL56" s="254">
        <f t="shared" si="286"/>
        <v>40</v>
      </c>
      <c r="DM56" s="263">
        <f t="shared" si="287"/>
        <v>24</v>
      </c>
      <c r="DN56" s="248"/>
      <c r="DO56" s="301"/>
      <c r="DP56" s="226">
        <v>6</v>
      </c>
      <c r="DQ56" s="59">
        <f t="shared" si="288"/>
        <v>2</v>
      </c>
      <c r="DR56" s="254">
        <f t="shared" si="289"/>
        <v>40</v>
      </c>
      <c r="DS56" s="263">
        <f t="shared" si="290"/>
        <v>24</v>
      </c>
      <c r="DT56" s="248"/>
      <c r="DU56" s="305"/>
      <c r="DV56" s="244"/>
      <c r="DW56" s="307"/>
      <c r="DX56" s="226">
        <v>6</v>
      </c>
      <c r="DY56" s="59">
        <f t="shared" si="291"/>
        <v>2</v>
      </c>
      <c r="DZ56" s="254">
        <f t="shared" si="292"/>
        <v>40</v>
      </c>
      <c r="EA56" s="263">
        <f t="shared" si="293"/>
        <v>24</v>
      </c>
      <c r="EB56" s="248"/>
      <c r="EC56" s="301"/>
      <c r="ED56" s="226">
        <v>6</v>
      </c>
      <c r="EE56" s="59">
        <f t="shared" si="294"/>
        <v>2</v>
      </c>
      <c r="EF56" s="254">
        <f t="shared" si="295"/>
        <v>40</v>
      </c>
      <c r="EG56" s="263">
        <f t="shared" si="296"/>
        <v>24</v>
      </c>
      <c r="EH56" s="248"/>
      <c r="EI56" s="301"/>
      <c r="EJ56" s="226">
        <v>6</v>
      </c>
      <c r="EK56" s="59">
        <f t="shared" si="297"/>
        <v>2</v>
      </c>
      <c r="EL56" s="254">
        <f t="shared" si="298"/>
        <v>40</v>
      </c>
      <c r="EM56" s="263">
        <f t="shared" si="299"/>
        <v>24</v>
      </c>
      <c r="EN56" s="248"/>
      <c r="EO56" s="305"/>
      <c r="EP56" s="244"/>
      <c r="EQ56" s="307"/>
      <c r="ER56" s="226">
        <v>6</v>
      </c>
      <c r="ES56" s="59">
        <f t="shared" si="300"/>
        <v>2</v>
      </c>
      <c r="ET56" s="254">
        <f t="shared" si="301"/>
        <v>40</v>
      </c>
      <c r="EU56" s="263">
        <f t="shared" si="302"/>
        <v>24</v>
      </c>
      <c r="EV56" s="248"/>
      <c r="EW56" s="301"/>
      <c r="EX56" s="226">
        <v>6</v>
      </c>
      <c r="EY56" s="59">
        <f t="shared" si="303"/>
        <v>2</v>
      </c>
      <c r="EZ56" s="254">
        <f t="shared" si="304"/>
        <v>40</v>
      </c>
      <c r="FA56" s="263">
        <f t="shared" si="305"/>
        <v>24</v>
      </c>
      <c r="FB56" s="248"/>
      <c r="FC56" s="301"/>
      <c r="FD56" s="226">
        <v>6</v>
      </c>
      <c r="FE56" s="59">
        <f t="shared" si="306"/>
        <v>2</v>
      </c>
      <c r="FF56" s="254">
        <f t="shared" si="307"/>
        <v>40</v>
      </c>
      <c r="FG56" s="263">
        <f t="shared" si="308"/>
        <v>24</v>
      </c>
      <c r="FH56" s="248"/>
      <c r="FI56" s="301"/>
      <c r="FJ56" s="226">
        <v>6</v>
      </c>
      <c r="FK56" s="59">
        <f t="shared" si="309"/>
        <v>2</v>
      </c>
      <c r="FL56" s="254">
        <f t="shared" si="310"/>
        <v>40</v>
      </c>
      <c r="FM56" s="263">
        <f t="shared" si="311"/>
        <v>24</v>
      </c>
      <c r="FN56" s="248"/>
      <c r="FO56" s="305"/>
      <c r="FP56" s="244"/>
    </row>
    <row r="57" spans="1:172" ht="17" x14ac:dyDescent="0.45">
      <c r="A57" s="307"/>
      <c r="B57" s="226">
        <v>7</v>
      </c>
      <c r="C57" s="59">
        <v>0</v>
      </c>
      <c r="D57" s="254">
        <f t="shared" si="235"/>
        <v>24</v>
      </c>
      <c r="E57" s="263">
        <f t="shared" si="236"/>
        <v>21</v>
      </c>
      <c r="F57" s="248"/>
      <c r="G57" s="301"/>
      <c r="H57" s="226">
        <v>7</v>
      </c>
      <c r="I57" s="59">
        <f t="shared" si="237"/>
        <v>0</v>
      </c>
      <c r="J57" s="254">
        <f t="shared" si="238"/>
        <v>24</v>
      </c>
      <c r="K57" s="263">
        <f t="shared" si="239"/>
        <v>21</v>
      </c>
      <c r="L57" s="248">
        <v>18</v>
      </c>
      <c r="M57" s="305"/>
      <c r="N57" s="244"/>
      <c r="O57" s="307"/>
      <c r="P57" s="226">
        <v>7</v>
      </c>
      <c r="Q57" s="59">
        <f t="shared" si="240"/>
        <v>0</v>
      </c>
      <c r="R57" s="254">
        <f t="shared" si="241"/>
        <v>24</v>
      </c>
      <c r="S57" s="263">
        <f t="shared" si="242"/>
        <v>21</v>
      </c>
      <c r="T57" s="248"/>
      <c r="U57" s="301"/>
      <c r="V57" s="226">
        <v>7</v>
      </c>
      <c r="W57" s="59">
        <f t="shared" si="243"/>
        <v>0</v>
      </c>
      <c r="X57" s="254">
        <f t="shared" si="244"/>
        <v>24</v>
      </c>
      <c r="Y57" s="263">
        <f t="shared" si="245"/>
        <v>21</v>
      </c>
      <c r="Z57" s="248"/>
      <c r="AA57" s="301"/>
      <c r="AB57" s="226">
        <v>7</v>
      </c>
      <c r="AC57" s="59">
        <f t="shared" si="246"/>
        <v>0</v>
      </c>
      <c r="AD57" s="254">
        <f t="shared" si="247"/>
        <v>24</v>
      </c>
      <c r="AE57" s="263">
        <f t="shared" si="248"/>
        <v>21</v>
      </c>
      <c r="AF57" s="248"/>
      <c r="AG57" s="305"/>
      <c r="AH57" s="244"/>
      <c r="AI57" s="307"/>
      <c r="AJ57" s="226">
        <v>7</v>
      </c>
      <c r="AK57" s="59">
        <f t="shared" si="249"/>
        <v>0</v>
      </c>
      <c r="AL57" s="254">
        <f t="shared" si="250"/>
        <v>24</v>
      </c>
      <c r="AM57" s="263">
        <f t="shared" si="251"/>
        <v>21</v>
      </c>
      <c r="AN57" s="248"/>
      <c r="AO57" s="301"/>
      <c r="AP57" s="226">
        <v>7</v>
      </c>
      <c r="AQ57" s="59">
        <f t="shared" si="252"/>
        <v>0</v>
      </c>
      <c r="AR57" s="254">
        <f t="shared" si="253"/>
        <v>24</v>
      </c>
      <c r="AS57" s="263">
        <f t="shared" si="254"/>
        <v>21</v>
      </c>
      <c r="AT57" s="248"/>
      <c r="AU57" s="301"/>
      <c r="AV57" s="226">
        <v>7</v>
      </c>
      <c r="AW57" s="59">
        <f t="shared" si="255"/>
        <v>0</v>
      </c>
      <c r="AX57" s="254">
        <f t="shared" si="256"/>
        <v>24</v>
      </c>
      <c r="AY57" s="263">
        <f t="shared" si="257"/>
        <v>21</v>
      </c>
      <c r="AZ57" s="248"/>
      <c r="BA57" s="305"/>
      <c r="BB57" s="244"/>
      <c r="BC57" s="307"/>
      <c r="BD57" s="226">
        <v>7</v>
      </c>
      <c r="BE57" s="59">
        <f t="shared" si="258"/>
        <v>0</v>
      </c>
      <c r="BF57" s="254">
        <f t="shared" si="259"/>
        <v>24</v>
      </c>
      <c r="BG57" s="263">
        <f t="shared" si="260"/>
        <v>21</v>
      </c>
      <c r="BH57" s="248"/>
      <c r="BI57" s="301"/>
      <c r="BJ57" s="226">
        <v>7</v>
      </c>
      <c r="BK57" s="59">
        <f t="shared" si="261"/>
        <v>0</v>
      </c>
      <c r="BL57" s="254">
        <f t="shared" si="262"/>
        <v>24</v>
      </c>
      <c r="BM57" s="263">
        <f t="shared" si="263"/>
        <v>21</v>
      </c>
      <c r="BN57" s="248"/>
      <c r="BO57" s="301"/>
      <c r="BP57" s="226">
        <v>7</v>
      </c>
      <c r="BQ57" s="59">
        <f t="shared" si="264"/>
        <v>0</v>
      </c>
      <c r="BR57" s="254">
        <f t="shared" si="265"/>
        <v>24</v>
      </c>
      <c r="BS57" s="263">
        <f t="shared" si="266"/>
        <v>21</v>
      </c>
      <c r="BT57" s="248"/>
      <c r="BU57" s="305"/>
      <c r="BV57" s="244"/>
      <c r="BW57" s="307"/>
      <c r="BX57" s="226">
        <v>7</v>
      </c>
      <c r="BY57" s="59">
        <f t="shared" si="267"/>
        <v>0</v>
      </c>
      <c r="BZ57" s="254">
        <f t="shared" si="268"/>
        <v>24</v>
      </c>
      <c r="CA57" s="263">
        <f t="shared" si="269"/>
        <v>21</v>
      </c>
      <c r="CB57" s="248"/>
      <c r="CC57" s="301"/>
      <c r="CD57" s="226">
        <v>7</v>
      </c>
      <c r="CE57" s="59">
        <f t="shared" si="270"/>
        <v>0</v>
      </c>
      <c r="CF57" s="254">
        <f t="shared" si="271"/>
        <v>24</v>
      </c>
      <c r="CG57" s="263">
        <f t="shared" si="272"/>
        <v>21</v>
      </c>
      <c r="CH57" s="248"/>
      <c r="CI57" s="301"/>
      <c r="CJ57" s="226">
        <v>7</v>
      </c>
      <c r="CK57" s="59">
        <f t="shared" si="273"/>
        <v>0</v>
      </c>
      <c r="CL57" s="254">
        <f t="shared" si="274"/>
        <v>24</v>
      </c>
      <c r="CM57" s="263">
        <f t="shared" si="275"/>
        <v>21</v>
      </c>
      <c r="CN57" s="248"/>
      <c r="CO57" s="301"/>
      <c r="CP57" s="226">
        <v>7</v>
      </c>
      <c r="CQ57" s="59">
        <f t="shared" si="276"/>
        <v>0</v>
      </c>
      <c r="CR57" s="254">
        <f t="shared" si="277"/>
        <v>24</v>
      </c>
      <c r="CS57" s="263">
        <f t="shared" si="278"/>
        <v>21</v>
      </c>
      <c r="CT57" s="248"/>
      <c r="CU57" s="305"/>
      <c r="CV57" s="244"/>
      <c r="CW57" s="307"/>
      <c r="CX57" s="226">
        <v>7</v>
      </c>
      <c r="CY57" s="59">
        <f t="shared" si="279"/>
        <v>0</v>
      </c>
      <c r="CZ57" s="254">
        <f t="shared" si="280"/>
        <v>24</v>
      </c>
      <c r="DA57" s="263">
        <f t="shared" si="281"/>
        <v>21</v>
      </c>
      <c r="DB57" s="248"/>
      <c r="DC57" s="301"/>
      <c r="DD57" s="226">
        <v>7</v>
      </c>
      <c r="DE57" s="59">
        <f t="shared" si="282"/>
        <v>0</v>
      </c>
      <c r="DF57" s="254">
        <f t="shared" si="283"/>
        <v>24</v>
      </c>
      <c r="DG57" s="263">
        <f t="shared" si="284"/>
        <v>21</v>
      </c>
      <c r="DH57" s="248"/>
      <c r="DI57" s="301"/>
      <c r="DJ57" s="226">
        <v>7</v>
      </c>
      <c r="DK57" s="59">
        <f t="shared" si="285"/>
        <v>0</v>
      </c>
      <c r="DL57" s="254">
        <f t="shared" si="286"/>
        <v>24</v>
      </c>
      <c r="DM57" s="263">
        <f t="shared" si="287"/>
        <v>21</v>
      </c>
      <c r="DN57" s="248"/>
      <c r="DO57" s="301"/>
      <c r="DP57" s="226">
        <v>7</v>
      </c>
      <c r="DQ57" s="59">
        <f t="shared" si="288"/>
        <v>0</v>
      </c>
      <c r="DR57" s="254">
        <f t="shared" si="289"/>
        <v>24</v>
      </c>
      <c r="DS57" s="263">
        <f t="shared" si="290"/>
        <v>21</v>
      </c>
      <c r="DT57" s="248"/>
      <c r="DU57" s="305"/>
      <c r="DV57" s="244"/>
      <c r="DW57" s="307"/>
      <c r="DX57" s="226">
        <v>7</v>
      </c>
      <c r="DY57" s="59">
        <f t="shared" si="291"/>
        <v>0</v>
      </c>
      <c r="DZ57" s="254">
        <f t="shared" si="292"/>
        <v>24</v>
      </c>
      <c r="EA57" s="263">
        <f t="shared" si="293"/>
        <v>21</v>
      </c>
      <c r="EB57" s="248"/>
      <c r="EC57" s="301"/>
      <c r="ED57" s="226">
        <v>7</v>
      </c>
      <c r="EE57" s="59">
        <f t="shared" si="294"/>
        <v>0</v>
      </c>
      <c r="EF57" s="254">
        <f t="shared" si="295"/>
        <v>24</v>
      </c>
      <c r="EG57" s="263">
        <f t="shared" si="296"/>
        <v>21</v>
      </c>
      <c r="EH57" s="248"/>
      <c r="EI57" s="301"/>
      <c r="EJ57" s="226">
        <v>7</v>
      </c>
      <c r="EK57" s="59">
        <f t="shared" si="297"/>
        <v>0</v>
      </c>
      <c r="EL57" s="254">
        <f t="shared" si="298"/>
        <v>24</v>
      </c>
      <c r="EM57" s="263">
        <f t="shared" si="299"/>
        <v>21</v>
      </c>
      <c r="EN57" s="248"/>
      <c r="EO57" s="305"/>
      <c r="EP57" s="244"/>
      <c r="EQ57" s="307"/>
      <c r="ER57" s="226">
        <v>7</v>
      </c>
      <c r="ES57" s="59">
        <f t="shared" si="300"/>
        <v>0</v>
      </c>
      <c r="ET57" s="254">
        <f t="shared" si="301"/>
        <v>24</v>
      </c>
      <c r="EU57" s="263">
        <f t="shared" si="302"/>
        <v>21</v>
      </c>
      <c r="EV57" s="248"/>
      <c r="EW57" s="301"/>
      <c r="EX57" s="226">
        <v>7</v>
      </c>
      <c r="EY57" s="59">
        <f t="shared" si="303"/>
        <v>0</v>
      </c>
      <c r="EZ57" s="254">
        <f t="shared" si="304"/>
        <v>24</v>
      </c>
      <c r="FA57" s="263">
        <f t="shared" si="305"/>
        <v>21</v>
      </c>
      <c r="FB57" s="248"/>
      <c r="FC57" s="301"/>
      <c r="FD57" s="226">
        <v>7</v>
      </c>
      <c r="FE57" s="59">
        <f t="shared" si="306"/>
        <v>0</v>
      </c>
      <c r="FF57" s="254">
        <f t="shared" si="307"/>
        <v>24</v>
      </c>
      <c r="FG57" s="263">
        <f t="shared" si="308"/>
        <v>21</v>
      </c>
      <c r="FH57" s="248"/>
      <c r="FI57" s="301"/>
      <c r="FJ57" s="226">
        <v>7</v>
      </c>
      <c r="FK57" s="59">
        <f t="shared" si="309"/>
        <v>0</v>
      </c>
      <c r="FL57" s="254">
        <f t="shared" si="310"/>
        <v>24</v>
      </c>
      <c r="FM57" s="263">
        <f t="shared" si="311"/>
        <v>21</v>
      </c>
      <c r="FN57" s="248"/>
      <c r="FO57" s="305"/>
      <c r="FP57" s="244"/>
    </row>
    <row r="58" spans="1:172" ht="17.5" thickBot="1" x14ac:dyDescent="0.5">
      <c r="A58" s="309"/>
      <c r="B58" s="261">
        <v>8</v>
      </c>
      <c r="C58" s="59">
        <v>0</v>
      </c>
      <c r="D58" s="254">
        <f t="shared" si="235"/>
        <v>24</v>
      </c>
      <c r="E58" s="263">
        <f t="shared" si="236"/>
        <v>17</v>
      </c>
      <c r="F58" s="260"/>
      <c r="G58" s="302"/>
      <c r="H58" s="261">
        <v>8</v>
      </c>
      <c r="I58" s="59">
        <f t="shared" si="237"/>
        <v>0</v>
      </c>
      <c r="J58" s="254">
        <f t="shared" si="238"/>
        <v>24</v>
      </c>
      <c r="K58" s="263">
        <f t="shared" si="239"/>
        <v>17</v>
      </c>
      <c r="L58" s="260"/>
      <c r="M58" s="305"/>
      <c r="N58" s="244"/>
      <c r="O58" s="309"/>
      <c r="P58" s="261">
        <v>8</v>
      </c>
      <c r="Q58" s="59">
        <f t="shared" si="240"/>
        <v>0</v>
      </c>
      <c r="R58" s="254">
        <f t="shared" si="241"/>
        <v>24</v>
      </c>
      <c r="S58" s="263">
        <f t="shared" si="242"/>
        <v>17</v>
      </c>
      <c r="T58" s="260"/>
      <c r="U58" s="302"/>
      <c r="V58" s="261">
        <v>8</v>
      </c>
      <c r="W58" s="59">
        <f t="shared" si="243"/>
        <v>0</v>
      </c>
      <c r="X58" s="254">
        <f t="shared" si="244"/>
        <v>24</v>
      </c>
      <c r="Y58" s="263">
        <f t="shared" si="245"/>
        <v>17</v>
      </c>
      <c r="Z58" s="260"/>
      <c r="AA58" s="302"/>
      <c r="AB58" s="261">
        <v>8</v>
      </c>
      <c r="AC58" s="59">
        <f t="shared" si="246"/>
        <v>0</v>
      </c>
      <c r="AD58" s="254">
        <f t="shared" si="247"/>
        <v>24</v>
      </c>
      <c r="AE58" s="263">
        <f t="shared" si="248"/>
        <v>17</v>
      </c>
      <c r="AF58" s="260"/>
      <c r="AG58" s="305"/>
      <c r="AH58" s="244"/>
      <c r="AI58" s="309"/>
      <c r="AJ58" s="261">
        <v>8</v>
      </c>
      <c r="AK58" s="59">
        <f t="shared" si="249"/>
        <v>0</v>
      </c>
      <c r="AL58" s="254">
        <f t="shared" si="250"/>
        <v>24</v>
      </c>
      <c r="AM58" s="263">
        <f t="shared" si="251"/>
        <v>17</v>
      </c>
      <c r="AN58" s="260"/>
      <c r="AO58" s="302"/>
      <c r="AP58" s="261">
        <v>8</v>
      </c>
      <c r="AQ58" s="59">
        <f t="shared" si="252"/>
        <v>0</v>
      </c>
      <c r="AR58" s="254">
        <f t="shared" si="253"/>
        <v>24</v>
      </c>
      <c r="AS58" s="263">
        <f t="shared" si="254"/>
        <v>17</v>
      </c>
      <c r="AT58" s="260"/>
      <c r="AU58" s="302"/>
      <c r="AV58" s="261">
        <v>8</v>
      </c>
      <c r="AW58" s="59">
        <f t="shared" si="255"/>
        <v>0</v>
      </c>
      <c r="AX58" s="254">
        <f t="shared" si="256"/>
        <v>24</v>
      </c>
      <c r="AY58" s="263">
        <f t="shared" si="257"/>
        <v>17</v>
      </c>
      <c r="AZ58" s="260"/>
      <c r="BA58" s="305"/>
      <c r="BB58" s="244"/>
      <c r="BC58" s="309"/>
      <c r="BD58" s="261">
        <v>8</v>
      </c>
      <c r="BE58" s="59">
        <f t="shared" si="258"/>
        <v>0</v>
      </c>
      <c r="BF58" s="254">
        <f t="shared" si="259"/>
        <v>24</v>
      </c>
      <c r="BG58" s="263">
        <f t="shared" si="260"/>
        <v>17</v>
      </c>
      <c r="BH58" s="260"/>
      <c r="BI58" s="302"/>
      <c r="BJ58" s="261">
        <v>8</v>
      </c>
      <c r="BK58" s="59">
        <f t="shared" si="261"/>
        <v>0</v>
      </c>
      <c r="BL58" s="254">
        <f t="shared" si="262"/>
        <v>24</v>
      </c>
      <c r="BM58" s="263">
        <f t="shared" si="263"/>
        <v>17</v>
      </c>
      <c r="BN58" s="260"/>
      <c r="BO58" s="302"/>
      <c r="BP58" s="261">
        <v>8</v>
      </c>
      <c r="BQ58" s="59">
        <f t="shared" si="264"/>
        <v>0</v>
      </c>
      <c r="BR58" s="254">
        <f t="shared" si="265"/>
        <v>24</v>
      </c>
      <c r="BS58" s="263">
        <f t="shared" si="266"/>
        <v>17</v>
      </c>
      <c r="BT58" s="260"/>
      <c r="BU58" s="305"/>
      <c r="BV58" s="244"/>
      <c r="BW58" s="309"/>
      <c r="BX58" s="261">
        <v>8</v>
      </c>
      <c r="BY58" s="59">
        <f t="shared" si="267"/>
        <v>0</v>
      </c>
      <c r="BZ58" s="254">
        <f t="shared" si="268"/>
        <v>24</v>
      </c>
      <c r="CA58" s="263">
        <f t="shared" si="269"/>
        <v>17</v>
      </c>
      <c r="CB58" s="260"/>
      <c r="CC58" s="302"/>
      <c r="CD58" s="261">
        <v>8</v>
      </c>
      <c r="CE58" s="59">
        <f t="shared" si="270"/>
        <v>0</v>
      </c>
      <c r="CF58" s="254">
        <f t="shared" si="271"/>
        <v>24</v>
      </c>
      <c r="CG58" s="263">
        <f t="shared" si="272"/>
        <v>17</v>
      </c>
      <c r="CH58" s="260"/>
      <c r="CI58" s="302"/>
      <c r="CJ58" s="261">
        <v>8</v>
      </c>
      <c r="CK58" s="59">
        <f t="shared" si="273"/>
        <v>0</v>
      </c>
      <c r="CL58" s="254">
        <f t="shared" si="274"/>
        <v>24</v>
      </c>
      <c r="CM58" s="263">
        <f t="shared" si="275"/>
        <v>17</v>
      </c>
      <c r="CN58" s="260"/>
      <c r="CO58" s="302"/>
      <c r="CP58" s="261">
        <v>8</v>
      </c>
      <c r="CQ58" s="59">
        <f t="shared" si="276"/>
        <v>0</v>
      </c>
      <c r="CR58" s="254">
        <f t="shared" si="277"/>
        <v>24</v>
      </c>
      <c r="CS58" s="263">
        <f t="shared" si="278"/>
        <v>17</v>
      </c>
      <c r="CT58" s="260"/>
      <c r="CU58" s="305"/>
      <c r="CV58" s="244"/>
      <c r="CW58" s="309"/>
      <c r="CX58" s="261">
        <v>8</v>
      </c>
      <c r="CY58" s="59">
        <f t="shared" si="279"/>
        <v>0</v>
      </c>
      <c r="CZ58" s="254">
        <f t="shared" si="280"/>
        <v>24</v>
      </c>
      <c r="DA58" s="263">
        <f t="shared" si="281"/>
        <v>17</v>
      </c>
      <c r="DB58" s="260"/>
      <c r="DC58" s="302"/>
      <c r="DD58" s="261">
        <v>8</v>
      </c>
      <c r="DE58" s="59">
        <f t="shared" si="282"/>
        <v>0</v>
      </c>
      <c r="DF58" s="254">
        <f t="shared" si="283"/>
        <v>24</v>
      </c>
      <c r="DG58" s="263">
        <f t="shared" si="284"/>
        <v>17</v>
      </c>
      <c r="DH58" s="260"/>
      <c r="DI58" s="302"/>
      <c r="DJ58" s="261">
        <v>8</v>
      </c>
      <c r="DK58" s="59">
        <f t="shared" si="285"/>
        <v>0</v>
      </c>
      <c r="DL58" s="254">
        <f t="shared" si="286"/>
        <v>24</v>
      </c>
      <c r="DM58" s="263">
        <f t="shared" si="287"/>
        <v>17</v>
      </c>
      <c r="DN58" s="260"/>
      <c r="DO58" s="302"/>
      <c r="DP58" s="261">
        <v>8</v>
      </c>
      <c r="DQ58" s="59">
        <f t="shared" si="288"/>
        <v>0</v>
      </c>
      <c r="DR58" s="254">
        <f t="shared" si="289"/>
        <v>24</v>
      </c>
      <c r="DS58" s="263">
        <f t="shared" si="290"/>
        <v>17</v>
      </c>
      <c r="DT58" s="260"/>
      <c r="DU58" s="305"/>
      <c r="DV58" s="244"/>
      <c r="DW58" s="309"/>
      <c r="DX58" s="261">
        <v>8</v>
      </c>
      <c r="DY58" s="59">
        <f t="shared" si="291"/>
        <v>0</v>
      </c>
      <c r="DZ58" s="254">
        <f t="shared" si="292"/>
        <v>24</v>
      </c>
      <c r="EA58" s="263">
        <f t="shared" si="293"/>
        <v>17</v>
      </c>
      <c r="EB58" s="260"/>
      <c r="EC58" s="302"/>
      <c r="ED58" s="261">
        <v>8</v>
      </c>
      <c r="EE58" s="59">
        <f t="shared" si="294"/>
        <v>0</v>
      </c>
      <c r="EF58" s="254">
        <f t="shared" si="295"/>
        <v>24</v>
      </c>
      <c r="EG58" s="263">
        <f t="shared" si="296"/>
        <v>17</v>
      </c>
      <c r="EH58" s="260"/>
      <c r="EI58" s="302"/>
      <c r="EJ58" s="261">
        <v>8</v>
      </c>
      <c r="EK58" s="59">
        <f t="shared" si="297"/>
        <v>0</v>
      </c>
      <c r="EL58" s="254">
        <f t="shared" si="298"/>
        <v>24</v>
      </c>
      <c r="EM58" s="263">
        <f t="shared" si="299"/>
        <v>17</v>
      </c>
      <c r="EN58" s="260"/>
      <c r="EO58" s="305"/>
      <c r="EP58" s="244"/>
      <c r="EQ58" s="309"/>
      <c r="ER58" s="261">
        <v>8</v>
      </c>
      <c r="ES58" s="59">
        <f t="shared" si="300"/>
        <v>0</v>
      </c>
      <c r="ET58" s="254">
        <f t="shared" si="301"/>
        <v>24</v>
      </c>
      <c r="EU58" s="263">
        <f t="shared" si="302"/>
        <v>17</v>
      </c>
      <c r="EV58" s="260"/>
      <c r="EW58" s="302"/>
      <c r="EX58" s="261">
        <v>8</v>
      </c>
      <c r="EY58" s="59">
        <f t="shared" si="303"/>
        <v>0</v>
      </c>
      <c r="EZ58" s="254">
        <f t="shared" si="304"/>
        <v>24</v>
      </c>
      <c r="FA58" s="263">
        <f t="shared" si="305"/>
        <v>17</v>
      </c>
      <c r="FB58" s="260"/>
      <c r="FC58" s="302"/>
      <c r="FD58" s="261">
        <v>8</v>
      </c>
      <c r="FE58" s="59">
        <f t="shared" si="306"/>
        <v>0</v>
      </c>
      <c r="FF58" s="254">
        <f t="shared" si="307"/>
        <v>24</v>
      </c>
      <c r="FG58" s="263">
        <f t="shared" si="308"/>
        <v>17</v>
      </c>
      <c r="FH58" s="260"/>
      <c r="FI58" s="302"/>
      <c r="FJ58" s="261">
        <v>8</v>
      </c>
      <c r="FK58" s="59">
        <f t="shared" si="309"/>
        <v>0</v>
      </c>
      <c r="FL58" s="254">
        <f t="shared" si="310"/>
        <v>24</v>
      </c>
      <c r="FM58" s="263">
        <f t="shared" si="311"/>
        <v>17</v>
      </c>
      <c r="FN58" s="260"/>
      <c r="FO58" s="305"/>
      <c r="FP58" s="244"/>
    </row>
    <row r="59" spans="1:172" s="79" customFormat="1" ht="17" x14ac:dyDescent="0.45">
      <c r="A59" s="306">
        <v>5</v>
      </c>
      <c r="B59" s="241">
        <f>U10</f>
        <v>10</v>
      </c>
      <c r="C59" s="206" t="s">
        <v>154</v>
      </c>
      <c r="D59" s="206" t="s">
        <v>158</v>
      </c>
      <c r="E59" s="242" t="s">
        <v>152</v>
      </c>
      <c r="F59" s="262"/>
      <c r="G59" s="300">
        <v>5</v>
      </c>
      <c r="H59" s="245"/>
      <c r="I59" s="206" t="s">
        <v>154</v>
      </c>
      <c r="J59" s="206" t="s">
        <v>158</v>
      </c>
      <c r="K59" s="242" t="s">
        <v>152</v>
      </c>
      <c r="L59" s="262"/>
      <c r="M59" s="305">
        <f>IF(COUNT(#REF!,F60:F68,L60:L68) &gt;0, COUNT(#REF!,F60:F68,L60:L68) /2,"")</f>
        <v>1</v>
      </c>
      <c r="N59" s="244"/>
      <c r="O59" s="306">
        <v>5</v>
      </c>
      <c r="P59" s="245"/>
      <c r="Q59" s="206" t="s">
        <v>154</v>
      </c>
      <c r="R59" s="206" t="s">
        <v>158</v>
      </c>
      <c r="S59" s="242" t="s">
        <v>152</v>
      </c>
      <c r="T59" s="262"/>
      <c r="U59" s="300">
        <v>5</v>
      </c>
      <c r="V59" s="245"/>
      <c r="W59" s="206" t="s">
        <v>154</v>
      </c>
      <c r="X59" s="206" t="s">
        <v>158</v>
      </c>
      <c r="Y59" s="242" t="s">
        <v>152</v>
      </c>
      <c r="Z59" s="262"/>
      <c r="AA59" s="300">
        <v>5</v>
      </c>
      <c r="AB59" s="245"/>
      <c r="AC59" s="206" t="s">
        <v>154</v>
      </c>
      <c r="AD59" s="206" t="s">
        <v>158</v>
      </c>
      <c r="AE59" s="242" t="s">
        <v>152</v>
      </c>
      <c r="AF59" s="262"/>
      <c r="AG59" s="305">
        <f>IF(COUNT(N60:N68,T60:T68,Z60:Z68,AF60:AF68) &gt;0, COUNT(N60:N68,T60:T68,Z60:Z68,AF60:AF68) /2,"")</f>
        <v>1</v>
      </c>
      <c r="AH59" s="244"/>
      <c r="AI59" s="306">
        <v>5</v>
      </c>
      <c r="AJ59" s="245"/>
      <c r="AK59" s="206" t="s">
        <v>154</v>
      </c>
      <c r="AL59" s="206" t="s">
        <v>158</v>
      </c>
      <c r="AM59" s="242" t="s">
        <v>152</v>
      </c>
      <c r="AN59" s="262"/>
      <c r="AO59" s="300">
        <v>5</v>
      </c>
      <c r="AP59" s="245"/>
      <c r="AQ59" s="206" t="s">
        <v>154</v>
      </c>
      <c r="AR59" s="206" t="s">
        <v>158</v>
      </c>
      <c r="AS59" s="242" t="s">
        <v>152</v>
      </c>
      <c r="AT59" s="262"/>
      <c r="AU59" s="300">
        <v>5</v>
      </c>
      <c r="AV59" s="245"/>
      <c r="AW59" s="206" t="s">
        <v>154</v>
      </c>
      <c r="AX59" s="206" t="s">
        <v>158</v>
      </c>
      <c r="AY59" s="242" t="s">
        <v>152</v>
      </c>
      <c r="AZ59" s="262"/>
      <c r="BA59" s="305">
        <f>IF(COUNT(AN60:AN68,AT60:AT68,AZ60:AZ68) &gt;0, COUNT(AN60:AN68,AT60:AT68,AZ60:AZ68) /2,"")</f>
        <v>3</v>
      </c>
      <c r="BB59" s="244"/>
      <c r="BC59" s="306">
        <v>5</v>
      </c>
      <c r="BD59" s="245"/>
      <c r="BE59" s="206" t="s">
        <v>154</v>
      </c>
      <c r="BF59" s="206" t="s">
        <v>158</v>
      </c>
      <c r="BG59" s="242" t="s">
        <v>152</v>
      </c>
      <c r="BH59" s="262"/>
      <c r="BI59" s="300">
        <v>5</v>
      </c>
      <c r="BJ59" s="245"/>
      <c r="BK59" s="206" t="s">
        <v>154</v>
      </c>
      <c r="BL59" s="206" t="s">
        <v>158</v>
      </c>
      <c r="BM59" s="242" t="s">
        <v>152</v>
      </c>
      <c r="BN59" s="262"/>
      <c r="BO59" s="300">
        <v>5</v>
      </c>
      <c r="BP59" s="245"/>
      <c r="BQ59" s="206" t="s">
        <v>154</v>
      </c>
      <c r="BR59" s="206" t="s">
        <v>158</v>
      </c>
      <c r="BS59" s="242" t="s">
        <v>152</v>
      </c>
      <c r="BT59" s="262"/>
      <c r="BU59" s="305" t="str">
        <f>IF(COUNT(BH60:BH68,BN60:BN68,BT60:BT68) &gt;0, COUNT(BH60:BH68,BN60:BN68,BT60:BT68) /2,"")</f>
        <v/>
      </c>
      <c r="BV59" s="244"/>
      <c r="BW59" s="306">
        <v>5</v>
      </c>
      <c r="BX59" s="245"/>
      <c r="BY59" s="206" t="s">
        <v>154</v>
      </c>
      <c r="BZ59" s="206" t="s">
        <v>158</v>
      </c>
      <c r="CA59" s="242" t="s">
        <v>152</v>
      </c>
      <c r="CB59" s="262"/>
      <c r="CC59" s="300">
        <v>5</v>
      </c>
      <c r="CD59" s="245"/>
      <c r="CE59" s="206" t="s">
        <v>154</v>
      </c>
      <c r="CF59" s="206" t="s">
        <v>158</v>
      </c>
      <c r="CG59" s="242" t="s">
        <v>152</v>
      </c>
      <c r="CH59" s="262"/>
      <c r="CI59" s="300">
        <v>5</v>
      </c>
      <c r="CJ59" s="245"/>
      <c r="CK59" s="206" t="s">
        <v>154</v>
      </c>
      <c r="CL59" s="206" t="s">
        <v>158</v>
      </c>
      <c r="CM59" s="242" t="s">
        <v>152</v>
      </c>
      <c r="CN59" s="262"/>
      <c r="CO59" s="300">
        <v>5</v>
      </c>
      <c r="CP59" s="245"/>
      <c r="CQ59" s="206" t="s">
        <v>154</v>
      </c>
      <c r="CR59" s="206" t="s">
        <v>158</v>
      </c>
      <c r="CS59" s="242" t="s">
        <v>152</v>
      </c>
      <c r="CT59" s="262"/>
      <c r="CU59" s="305" t="str">
        <f>IF(COUNT(CB60:CB68,CH60:CH68,CN60:CN68,CT60:CT68) &gt;0, COUNT(CB60:CB68,CH60:CH68,CN60:CN68,CT60:CT68) /2,"")</f>
        <v/>
      </c>
      <c r="CV59" s="244"/>
      <c r="CW59" s="306">
        <v>5</v>
      </c>
      <c r="CX59" s="245"/>
      <c r="CY59" s="206" t="s">
        <v>154</v>
      </c>
      <c r="CZ59" s="206" t="s">
        <v>158</v>
      </c>
      <c r="DA59" s="242" t="s">
        <v>152</v>
      </c>
      <c r="DB59" s="262"/>
      <c r="DC59" s="300">
        <v>5</v>
      </c>
      <c r="DD59" s="245"/>
      <c r="DE59" s="206" t="s">
        <v>154</v>
      </c>
      <c r="DF59" s="206" t="s">
        <v>158</v>
      </c>
      <c r="DG59" s="242" t="s">
        <v>152</v>
      </c>
      <c r="DH59" s="262"/>
      <c r="DI59" s="300">
        <v>5</v>
      </c>
      <c r="DJ59" s="245"/>
      <c r="DK59" s="206" t="s">
        <v>154</v>
      </c>
      <c r="DL59" s="206" t="s">
        <v>158</v>
      </c>
      <c r="DM59" s="242" t="s">
        <v>152</v>
      </c>
      <c r="DN59" s="262"/>
      <c r="DO59" s="300">
        <v>5</v>
      </c>
      <c r="DP59" s="245"/>
      <c r="DQ59" s="206" t="s">
        <v>154</v>
      </c>
      <c r="DR59" s="206" t="s">
        <v>158</v>
      </c>
      <c r="DS59" s="242" t="s">
        <v>152</v>
      </c>
      <c r="DT59" s="262"/>
      <c r="DU59" s="305" t="str">
        <f>IF(COUNT(DB60:DB68,DH60:DH68,DN60:DN68,DT60:DT68) &gt;0, COUNT(DB60:DB68,DH60:DH68,DN60:DN68,DT60:DT68) /2,"")</f>
        <v/>
      </c>
      <c r="DV59" s="244"/>
      <c r="DW59" s="306">
        <v>5</v>
      </c>
      <c r="DX59" s="245"/>
      <c r="DY59" s="206" t="s">
        <v>154</v>
      </c>
      <c r="DZ59" s="206" t="s">
        <v>158</v>
      </c>
      <c r="EA59" s="242" t="s">
        <v>152</v>
      </c>
      <c r="EB59" s="262"/>
      <c r="EC59" s="300">
        <v>5</v>
      </c>
      <c r="ED59" s="245"/>
      <c r="EE59" s="206" t="s">
        <v>154</v>
      </c>
      <c r="EF59" s="206" t="s">
        <v>158</v>
      </c>
      <c r="EG59" s="242" t="s">
        <v>152</v>
      </c>
      <c r="EH59" s="262"/>
      <c r="EI59" s="300">
        <v>5</v>
      </c>
      <c r="EJ59" s="245"/>
      <c r="EK59" s="206" t="s">
        <v>154</v>
      </c>
      <c r="EL59" s="206" t="s">
        <v>158</v>
      </c>
      <c r="EM59" s="242" t="s">
        <v>152</v>
      </c>
      <c r="EN59" s="262"/>
      <c r="EO59" s="305" t="str">
        <f>IF(COUNT(EB60:EB68,EH60:EH68,EN60:EN68) &gt;0, COUNT(EB60:EB68,EH60:EH68,EN60:EN68) /2,"")</f>
        <v/>
      </c>
      <c r="EP59" s="244"/>
      <c r="EQ59" s="306">
        <v>5</v>
      </c>
      <c r="ER59" s="245"/>
      <c r="ES59" s="206" t="s">
        <v>154</v>
      </c>
      <c r="ET59" s="206" t="s">
        <v>158</v>
      </c>
      <c r="EU59" s="242" t="s">
        <v>152</v>
      </c>
      <c r="EV59" s="262"/>
      <c r="EW59" s="300">
        <v>5</v>
      </c>
      <c r="EX59" s="245"/>
      <c r="EY59" s="206" t="s">
        <v>154</v>
      </c>
      <c r="EZ59" s="206" t="s">
        <v>158</v>
      </c>
      <c r="FA59" s="242" t="s">
        <v>152</v>
      </c>
      <c r="FB59" s="262"/>
      <c r="FC59" s="300">
        <v>5</v>
      </c>
      <c r="FD59" s="245"/>
      <c r="FE59" s="206" t="s">
        <v>154</v>
      </c>
      <c r="FF59" s="206" t="s">
        <v>158</v>
      </c>
      <c r="FG59" s="242" t="s">
        <v>152</v>
      </c>
      <c r="FH59" s="262"/>
      <c r="FI59" s="300">
        <v>5</v>
      </c>
      <c r="FJ59" s="245"/>
      <c r="FK59" s="206" t="s">
        <v>154</v>
      </c>
      <c r="FL59" s="206" t="s">
        <v>158</v>
      </c>
      <c r="FM59" s="242" t="s">
        <v>152</v>
      </c>
      <c r="FN59" s="262"/>
      <c r="FO59" s="305" t="str">
        <f>IF(COUNT(EV60:EV68,FB60:FB68,FH60:FH68,FN60:FN68) &gt;0, COUNT(EV60:EV68,FB60:FB68,FH60:FH68,FN60:FN68) /2,"")</f>
        <v/>
      </c>
      <c r="FP59" s="244"/>
    </row>
    <row r="60" spans="1:172" ht="27.75" customHeight="1" x14ac:dyDescent="0.45">
      <c r="A60" s="307"/>
      <c r="B60" s="249" t="s">
        <v>162</v>
      </c>
      <c r="C60" s="41" t="s">
        <v>156</v>
      </c>
      <c r="D60" s="41" t="s">
        <v>175</v>
      </c>
      <c r="E60" s="249" t="s">
        <v>174</v>
      </c>
      <c r="F60" s="250"/>
      <c r="G60" s="301"/>
      <c r="H60" s="249" t="s">
        <v>162</v>
      </c>
      <c r="I60" s="59" t="s">
        <v>155</v>
      </c>
      <c r="J60" s="41" t="s">
        <v>175</v>
      </c>
      <c r="K60" s="249" t="s">
        <v>174</v>
      </c>
      <c r="L60" s="250"/>
      <c r="M60" s="305"/>
      <c r="N60" s="244"/>
      <c r="O60" s="307"/>
      <c r="P60" s="249" t="s">
        <v>162</v>
      </c>
      <c r="Q60" s="59" t="s">
        <v>155</v>
      </c>
      <c r="R60" s="41" t="s">
        <v>175</v>
      </c>
      <c r="S60" s="249" t="s">
        <v>174</v>
      </c>
      <c r="T60" s="250"/>
      <c r="U60" s="301"/>
      <c r="V60" s="249" t="s">
        <v>162</v>
      </c>
      <c r="W60" s="59" t="s">
        <v>155</v>
      </c>
      <c r="X60" s="41" t="s">
        <v>175</v>
      </c>
      <c r="Y60" s="249" t="s">
        <v>174</v>
      </c>
      <c r="Z60" s="250"/>
      <c r="AA60" s="301"/>
      <c r="AB60" s="249" t="s">
        <v>162</v>
      </c>
      <c r="AC60" s="59" t="s">
        <v>155</v>
      </c>
      <c r="AD60" s="41" t="s">
        <v>175</v>
      </c>
      <c r="AE60" s="249" t="s">
        <v>174</v>
      </c>
      <c r="AF60" s="250"/>
      <c r="AG60" s="305"/>
      <c r="AH60" s="244"/>
      <c r="AI60" s="307"/>
      <c r="AJ60" s="249" t="s">
        <v>162</v>
      </c>
      <c r="AK60" s="59" t="s">
        <v>155</v>
      </c>
      <c r="AL60" s="41" t="s">
        <v>175</v>
      </c>
      <c r="AM60" s="249" t="s">
        <v>174</v>
      </c>
      <c r="AN60" s="250"/>
      <c r="AO60" s="301"/>
      <c r="AP60" s="249" t="s">
        <v>162</v>
      </c>
      <c r="AQ60" s="59" t="s">
        <v>155</v>
      </c>
      <c r="AR60" s="41" t="s">
        <v>175</v>
      </c>
      <c r="AS60" s="249" t="s">
        <v>174</v>
      </c>
      <c r="AT60" s="250"/>
      <c r="AU60" s="301"/>
      <c r="AV60" s="249" t="s">
        <v>162</v>
      </c>
      <c r="AW60" s="59" t="s">
        <v>155</v>
      </c>
      <c r="AX60" s="41" t="s">
        <v>175</v>
      </c>
      <c r="AY60" s="249" t="s">
        <v>174</v>
      </c>
      <c r="AZ60" s="250"/>
      <c r="BA60" s="305"/>
      <c r="BB60" s="244"/>
      <c r="BC60" s="307"/>
      <c r="BD60" s="249" t="s">
        <v>162</v>
      </c>
      <c r="BE60" s="59" t="s">
        <v>155</v>
      </c>
      <c r="BF60" s="41" t="s">
        <v>175</v>
      </c>
      <c r="BG60" s="249" t="s">
        <v>174</v>
      </c>
      <c r="BH60" s="250"/>
      <c r="BI60" s="301"/>
      <c r="BJ60" s="249" t="s">
        <v>162</v>
      </c>
      <c r="BK60" s="59" t="s">
        <v>155</v>
      </c>
      <c r="BL60" s="41" t="s">
        <v>175</v>
      </c>
      <c r="BM60" s="249" t="s">
        <v>174</v>
      </c>
      <c r="BN60" s="250"/>
      <c r="BO60" s="301"/>
      <c r="BP60" s="249" t="s">
        <v>162</v>
      </c>
      <c r="BQ60" s="59" t="s">
        <v>155</v>
      </c>
      <c r="BR60" s="41" t="s">
        <v>175</v>
      </c>
      <c r="BS60" s="249" t="s">
        <v>174</v>
      </c>
      <c r="BT60" s="250"/>
      <c r="BU60" s="305"/>
      <c r="BV60" s="244"/>
      <c r="BW60" s="307"/>
      <c r="BX60" s="249" t="s">
        <v>162</v>
      </c>
      <c r="BY60" s="59" t="s">
        <v>155</v>
      </c>
      <c r="BZ60" s="41" t="s">
        <v>175</v>
      </c>
      <c r="CA60" s="249" t="s">
        <v>174</v>
      </c>
      <c r="CB60" s="250"/>
      <c r="CC60" s="301"/>
      <c r="CD60" s="249" t="s">
        <v>162</v>
      </c>
      <c r="CE60" s="59" t="s">
        <v>155</v>
      </c>
      <c r="CF60" s="41" t="s">
        <v>175</v>
      </c>
      <c r="CG60" s="249" t="s">
        <v>174</v>
      </c>
      <c r="CH60" s="250"/>
      <c r="CI60" s="301"/>
      <c r="CJ60" s="249" t="s">
        <v>162</v>
      </c>
      <c r="CK60" s="59" t="s">
        <v>155</v>
      </c>
      <c r="CL60" s="41" t="s">
        <v>175</v>
      </c>
      <c r="CM60" s="249" t="s">
        <v>174</v>
      </c>
      <c r="CN60" s="250"/>
      <c r="CO60" s="301"/>
      <c r="CP60" s="249" t="s">
        <v>162</v>
      </c>
      <c r="CQ60" s="59" t="s">
        <v>155</v>
      </c>
      <c r="CR60" s="41" t="s">
        <v>175</v>
      </c>
      <c r="CS60" s="249" t="s">
        <v>174</v>
      </c>
      <c r="CT60" s="250"/>
      <c r="CU60" s="305"/>
      <c r="CV60" s="244"/>
      <c r="CW60" s="307"/>
      <c r="CX60" s="249" t="s">
        <v>162</v>
      </c>
      <c r="CY60" s="59" t="s">
        <v>155</v>
      </c>
      <c r="CZ60" s="41" t="s">
        <v>175</v>
      </c>
      <c r="DA60" s="249" t="s">
        <v>174</v>
      </c>
      <c r="DB60" s="250"/>
      <c r="DC60" s="301"/>
      <c r="DD60" s="249" t="s">
        <v>162</v>
      </c>
      <c r="DE60" s="59" t="s">
        <v>155</v>
      </c>
      <c r="DF60" s="41" t="s">
        <v>175</v>
      </c>
      <c r="DG60" s="249" t="s">
        <v>174</v>
      </c>
      <c r="DH60" s="250"/>
      <c r="DI60" s="301"/>
      <c r="DJ60" s="249" t="s">
        <v>162</v>
      </c>
      <c r="DK60" s="59" t="s">
        <v>155</v>
      </c>
      <c r="DL60" s="41" t="s">
        <v>175</v>
      </c>
      <c r="DM60" s="249" t="s">
        <v>174</v>
      </c>
      <c r="DN60" s="250"/>
      <c r="DO60" s="301"/>
      <c r="DP60" s="249" t="s">
        <v>162</v>
      </c>
      <c r="DQ60" s="59" t="s">
        <v>155</v>
      </c>
      <c r="DR60" s="41" t="s">
        <v>175</v>
      </c>
      <c r="DS60" s="249" t="s">
        <v>174</v>
      </c>
      <c r="DT60" s="250"/>
      <c r="DU60" s="305"/>
      <c r="DV60" s="244"/>
      <c r="DW60" s="307"/>
      <c r="DX60" s="249" t="s">
        <v>162</v>
      </c>
      <c r="DY60" s="59" t="s">
        <v>155</v>
      </c>
      <c r="DZ60" s="41" t="s">
        <v>175</v>
      </c>
      <c r="EA60" s="249" t="s">
        <v>174</v>
      </c>
      <c r="EB60" s="250"/>
      <c r="EC60" s="301"/>
      <c r="ED60" s="249" t="s">
        <v>162</v>
      </c>
      <c r="EE60" s="59" t="s">
        <v>155</v>
      </c>
      <c r="EF60" s="41" t="s">
        <v>175</v>
      </c>
      <c r="EG60" s="249" t="s">
        <v>174</v>
      </c>
      <c r="EH60" s="250"/>
      <c r="EI60" s="301"/>
      <c r="EJ60" s="249" t="s">
        <v>162</v>
      </c>
      <c r="EK60" s="59" t="s">
        <v>155</v>
      </c>
      <c r="EL60" s="41" t="s">
        <v>175</v>
      </c>
      <c r="EM60" s="249" t="s">
        <v>174</v>
      </c>
      <c r="EN60" s="250"/>
      <c r="EO60" s="305"/>
      <c r="EP60" s="244"/>
      <c r="EQ60" s="307"/>
      <c r="ER60" s="249" t="s">
        <v>162</v>
      </c>
      <c r="ES60" s="59" t="s">
        <v>155</v>
      </c>
      <c r="ET60" s="41" t="s">
        <v>175</v>
      </c>
      <c r="EU60" s="249" t="s">
        <v>174</v>
      </c>
      <c r="EV60" s="250"/>
      <c r="EW60" s="301"/>
      <c r="EX60" s="249" t="s">
        <v>162</v>
      </c>
      <c r="EY60" s="59" t="s">
        <v>155</v>
      </c>
      <c r="EZ60" s="41" t="s">
        <v>175</v>
      </c>
      <c r="FA60" s="249" t="s">
        <v>174</v>
      </c>
      <c r="FB60" s="250"/>
      <c r="FC60" s="301"/>
      <c r="FD60" s="249" t="s">
        <v>162</v>
      </c>
      <c r="FE60" s="59" t="s">
        <v>155</v>
      </c>
      <c r="FF60" s="41" t="s">
        <v>175</v>
      </c>
      <c r="FG60" s="249" t="s">
        <v>174</v>
      </c>
      <c r="FH60" s="250"/>
      <c r="FI60" s="301"/>
      <c r="FJ60" s="249" t="s">
        <v>162</v>
      </c>
      <c r="FK60" s="59" t="s">
        <v>155</v>
      </c>
      <c r="FL60" s="41" t="s">
        <v>175</v>
      </c>
      <c r="FM60" s="249" t="s">
        <v>174</v>
      </c>
      <c r="FN60" s="250"/>
      <c r="FO60" s="305"/>
      <c r="FP60" s="244"/>
    </row>
    <row r="61" spans="1:172" ht="17" x14ac:dyDescent="0.45">
      <c r="A61" s="307"/>
      <c r="B61" s="252">
        <v>1</v>
      </c>
      <c r="C61" s="59">
        <v>0</v>
      </c>
      <c r="D61" s="254">
        <f t="shared" ref="D61:D68" si="312">(C61+$B$59)*$H$3</f>
        <v>80</v>
      </c>
      <c r="E61" s="263">
        <f t="shared" ref="E61:E68" si="313">MOD($F6+D61,$H$2)</f>
        <v>23</v>
      </c>
      <c r="F61" s="264"/>
      <c r="G61" s="301"/>
      <c r="H61" s="226">
        <v>1</v>
      </c>
      <c r="I61" s="59">
        <f t="shared" ref="I61:I68" si="314">IF(F61="", C61,IF(F61=MAX(F$61:F$68),C61+1,0))</f>
        <v>0</v>
      </c>
      <c r="J61" s="254">
        <f t="shared" ref="J61:J68" si="315">(I61+$B$59)*$H$3</f>
        <v>80</v>
      </c>
      <c r="K61" s="263">
        <f t="shared" ref="K61:K68" si="316">MOD($F6+J61,$H$2)</f>
        <v>23</v>
      </c>
      <c r="L61" s="264"/>
      <c r="M61" s="305"/>
      <c r="N61" s="244"/>
      <c r="O61" s="307"/>
      <c r="P61" s="226">
        <v>1</v>
      </c>
      <c r="Q61" s="59">
        <f t="shared" ref="Q61:Q68" si="317">IF(F61="", C61,IF(F61=MAX(F$61:F$68),C61+1,0))</f>
        <v>0</v>
      </c>
      <c r="R61" s="254">
        <f t="shared" ref="R61:R68" si="318">(Q61+$B$59)*$H$3</f>
        <v>80</v>
      </c>
      <c r="S61" s="263">
        <f t="shared" ref="S61:S68" si="319">MOD($F6+R61,$H$2)</f>
        <v>23</v>
      </c>
      <c r="T61" s="264"/>
      <c r="U61" s="301"/>
      <c r="V61" s="226">
        <v>1</v>
      </c>
      <c r="W61" s="59">
        <f t="shared" ref="W61:W68" si="320">IF(T61="", Q61,IF(T61=MAX(T$61:T$68),Q61+1,0))</f>
        <v>0</v>
      </c>
      <c r="X61" s="254">
        <f t="shared" ref="X61:X68" si="321">(W61+$B$59)*$H$3</f>
        <v>80</v>
      </c>
      <c r="Y61" s="263">
        <f t="shared" ref="Y61:Y68" si="322">MOD($F6+X61,$H$2)</f>
        <v>23</v>
      </c>
      <c r="Z61" s="264"/>
      <c r="AA61" s="301"/>
      <c r="AB61" s="226">
        <v>1</v>
      </c>
      <c r="AC61" s="59">
        <f t="shared" ref="AC61:AC68" si="323">IF(Z61="", W61,IF(Z61=MAX(Z$61:Z$68),W61+1,0))</f>
        <v>0</v>
      </c>
      <c r="AD61" s="254">
        <f t="shared" ref="AD61:AD68" si="324">(AC61+$B$59)*$H$3</f>
        <v>80</v>
      </c>
      <c r="AE61" s="263">
        <f t="shared" ref="AE61:AE68" si="325">MOD($F6+AD61,$H$2)</f>
        <v>23</v>
      </c>
      <c r="AF61" s="264"/>
      <c r="AG61" s="305"/>
      <c r="AH61" s="244"/>
      <c r="AI61" s="307"/>
      <c r="AJ61" s="226">
        <v>1</v>
      </c>
      <c r="AK61" s="59">
        <f t="shared" ref="AK61:AK68" si="326">IF(AF61="", AC61,IF(AF61=MAX(AF$61:AF$68),AC61+1,0))</f>
        <v>0</v>
      </c>
      <c r="AL61" s="254">
        <f t="shared" ref="AL61:AL68" si="327">(AK61+$B$59)*$H$3</f>
        <v>80</v>
      </c>
      <c r="AM61" s="263">
        <f t="shared" ref="AM61:AM68" si="328">MOD($F6+AL61,$H$2)</f>
        <v>23</v>
      </c>
      <c r="AN61" s="264"/>
      <c r="AO61" s="301"/>
      <c r="AP61" s="226">
        <v>1</v>
      </c>
      <c r="AQ61" s="59">
        <f t="shared" ref="AQ61:AQ68" si="329">IF(AN61="", AK61,IF(AN61=MAX(AN$61:AN$68),AK61+1,0))</f>
        <v>0</v>
      </c>
      <c r="AR61" s="254">
        <f t="shared" ref="AR61:AR68" si="330">(AQ61+$B$59)*$H$3</f>
        <v>80</v>
      </c>
      <c r="AS61" s="263">
        <f t="shared" ref="AS61:AS68" si="331">MOD($F6+AR61,$H$2)</f>
        <v>23</v>
      </c>
      <c r="AT61" s="264"/>
      <c r="AU61" s="301"/>
      <c r="AV61" s="226">
        <v>1</v>
      </c>
      <c r="AW61" s="59">
        <f t="shared" ref="AW61:AW68" si="332">IF(AT61="", AQ61,IF(AT61=MAX(AT$61:AT$68),AQ61+1,0))</f>
        <v>0</v>
      </c>
      <c r="AX61" s="254">
        <f t="shared" ref="AX61:AX68" si="333">(AW61+$B$59)*$H$3</f>
        <v>80</v>
      </c>
      <c r="AY61" s="263">
        <f t="shared" ref="AY61:AY68" si="334">MOD($F6+AX61,$H$2)</f>
        <v>23</v>
      </c>
      <c r="AZ61" s="264"/>
      <c r="BA61" s="305"/>
      <c r="BB61" s="244"/>
      <c r="BC61" s="307"/>
      <c r="BD61" s="226">
        <v>1</v>
      </c>
      <c r="BE61" s="59">
        <f t="shared" ref="BE61:BE68" si="335">IF(AZ61="", AW61,IF(AZ61=MAX(AZ$61:AZ$68),AW61+1,0))</f>
        <v>0</v>
      </c>
      <c r="BF61" s="254">
        <f t="shared" ref="BF61:BF68" si="336">(BE61+$B$59)*$H$3</f>
        <v>80</v>
      </c>
      <c r="BG61" s="263">
        <f t="shared" ref="BG61:BG68" si="337">MOD($F6+BF61,$H$2)</f>
        <v>23</v>
      </c>
      <c r="BH61" s="264"/>
      <c r="BI61" s="301"/>
      <c r="BJ61" s="226">
        <v>1</v>
      </c>
      <c r="BK61" s="59">
        <f t="shared" ref="BK61:BK68" si="338">IF(BH61="", BE61,IF(BH61=MAX(BH$61:BH$68),BE61+1,0))</f>
        <v>0</v>
      </c>
      <c r="BL61" s="254">
        <f t="shared" ref="BL61:BL68" si="339">(BK61+$B$59)*$H$3</f>
        <v>80</v>
      </c>
      <c r="BM61" s="263">
        <f t="shared" ref="BM61:BM68" si="340">MOD($F6+BL61,$H$2)</f>
        <v>23</v>
      </c>
      <c r="BN61" s="264"/>
      <c r="BO61" s="301"/>
      <c r="BP61" s="226">
        <v>1</v>
      </c>
      <c r="BQ61" s="59">
        <f t="shared" ref="BQ61:BQ68" si="341">IF(BN61="", BK61,IF(BN61=MAX(BN$61:BN$68),BK61+1,0))</f>
        <v>0</v>
      </c>
      <c r="BR61" s="254">
        <f t="shared" ref="BR61:BR68" si="342">(BQ61+$B$59)*$H$3</f>
        <v>80</v>
      </c>
      <c r="BS61" s="263">
        <f t="shared" ref="BS61:BS68" si="343">MOD($F6+BR61,$H$2)</f>
        <v>23</v>
      </c>
      <c r="BT61" s="264"/>
      <c r="BU61" s="305"/>
      <c r="BV61" s="244"/>
      <c r="BW61" s="307"/>
      <c r="BX61" s="226">
        <v>1</v>
      </c>
      <c r="BY61" s="59">
        <f t="shared" ref="BY61:BY68" si="344">IF(BT61="", BQ61,IF(BT61=MAX(BT$61:BT$68),BQ61+1,0))</f>
        <v>0</v>
      </c>
      <c r="BZ61" s="254">
        <f t="shared" ref="BZ61:BZ68" si="345">(BY61+$B$59)*$H$3</f>
        <v>80</v>
      </c>
      <c r="CA61" s="263">
        <f t="shared" ref="CA61:CA68" si="346">MOD($F6+BZ61,$H$2)</f>
        <v>23</v>
      </c>
      <c r="CB61" s="264"/>
      <c r="CC61" s="301"/>
      <c r="CD61" s="226">
        <v>1</v>
      </c>
      <c r="CE61" s="59">
        <f t="shared" ref="CE61:CE68" si="347">IF(CB61="", BY61,IF(CB61=MAX(CB$61:CB$68),BY61+1,0))</f>
        <v>0</v>
      </c>
      <c r="CF61" s="254">
        <f t="shared" ref="CF61:CF68" si="348">(CE61+$B$59)*$H$3</f>
        <v>80</v>
      </c>
      <c r="CG61" s="263">
        <f t="shared" ref="CG61:CG68" si="349">MOD($F6+CF61,$H$2)</f>
        <v>23</v>
      </c>
      <c r="CH61" s="264"/>
      <c r="CI61" s="301"/>
      <c r="CJ61" s="226">
        <v>1</v>
      </c>
      <c r="CK61" s="59">
        <f t="shared" ref="CK61:CK68" si="350">IF(CH61="", CE61,IF(CH61=MAX(CH$61:CH$68),CE61+1,0))</f>
        <v>0</v>
      </c>
      <c r="CL61" s="254">
        <f t="shared" ref="CL61:CL68" si="351">(CK61+$B$59)*$H$3</f>
        <v>80</v>
      </c>
      <c r="CM61" s="263">
        <f t="shared" ref="CM61:CM68" si="352">MOD($F6+CL61,$H$2)</f>
        <v>23</v>
      </c>
      <c r="CN61" s="264"/>
      <c r="CO61" s="301"/>
      <c r="CP61" s="226">
        <v>1</v>
      </c>
      <c r="CQ61" s="59">
        <f t="shared" ref="CQ61:CQ68" si="353">IF(CN61="", CK61,IF(CN61=MAX(CN$61:CN$68),CK61+1,0))</f>
        <v>0</v>
      </c>
      <c r="CR61" s="254">
        <f t="shared" ref="CR61:CR68" si="354">(CQ61+$B$59)*$H$3</f>
        <v>80</v>
      </c>
      <c r="CS61" s="263">
        <f t="shared" ref="CS61:CS68" si="355">MOD($F6+CR61,$H$2)</f>
        <v>23</v>
      </c>
      <c r="CT61" s="264"/>
      <c r="CU61" s="305"/>
      <c r="CV61" s="244"/>
      <c r="CW61" s="307"/>
      <c r="CX61" s="226">
        <v>1</v>
      </c>
      <c r="CY61" s="59">
        <f t="shared" ref="CY61:CY68" si="356">IF(CT61="", CQ61,IF(CT61=MAX(CT$61:CT$68),CQ61+1,0))</f>
        <v>0</v>
      </c>
      <c r="CZ61" s="254">
        <f t="shared" ref="CZ61:CZ68" si="357">(CY61+$B$59)*$H$3</f>
        <v>80</v>
      </c>
      <c r="DA61" s="263">
        <f t="shared" ref="DA61:DA68" si="358">MOD($F6+CZ61,$H$2)</f>
        <v>23</v>
      </c>
      <c r="DB61" s="264"/>
      <c r="DC61" s="301"/>
      <c r="DD61" s="226">
        <v>1</v>
      </c>
      <c r="DE61" s="59">
        <f t="shared" ref="DE61:DE68" si="359">IF(DB61="", CY61,IF(DB61=MAX(DB$61:DB$68),CY61+1,0))</f>
        <v>0</v>
      </c>
      <c r="DF61" s="254">
        <f t="shared" ref="DF61:DF68" si="360">(DE61+$B$59)*$H$3</f>
        <v>80</v>
      </c>
      <c r="DG61" s="263">
        <f t="shared" ref="DG61:DG68" si="361">MOD($F6+DF61,$H$2)</f>
        <v>23</v>
      </c>
      <c r="DH61" s="264"/>
      <c r="DI61" s="301"/>
      <c r="DJ61" s="226">
        <v>1</v>
      </c>
      <c r="DK61" s="59">
        <f t="shared" ref="DK61:DK68" si="362">IF(DH61="", DE61,IF(DH61=MAX(DH$61:DH$68),DE61+1,0))</f>
        <v>0</v>
      </c>
      <c r="DL61" s="254">
        <f t="shared" ref="DL61:DL68" si="363">(DK61+$B$59)*$H$3</f>
        <v>80</v>
      </c>
      <c r="DM61" s="263">
        <f t="shared" ref="DM61:DM68" si="364">MOD($F6+DL61,$H$2)</f>
        <v>23</v>
      </c>
      <c r="DN61" s="264"/>
      <c r="DO61" s="301"/>
      <c r="DP61" s="226">
        <v>1</v>
      </c>
      <c r="DQ61" s="59">
        <f t="shared" ref="DQ61:DQ68" si="365">IF(DN61="", DK61,IF(DN61=MAX(DN$61:DN$68),DK61+1,0))</f>
        <v>0</v>
      </c>
      <c r="DR61" s="254">
        <f t="shared" ref="DR61:DR68" si="366">(DQ61+$B$59)*$H$3</f>
        <v>80</v>
      </c>
      <c r="DS61" s="263">
        <f t="shared" ref="DS61:DS68" si="367">MOD($F6+DR61,$H$2)</f>
        <v>23</v>
      </c>
      <c r="DT61" s="264"/>
      <c r="DU61" s="305"/>
      <c r="DV61" s="244"/>
      <c r="DW61" s="307"/>
      <c r="DX61" s="226">
        <v>1</v>
      </c>
      <c r="DY61" s="59">
        <f t="shared" ref="DY61:DY68" si="368">IF(DN61="", DK61,IF(DN61=MAX(DN$61:DN$68),DK61+1,0))</f>
        <v>0</v>
      </c>
      <c r="DZ61" s="254">
        <f t="shared" ref="DZ61:DZ68" si="369">(DY61+$B$59)*$H$3</f>
        <v>80</v>
      </c>
      <c r="EA61" s="263">
        <f t="shared" ref="EA61:EA68" si="370">MOD($F6+DZ61,$H$2)</f>
        <v>23</v>
      </c>
      <c r="EB61" s="264"/>
      <c r="EC61" s="301"/>
      <c r="ED61" s="226">
        <v>1</v>
      </c>
      <c r="EE61" s="59">
        <f t="shared" ref="EE61:EE68" si="371">IF(EB61="", DY61,IF(EB61=MAX(EB$61:EB$68),DY61+1,0))</f>
        <v>0</v>
      </c>
      <c r="EF61" s="254">
        <f t="shared" ref="EF61:EF68" si="372">(EE61+$B$59)*$H$3</f>
        <v>80</v>
      </c>
      <c r="EG61" s="263">
        <f t="shared" ref="EG61:EG68" si="373">MOD($F6+EF61,$H$2)</f>
        <v>23</v>
      </c>
      <c r="EH61" s="264"/>
      <c r="EI61" s="301"/>
      <c r="EJ61" s="226">
        <v>1</v>
      </c>
      <c r="EK61" s="59">
        <f t="shared" ref="EK61:EK68" si="374">IF(EH61="", EE61,IF(EH61=MAX(EH$61:EH$68),EE61+1,0))</f>
        <v>0</v>
      </c>
      <c r="EL61" s="254">
        <f t="shared" ref="EL61:EL68" si="375">(EK61+$B$59)*$H$3</f>
        <v>80</v>
      </c>
      <c r="EM61" s="263">
        <f t="shared" ref="EM61:EM68" si="376">MOD($F6+EL61,$H$2)</f>
        <v>23</v>
      </c>
      <c r="EN61" s="264"/>
      <c r="EO61" s="305"/>
      <c r="EP61" s="244"/>
      <c r="EQ61" s="307"/>
      <c r="ER61" s="226">
        <v>1</v>
      </c>
      <c r="ES61" s="59">
        <f t="shared" ref="ES61:ES68" si="377">IF(EN61="", EK61,IF(EN61=MAX(EN$61:EN$68),EK61+1,0))</f>
        <v>0</v>
      </c>
      <c r="ET61" s="254">
        <f t="shared" ref="ET61:ET68" si="378">(ES61+$B$59)*$H$3</f>
        <v>80</v>
      </c>
      <c r="EU61" s="263">
        <f t="shared" ref="EU61:EU68" si="379">MOD($F6+ET61,$H$2)</f>
        <v>23</v>
      </c>
      <c r="EV61" s="264"/>
      <c r="EW61" s="301"/>
      <c r="EX61" s="226">
        <v>1</v>
      </c>
      <c r="EY61" s="59">
        <f t="shared" ref="EY61:EY68" si="380">IF(EV61="", ES61,IF(EV61=MAX(EV$61:EV$68),ES61+1,0))</f>
        <v>0</v>
      </c>
      <c r="EZ61" s="254">
        <f t="shared" ref="EZ61:EZ68" si="381">(EY61+$B$59)*$H$3</f>
        <v>80</v>
      </c>
      <c r="FA61" s="263">
        <f t="shared" ref="FA61:FA68" si="382">MOD($F6+EZ61,$H$2)</f>
        <v>23</v>
      </c>
      <c r="FB61" s="264"/>
      <c r="FC61" s="301"/>
      <c r="FD61" s="226">
        <v>1</v>
      </c>
      <c r="FE61" s="59">
        <f t="shared" ref="FE61:FE68" si="383">IF(FB61="", EY61,IF(FB61=MAX(FB$61:FB$68),EY61+1,0))</f>
        <v>0</v>
      </c>
      <c r="FF61" s="254">
        <f t="shared" ref="FF61:FF68" si="384">(FE61+$B$59)*$H$3</f>
        <v>80</v>
      </c>
      <c r="FG61" s="263">
        <f t="shared" ref="FG61:FG68" si="385">MOD($F6+FF61,$H$2)</f>
        <v>23</v>
      </c>
      <c r="FH61" s="264"/>
      <c r="FI61" s="301"/>
      <c r="FJ61" s="226">
        <v>1</v>
      </c>
      <c r="FK61" s="59">
        <f t="shared" ref="FK61:FK68" si="386">IF(FH61="", FE61,IF(FH61=MAX(FH$61:FH$68),FE61+1,0))</f>
        <v>0</v>
      </c>
      <c r="FL61" s="254">
        <f t="shared" ref="FL61:FL68" si="387">(FK61+$B$59)*$H$3</f>
        <v>80</v>
      </c>
      <c r="FM61" s="263">
        <f t="shared" ref="FM61:FM68" si="388">MOD($F6+FL61,$H$2)</f>
        <v>23</v>
      </c>
      <c r="FN61" s="264"/>
      <c r="FO61" s="305"/>
      <c r="FP61" s="244"/>
    </row>
    <row r="62" spans="1:172" ht="17" x14ac:dyDescent="0.45">
      <c r="A62" s="307"/>
      <c r="B62" s="257">
        <v>2</v>
      </c>
      <c r="C62" s="59">
        <v>0</v>
      </c>
      <c r="D62" s="254">
        <f t="shared" si="312"/>
        <v>80</v>
      </c>
      <c r="E62" s="263">
        <f t="shared" si="313"/>
        <v>19</v>
      </c>
      <c r="F62" s="248"/>
      <c r="G62" s="301"/>
      <c r="H62" s="226">
        <v>2</v>
      </c>
      <c r="I62" s="59">
        <f t="shared" si="314"/>
        <v>0</v>
      </c>
      <c r="J62" s="254">
        <f t="shared" si="315"/>
        <v>80</v>
      </c>
      <c r="K62" s="263">
        <f t="shared" si="316"/>
        <v>19</v>
      </c>
      <c r="L62" s="248"/>
      <c r="M62" s="305"/>
      <c r="N62" s="244"/>
      <c r="O62" s="307"/>
      <c r="P62" s="226">
        <v>2</v>
      </c>
      <c r="Q62" s="59">
        <f t="shared" si="317"/>
        <v>0</v>
      </c>
      <c r="R62" s="254">
        <f t="shared" si="318"/>
        <v>80</v>
      </c>
      <c r="S62" s="263">
        <f t="shared" si="319"/>
        <v>19</v>
      </c>
      <c r="T62" s="248"/>
      <c r="U62" s="301"/>
      <c r="V62" s="226">
        <v>2</v>
      </c>
      <c r="W62" s="59">
        <f t="shared" si="320"/>
        <v>0</v>
      </c>
      <c r="X62" s="254">
        <f t="shared" si="321"/>
        <v>80</v>
      </c>
      <c r="Y62" s="263">
        <f t="shared" si="322"/>
        <v>19</v>
      </c>
      <c r="Z62" s="248"/>
      <c r="AA62" s="301"/>
      <c r="AB62" s="226">
        <v>2</v>
      </c>
      <c r="AC62" s="59">
        <f t="shared" si="323"/>
        <v>0</v>
      </c>
      <c r="AD62" s="254">
        <f t="shared" si="324"/>
        <v>80</v>
      </c>
      <c r="AE62" s="263">
        <f t="shared" si="325"/>
        <v>19</v>
      </c>
      <c r="AF62" s="248"/>
      <c r="AG62" s="305"/>
      <c r="AH62" s="244"/>
      <c r="AI62" s="307"/>
      <c r="AJ62" s="226">
        <v>2</v>
      </c>
      <c r="AK62" s="59">
        <f t="shared" si="326"/>
        <v>0</v>
      </c>
      <c r="AL62" s="254">
        <f t="shared" si="327"/>
        <v>80</v>
      </c>
      <c r="AM62" s="263">
        <f t="shared" si="328"/>
        <v>19</v>
      </c>
      <c r="AN62" s="248"/>
      <c r="AO62" s="301"/>
      <c r="AP62" s="226">
        <v>2</v>
      </c>
      <c r="AQ62" s="59">
        <f t="shared" si="329"/>
        <v>0</v>
      </c>
      <c r="AR62" s="254">
        <f t="shared" si="330"/>
        <v>80</v>
      </c>
      <c r="AS62" s="263">
        <f t="shared" si="331"/>
        <v>19</v>
      </c>
      <c r="AT62" s="248">
        <v>18</v>
      </c>
      <c r="AU62" s="301"/>
      <c r="AV62" s="226">
        <v>2</v>
      </c>
      <c r="AW62" s="59">
        <f t="shared" si="332"/>
        <v>1</v>
      </c>
      <c r="AX62" s="254">
        <f t="shared" si="333"/>
        <v>88</v>
      </c>
      <c r="AY62" s="263">
        <f t="shared" si="334"/>
        <v>27</v>
      </c>
      <c r="AZ62" s="248"/>
      <c r="BA62" s="305"/>
      <c r="BB62" s="244"/>
      <c r="BC62" s="307"/>
      <c r="BD62" s="226">
        <v>2</v>
      </c>
      <c r="BE62" s="59">
        <f t="shared" si="335"/>
        <v>1</v>
      </c>
      <c r="BF62" s="254">
        <f t="shared" si="336"/>
        <v>88</v>
      </c>
      <c r="BG62" s="263">
        <f t="shared" si="337"/>
        <v>27</v>
      </c>
      <c r="BH62" s="248"/>
      <c r="BI62" s="301"/>
      <c r="BJ62" s="226">
        <v>2</v>
      </c>
      <c r="BK62" s="59">
        <f t="shared" si="338"/>
        <v>1</v>
      </c>
      <c r="BL62" s="254">
        <f t="shared" si="339"/>
        <v>88</v>
      </c>
      <c r="BM62" s="263">
        <f t="shared" si="340"/>
        <v>27</v>
      </c>
      <c r="BN62" s="248"/>
      <c r="BO62" s="301"/>
      <c r="BP62" s="226">
        <v>2</v>
      </c>
      <c r="BQ62" s="59">
        <f t="shared" si="341"/>
        <v>1</v>
      </c>
      <c r="BR62" s="254">
        <f t="shared" si="342"/>
        <v>88</v>
      </c>
      <c r="BS62" s="263">
        <f t="shared" si="343"/>
        <v>27</v>
      </c>
      <c r="BT62" s="248"/>
      <c r="BU62" s="305"/>
      <c r="BV62" s="244"/>
      <c r="BW62" s="307"/>
      <c r="BX62" s="226">
        <v>2</v>
      </c>
      <c r="BY62" s="59">
        <f t="shared" si="344"/>
        <v>1</v>
      </c>
      <c r="BZ62" s="254">
        <f t="shared" si="345"/>
        <v>88</v>
      </c>
      <c r="CA62" s="263">
        <f t="shared" si="346"/>
        <v>27</v>
      </c>
      <c r="CB62" s="248"/>
      <c r="CC62" s="301"/>
      <c r="CD62" s="226">
        <v>2</v>
      </c>
      <c r="CE62" s="59">
        <f t="shared" si="347"/>
        <v>1</v>
      </c>
      <c r="CF62" s="254">
        <f t="shared" si="348"/>
        <v>88</v>
      </c>
      <c r="CG62" s="263">
        <f t="shared" si="349"/>
        <v>27</v>
      </c>
      <c r="CH62" s="248"/>
      <c r="CI62" s="301"/>
      <c r="CJ62" s="226">
        <v>2</v>
      </c>
      <c r="CK62" s="59">
        <f t="shared" si="350"/>
        <v>1</v>
      </c>
      <c r="CL62" s="254">
        <f t="shared" si="351"/>
        <v>88</v>
      </c>
      <c r="CM62" s="263">
        <f t="shared" si="352"/>
        <v>27</v>
      </c>
      <c r="CN62" s="248"/>
      <c r="CO62" s="301"/>
      <c r="CP62" s="226">
        <v>2</v>
      </c>
      <c r="CQ62" s="59">
        <f t="shared" si="353"/>
        <v>1</v>
      </c>
      <c r="CR62" s="254">
        <f t="shared" si="354"/>
        <v>88</v>
      </c>
      <c r="CS62" s="263">
        <f t="shared" si="355"/>
        <v>27</v>
      </c>
      <c r="CT62" s="248"/>
      <c r="CU62" s="305"/>
      <c r="CV62" s="244"/>
      <c r="CW62" s="307"/>
      <c r="CX62" s="226">
        <v>2</v>
      </c>
      <c r="CY62" s="59">
        <f t="shared" si="356"/>
        <v>1</v>
      </c>
      <c r="CZ62" s="254">
        <f t="shared" si="357"/>
        <v>88</v>
      </c>
      <c r="DA62" s="263">
        <f t="shared" si="358"/>
        <v>27</v>
      </c>
      <c r="DB62" s="248"/>
      <c r="DC62" s="301"/>
      <c r="DD62" s="226">
        <v>2</v>
      </c>
      <c r="DE62" s="59">
        <f t="shared" si="359"/>
        <v>1</v>
      </c>
      <c r="DF62" s="254">
        <f t="shared" si="360"/>
        <v>88</v>
      </c>
      <c r="DG62" s="263">
        <f t="shared" si="361"/>
        <v>27</v>
      </c>
      <c r="DH62" s="248"/>
      <c r="DI62" s="301"/>
      <c r="DJ62" s="226">
        <v>2</v>
      </c>
      <c r="DK62" s="59">
        <f t="shared" si="362"/>
        <v>1</v>
      </c>
      <c r="DL62" s="254">
        <f t="shared" si="363"/>
        <v>88</v>
      </c>
      <c r="DM62" s="263">
        <f t="shared" si="364"/>
        <v>27</v>
      </c>
      <c r="DN62" s="248"/>
      <c r="DO62" s="301"/>
      <c r="DP62" s="226">
        <v>2</v>
      </c>
      <c r="DQ62" s="59">
        <f t="shared" si="365"/>
        <v>1</v>
      </c>
      <c r="DR62" s="254">
        <f t="shared" si="366"/>
        <v>88</v>
      </c>
      <c r="DS62" s="263">
        <f t="shared" si="367"/>
        <v>27</v>
      </c>
      <c r="DT62" s="248"/>
      <c r="DU62" s="305"/>
      <c r="DV62" s="244"/>
      <c r="DW62" s="307"/>
      <c r="DX62" s="226">
        <v>2</v>
      </c>
      <c r="DY62" s="59">
        <f t="shared" si="368"/>
        <v>1</v>
      </c>
      <c r="DZ62" s="254">
        <f t="shared" si="369"/>
        <v>88</v>
      </c>
      <c r="EA62" s="263">
        <f t="shared" si="370"/>
        <v>27</v>
      </c>
      <c r="EB62" s="248"/>
      <c r="EC62" s="301"/>
      <c r="ED62" s="226">
        <v>2</v>
      </c>
      <c r="EE62" s="59">
        <f t="shared" si="371"/>
        <v>1</v>
      </c>
      <c r="EF62" s="254">
        <f t="shared" si="372"/>
        <v>88</v>
      </c>
      <c r="EG62" s="263">
        <f t="shared" si="373"/>
        <v>27</v>
      </c>
      <c r="EH62" s="248"/>
      <c r="EI62" s="301"/>
      <c r="EJ62" s="226">
        <v>2</v>
      </c>
      <c r="EK62" s="59">
        <f t="shared" si="374"/>
        <v>1</v>
      </c>
      <c r="EL62" s="254">
        <f t="shared" si="375"/>
        <v>88</v>
      </c>
      <c r="EM62" s="263">
        <f t="shared" si="376"/>
        <v>27</v>
      </c>
      <c r="EN62" s="248"/>
      <c r="EO62" s="305"/>
      <c r="EP62" s="244"/>
      <c r="EQ62" s="307"/>
      <c r="ER62" s="226">
        <v>2</v>
      </c>
      <c r="ES62" s="59">
        <f t="shared" si="377"/>
        <v>1</v>
      </c>
      <c r="ET62" s="254">
        <f t="shared" si="378"/>
        <v>88</v>
      </c>
      <c r="EU62" s="263">
        <f t="shared" si="379"/>
        <v>27</v>
      </c>
      <c r="EV62" s="248"/>
      <c r="EW62" s="301"/>
      <c r="EX62" s="226">
        <v>2</v>
      </c>
      <c r="EY62" s="59">
        <f t="shared" si="380"/>
        <v>1</v>
      </c>
      <c r="EZ62" s="254">
        <f t="shared" si="381"/>
        <v>88</v>
      </c>
      <c r="FA62" s="263">
        <f t="shared" si="382"/>
        <v>27</v>
      </c>
      <c r="FB62" s="248"/>
      <c r="FC62" s="301"/>
      <c r="FD62" s="226">
        <v>2</v>
      </c>
      <c r="FE62" s="59">
        <f t="shared" si="383"/>
        <v>1</v>
      </c>
      <c r="FF62" s="254">
        <f t="shared" si="384"/>
        <v>88</v>
      </c>
      <c r="FG62" s="263">
        <f t="shared" si="385"/>
        <v>27</v>
      </c>
      <c r="FH62" s="248"/>
      <c r="FI62" s="301"/>
      <c r="FJ62" s="226">
        <v>2</v>
      </c>
      <c r="FK62" s="59">
        <f t="shared" si="386"/>
        <v>1</v>
      </c>
      <c r="FL62" s="254">
        <f t="shared" si="387"/>
        <v>88</v>
      </c>
      <c r="FM62" s="263">
        <f t="shared" si="388"/>
        <v>27</v>
      </c>
      <c r="FN62" s="248"/>
      <c r="FO62" s="305"/>
      <c r="FP62" s="244"/>
    </row>
    <row r="63" spans="1:172" ht="17" x14ac:dyDescent="0.45">
      <c r="A63" s="307"/>
      <c r="B63" s="257">
        <v>3</v>
      </c>
      <c r="C63" s="59">
        <v>0</v>
      </c>
      <c r="D63" s="254">
        <f t="shared" si="312"/>
        <v>80</v>
      </c>
      <c r="E63" s="263">
        <f t="shared" si="313"/>
        <v>30</v>
      </c>
      <c r="F63" s="248"/>
      <c r="G63" s="301"/>
      <c r="H63" s="226">
        <v>3</v>
      </c>
      <c r="I63" s="59">
        <f t="shared" si="314"/>
        <v>0</v>
      </c>
      <c r="J63" s="254">
        <f t="shared" si="315"/>
        <v>80</v>
      </c>
      <c r="K63" s="263">
        <f t="shared" si="316"/>
        <v>30</v>
      </c>
      <c r="L63" s="248"/>
      <c r="M63" s="305"/>
      <c r="N63" s="244"/>
      <c r="O63" s="307"/>
      <c r="P63" s="226">
        <v>3</v>
      </c>
      <c r="Q63" s="59">
        <f t="shared" si="317"/>
        <v>0</v>
      </c>
      <c r="R63" s="254">
        <f t="shared" si="318"/>
        <v>80</v>
      </c>
      <c r="S63" s="263">
        <f t="shared" si="319"/>
        <v>30</v>
      </c>
      <c r="T63" s="248"/>
      <c r="U63" s="301"/>
      <c r="V63" s="226">
        <v>3</v>
      </c>
      <c r="W63" s="59">
        <f t="shared" si="320"/>
        <v>0</v>
      </c>
      <c r="X63" s="254">
        <f t="shared" si="321"/>
        <v>80</v>
      </c>
      <c r="Y63" s="263">
        <f t="shared" si="322"/>
        <v>30</v>
      </c>
      <c r="Z63" s="248"/>
      <c r="AA63" s="301"/>
      <c r="AB63" s="226">
        <v>3</v>
      </c>
      <c r="AC63" s="59">
        <f t="shared" si="323"/>
        <v>0</v>
      </c>
      <c r="AD63" s="254">
        <f t="shared" si="324"/>
        <v>80</v>
      </c>
      <c r="AE63" s="263">
        <f t="shared" si="325"/>
        <v>30</v>
      </c>
      <c r="AF63" s="248"/>
      <c r="AG63" s="305"/>
      <c r="AH63" s="244"/>
      <c r="AI63" s="307"/>
      <c r="AJ63" s="226">
        <v>3</v>
      </c>
      <c r="AK63" s="59">
        <f t="shared" si="326"/>
        <v>0</v>
      </c>
      <c r="AL63" s="254">
        <f t="shared" si="327"/>
        <v>80</v>
      </c>
      <c r="AM63" s="263">
        <f t="shared" si="328"/>
        <v>30</v>
      </c>
      <c r="AN63" s="248"/>
      <c r="AO63" s="301"/>
      <c r="AP63" s="226">
        <v>3</v>
      </c>
      <c r="AQ63" s="59">
        <f t="shared" si="329"/>
        <v>0</v>
      </c>
      <c r="AR63" s="254">
        <f t="shared" si="330"/>
        <v>80</v>
      </c>
      <c r="AS63" s="263">
        <f t="shared" si="331"/>
        <v>30</v>
      </c>
      <c r="AT63" s="248"/>
      <c r="AU63" s="301"/>
      <c r="AV63" s="226">
        <v>3</v>
      </c>
      <c r="AW63" s="59">
        <f t="shared" si="332"/>
        <v>0</v>
      </c>
      <c r="AX63" s="254">
        <f t="shared" si="333"/>
        <v>80</v>
      </c>
      <c r="AY63" s="263">
        <f t="shared" si="334"/>
        <v>30</v>
      </c>
      <c r="AZ63" s="248"/>
      <c r="BA63" s="305"/>
      <c r="BB63" s="244"/>
      <c r="BC63" s="307"/>
      <c r="BD63" s="226">
        <v>3</v>
      </c>
      <c r="BE63" s="59">
        <f t="shared" si="335"/>
        <v>0</v>
      </c>
      <c r="BF63" s="254">
        <f t="shared" si="336"/>
        <v>80</v>
      </c>
      <c r="BG63" s="263">
        <f t="shared" si="337"/>
        <v>30</v>
      </c>
      <c r="BH63" s="248"/>
      <c r="BI63" s="301"/>
      <c r="BJ63" s="226">
        <v>3</v>
      </c>
      <c r="BK63" s="59">
        <f t="shared" si="338"/>
        <v>0</v>
      </c>
      <c r="BL63" s="254">
        <f t="shared" si="339"/>
        <v>80</v>
      </c>
      <c r="BM63" s="263">
        <f t="shared" si="340"/>
        <v>30</v>
      </c>
      <c r="BN63" s="248"/>
      <c r="BO63" s="301"/>
      <c r="BP63" s="226">
        <v>3</v>
      </c>
      <c r="BQ63" s="59">
        <f t="shared" si="341"/>
        <v>0</v>
      </c>
      <c r="BR63" s="254">
        <f t="shared" si="342"/>
        <v>80</v>
      </c>
      <c r="BS63" s="263">
        <f t="shared" si="343"/>
        <v>30</v>
      </c>
      <c r="BT63" s="248"/>
      <c r="BU63" s="305"/>
      <c r="BV63" s="244"/>
      <c r="BW63" s="307"/>
      <c r="BX63" s="226">
        <v>3</v>
      </c>
      <c r="BY63" s="59">
        <f t="shared" si="344"/>
        <v>0</v>
      </c>
      <c r="BZ63" s="254">
        <f t="shared" si="345"/>
        <v>80</v>
      </c>
      <c r="CA63" s="263">
        <f t="shared" si="346"/>
        <v>30</v>
      </c>
      <c r="CB63" s="248"/>
      <c r="CC63" s="301"/>
      <c r="CD63" s="226">
        <v>3</v>
      </c>
      <c r="CE63" s="59">
        <f t="shared" si="347"/>
        <v>0</v>
      </c>
      <c r="CF63" s="254">
        <f t="shared" si="348"/>
        <v>80</v>
      </c>
      <c r="CG63" s="263">
        <f t="shared" si="349"/>
        <v>30</v>
      </c>
      <c r="CH63" s="248"/>
      <c r="CI63" s="301"/>
      <c r="CJ63" s="226">
        <v>3</v>
      </c>
      <c r="CK63" s="59">
        <f t="shared" si="350"/>
        <v>0</v>
      </c>
      <c r="CL63" s="254">
        <f t="shared" si="351"/>
        <v>80</v>
      </c>
      <c r="CM63" s="263">
        <f t="shared" si="352"/>
        <v>30</v>
      </c>
      <c r="CN63" s="248"/>
      <c r="CO63" s="301"/>
      <c r="CP63" s="226">
        <v>3</v>
      </c>
      <c r="CQ63" s="59">
        <f t="shared" si="353"/>
        <v>0</v>
      </c>
      <c r="CR63" s="254">
        <f t="shared" si="354"/>
        <v>80</v>
      </c>
      <c r="CS63" s="263">
        <f t="shared" si="355"/>
        <v>30</v>
      </c>
      <c r="CT63" s="248"/>
      <c r="CU63" s="305"/>
      <c r="CV63" s="244"/>
      <c r="CW63" s="307"/>
      <c r="CX63" s="226">
        <v>3</v>
      </c>
      <c r="CY63" s="59">
        <f t="shared" si="356"/>
        <v>0</v>
      </c>
      <c r="CZ63" s="254">
        <f t="shared" si="357"/>
        <v>80</v>
      </c>
      <c r="DA63" s="263">
        <f t="shared" si="358"/>
        <v>30</v>
      </c>
      <c r="DB63" s="248"/>
      <c r="DC63" s="301"/>
      <c r="DD63" s="226">
        <v>3</v>
      </c>
      <c r="DE63" s="59">
        <f t="shared" si="359"/>
        <v>0</v>
      </c>
      <c r="DF63" s="254">
        <f t="shared" si="360"/>
        <v>80</v>
      </c>
      <c r="DG63" s="263">
        <f t="shared" si="361"/>
        <v>30</v>
      </c>
      <c r="DH63" s="248"/>
      <c r="DI63" s="301"/>
      <c r="DJ63" s="226">
        <v>3</v>
      </c>
      <c r="DK63" s="59">
        <f t="shared" si="362"/>
        <v>0</v>
      </c>
      <c r="DL63" s="254">
        <f t="shared" si="363"/>
        <v>80</v>
      </c>
      <c r="DM63" s="263">
        <f t="shared" si="364"/>
        <v>30</v>
      </c>
      <c r="DN63" s="248"/>
      <c r="DO63" s="301"/>
      <c r="DP63" s="226">
        <v>3</v>
      </c>
      <c r="DQ63" s="59">
        <f t="shared" si="365"/>
        <v>0</v>
      </c>
      <c r="DR63" s="254">
        <f t="shared" si="366"/>
        <v>80</v>
      </c>
      <c r="DS63" s="263">
        <f t="shared" si="367"/>
        <v>30</v>
      </c>
      <c r="DT63" s="248"/>
      <c r="DU63" s="305"/>
      <c r="DV63" s="244"/>
      <c r="DW63" s="307"/>
      <c r="DX63" s="226">
        <v>3</v>
      </c>
      <c r="DY63" s="59">
        <f t="shared" si="368"/>
        <v>0</v>
      </c>
      <c r="DZ63" s="254">
        <f t="shared" si="369"/>
        <v>80</v>
      </c>
      <c r="EA63" s="263">
        <f t="shared" si="370"/>
        <v>30</v>
      </c>
      <c r="EB63" s="248"/>
      <c r="EC63" s="301"/>
      <c r="ED63" s="226">
        <v>3</v>
      </c>
      <c r="EE63" s="59">
        <f t="shared" si="371"/>
        <v>0</v>
      </c>
      <c r="EF63" s="254">
        <f t="shared" si="372"/>
        <v>80</v>
      </c>
      <c r="EG63" s="263">
        <f t="shared" si="373"/>
        <v>30</v>
      </c>
      <c r="EH63" s="248"/>
      <c r="EI63" s="301"/>
      <c r="EJ63" s="226">
        <v>3</v>
      </c>
      <c r="EK63" s="59">
        <f t="shared" si="374"/>
        <v>0</v>
      </c>
      <c r="EL63" s="254">
        <f t="shared" si="375"/>
        <v>80</v>
      </c>
      <c r="EM63" s="263">
        <f t="shared" si="376"/>
        <v>30</v>
      </c>
      <c r="EN63" s="248"/>
      <c r="EO63" s="305"/>
      <c r="EP63" s="244"/>
      <c r="EQ63" s="307"/>
      <c r="ER63" s="226">
        <v>3</v>
      </c>
      <c r="ES63" s="59">
        <f t="shared" si="377"/>
        <v>0</v>
      </c>
      <c r="ET63" s="254">
        <f t="shared" si="378"/>
        <v>80</v>
      </c>
      <c r="EU63" s="263">
        <f t="shared" si="379"/>
        <v>30</v>
      </c>
      <c r="EV63" s="248"/>
      <c r="EW63" s="301"/>
      <c r="EX63" s="226">
        <v>3</v>
      </c>
      <c r="EY63" s="59">
        <f t="shared" si="380"/>
        <v>0</v>
      </c>
      <c r="EZ63" s="254">
        <f t="shared" si="381"/>
        <v>80</v>
      </c>
      <c r="FA63" s="263">
        <f t="shared" si="382"/>
        <v>30</v>
      </c>
      <c r="FB63" s="248"/>
      <c r="FC63" s="301"/>
      <c r="FD63" s="226">
        <v>3</v>
      </c>
      <c r="FE63" s="59">
        <f t="shared" si="383"/>
        <v>0</v>
      </c>
      <c r="FF63" s="254">
        <f t="shared" si="384"/>
        <v>80</v>
      </c>
      <c r="FG63" s="263">
        <f t="shared" si="385"/>
        <v>30</v>
      </c>
      <c r="FH63" s="248"/>
      <c r="FI63" s="301"/>
      <c r="FJ63" s="226">
        <v>3</v>
      </c>
      <c r="FK63" s="59">
        <f t="shared" si="386"/>
        <v>0</v>
      </c>
      <c r="FL63" s="254">
        <f t="shared" si="387"/>
        <v>80</v>
      </c>
      <c r="FM63" s="263">
        <f t="shared" si="388"/>
        <v>30</v>
      </c>
      <c r="FN63" s="248"/>
      <c r="FO63" s="305"/>
      <c r="FP63" s="244"/>
    </row>
    <row r="64" spans="1:172" ht="17" x14ac:dyDescent="0.45">
      <c r="A64" s="307"/>
      <c r="B64" s="257">
        <v>4</v>
      </c>
      <c r="C64" s="59">
        <v>0</v>
      </c>
      <c r="D64" s="254">
        <f t="shared" si="312"/>
        <v>80</v>
      </c>
      <c r="E64" s="263">
        <f t="shared" si="313"/>
        <v>26</v>
      </c>
      <c r="F64" s="248"/>
      <c r="G64" s="301"/>
      <c r="H64" s="226">
        <v>4</v>
      </c>
      <c r="I64" s="59">
        <f t="shared" si="314"/>
        <v>0</v>
      </c>
      <c r="J64" s="254">
        <f t="shared" si="315"/>
        <v>80</v>
      </c>
      <c r="K64" s="263">
        <f t="shared" si="316"/>
        <v>26</v>
      </c>
      <c r="L64" s="248"/>
      <c r="M64" s="305"/>
      <c r="N64" s="244"/>
      <c r="O64" s="307"/>
      <c r="P64" s="226">
        <v>4</v>
      </c>
      <c r="Q64" s="59">
        <f t="shared" si="317"/>
        <v>0</v>
      </c>
      <c r="R64" s="254">
        <f t="shared" si="318"/>
        <v>80</v>
      </c>
      <c r="S64" s="263">
        <f t="shared" si="319"/>
        <v>26</v>
      </c>
      <c r="T64" s="248"/>
      <c r="U64" s="301"/>
      <c r="V64" s="226">
        <v>4</v>
      </c>
      <c r="W64" s="59">
        <f t="shared" si="320"/>
        <v>0</v>
      </c>
      <c r="X64" s="254">
        <f t="shared" si="321"/>
        <v>80</v>
      </c>
      <c r="Y64" s="263">
        <f t="shared" si="322"/>
        <v>26</v>
      </c>
      <c r="Z64" s="248"/>
      <c r="AA64" s="301"/>
      <c r="AB64" s="226">
        <v>4</v>
      </c>
      <c r="AC64" s="59">
        <f t="shared" si="323"/>
        <v>0</v>
      </c>
      <c r="AD64" s="254">
        <f t="shared" si="324"/>
        <v>80</v>
      </c>
      <c r="AE64" s="263">
        <f t="shared" si="325"/>
        <v>26</v>
      </c>
      <c r="AF64" s="248"/>
      <c r="AG64" s="305"/>
      <c r="AH64" s="244"/>
      <c r="AI64" s="307"/>
      <c r="AJ64" s="226">
        <v>4</v>
      </c>
      <c r="AK64" s="59">
        <f t="shared" si="326"/>
        <v>0</v>
      </c>
      <c r="AL64" s="254">
        <f t="shared" si="327"/>
        <v>80</v>
      </c>
      <c r="AM64" s="263">
        <f t="shared" si="328"/>
        <v>26</v>
      </c>
      <c r="AN64" s="248"/>
      <c r="AO64" s="301"/>
      <c r="AP64" s="226">
        <v>4</v>
      </c>
      <c r="AQ64" s="59">
        <f t="shared" si="329"/>
        <v>0</v>
      </c>
      <c r="AR64" s="254">
        <f t="shared" si="330"/>
        <v>80</v>
      </c>
      <c r="AS64" s="263">
        <f t="shared" si="331"/>
        <v>26</v>
      </c>
      <c r="AT64" s="248"/>
      <c r="AU64" s="301"/>
      <c r="AV64" s="226">
        <v>4</v>
      </c>
      <c r="AW64" s="59">
        <f t="shared" si="332"/>
        <v>0</v>
      </c>
      <c r="AX64" s="254">
        <f t="shared" si="333"/>
        <v>80</v>
      </c>
      <c r="AY64" s="263">
        <f t="shared" si="334"/>
        <v>26</v>
      </c>
      <c r="AZ64" s="248"/>
      <c r="BA64" s="305"/>
      <c r="BB64" s="244"/>
      <c r="BC64" s="307"/>
      <c r="BD64" s="226">
        <v>4</v>
      </c>
      <c r="BE64" s="59">
        <f t="shared" si="335"/>
        <v>0</v>
      </c>
      <c r="BF64" s="254">
        <f t="shared" si="336"/>
        <v>80</v>
      </c>
      <c r="BG64" s="263">
        <f t="shared" si="337"/>
        <v>26</v>
      </c>
      <c r="BH64" s="248"/>
      <c r="BI64" s="301"/>
      <c r="BJ64" s="226">
        <v>4</v>
      </c>
      <c r="BK64" s="59">
        <f t="shared" si="338"/>
        <v>0</v>
      </c>
      <c r="BL64" s="254">
        <f t="shared" si="339"/>
        <v>80</v>
      </c>
      <c r="BM64" s="263">
        <f t="shared" si="340"/>
        <v>26</v>
      </c>
      <c r="BN64" s="248"/>
      <c r="BO64" s="301"/>
      <c r="BP64" s="226">
        <v>4</v>
      </c>
      <c r="BQ64" s="59">
        <f t="shared" si="341"/>
        <v>0</v>
      </c>
      <c r="BR64" s="254">
        <f t="shared" si="342"/>
        <v>80</v>
      </c>
      <c r="BS64" s="263">
        <f t="shared" si="343"/>
        <v>26</v>
      </c>
      <c r="BT64" s="248"/>
      <c r="BU64" s="305"/>
      <c r="BV64" s="244"/>
      <c r="BW64" s="307"/>
      <c r="BX64" s="226">
        <v>4</v>
      </c>
      <c r="BY64" s="59">
        <f t="shared" si="344"/>
        <v>0</v>
      </c>
      <c r="BZ64" s="254">
        <f t="shared" si="345"/>
        <v>80</v>
      </c>
      <c r="CA64" s="263">
        <f t="shared" si="346"/>
        <v>26</v>
      </c>
      <c r="CB64" s="248"/>
      <c r="CC64" s="301"/>
      <c r="CD64" s="226">
        <v>4</v>
      </c>
      <c r="CE64" s="59">
        <f t="shared" si="347"/>
        <v>0</v>
      </c>
      <c r="CF64" s="254">
        <f t="shared" si="348"/>
        <v>80</v>
      </c>
      <c r="CG64" s="263">
        <f t="shared" si="349"/>
        <v>26</v>
      </c>
      <c r="CH64" s="248"/>
      <c r="CI64" s="301"/>
      <c r="CJ64" s="226">
        <v>4</v>
      </c>
      <c r="CK64" s="59">
        <f t="shared" si="350"/>
        <v>0</v>
      </c>
      <c r="CL64" s="254">
        <f t="shared" si="351"/>
        <v>80</v>
      </c>
      <c r="CM64" s="263">
        <f t="shared" si="352"/>
        <v>26</v>
      </c>
      <c r="CN64" s="248"/>
      <c r="CO64" s="301"/>
      <c r="CP64" s="226">
        <v>4</v>
      </c>
      <c r="CQ64" s="59">
        <f t="shared" si="353"/>
        <v>0</v>
      </c>
      <c r="CR64" s="254">
        <f t="shared" si="354"/>
        <v>80</v>
      </c>
      <c r="CS64" s="263">
        <f t="shared" si="355"/>
        <v>26</v>
      </c>
      <c r="CT64" s="248"/>
      <c r="CU64" s="305"/>
      <c r="CV64" s="244"/>
      <c r="CW64" s="307"/>
      <c r="CX64" s="226">
        <v>4</v>
      </c>
      <c r="CY64" s="59">
        <f t="shared" si="356"/>
        <v>0</v>
      </c>
      <c r="CZ64" s="254">
        <f t="shared" si="357"/>
        <v>80</v>
      </c>
      <c r="DA64" s="263">
        <f t="shared" si="358"/>
        <v>26</v>
      </c>
      <c r="DB64" s="248"/>
      <c r="DC64" s="301"/>
      <c r="DD64" s="226">
        <v>4</v>
      </c>
      <c r="DE64" s="59">
        <f t="shared" si="359"/>
        <v>0</v>
      </c>
      <c r="DF64" s="254">
        <f t="shared" si="360"/>
        <v>80</v>
      </c>
      <c r="DG64" s="263">
        <f t="shared" si="361"/>
        <v>26</v>
      </c>
      <c r="DH64" s="248"/>
      <c r="DI64" s="301"/>
      <c r="DJ64" s="226">
        <v>4</v>
      </c>
      <c r="DK64" s="59">
        <f t="shared" si="362"/>
        <v>0</v>
      </c>
      <c r="DL64" s="254">
        <f t="shared" si="363"/>
        <v>80</v>
      </c>
      <c r="DM64" s="263">
        <f t="shared" si="364"/>
        <v>26</v>
      </c>
      <c r="DN64" s="248"/>
      <c r="DO64" s="301"/>
      <c r="DP64" s="226">
        <v>4</v>
      </c>
      <c r="DQ64" s="59">
        <f t="shared" si="365"/>
        <v>0</v>
      </c>
      <c r="DR64" s="254">
        <f t="shared" si="366"/>
        <v>80</v>
      </c>
      <c r="DS64" s="263">
        <f t="shared" si="367"/>
        <v>26</v>
      </c>
      <c r="DT64" s="248"/>
      <c r="DU64" s="305"/>
      <c r="DV64" s="244"/>
      <c r="DW64" s="307"/>
      <c r="DX64" s="226">
        <v>4</v>
      </c>
      <c r="DY64" s="59">
        <f t="shared" si="368"/>
        <v>0</v>
      </c>
      <c r="DZ64" s="254">
        <f t="shared" si="369"/>
        <v>80</v>
      </c>
      <c r="EA64" s="263">
        <f t="shared" si="370"/>
        <v>26</v>
      </c>
      <c r="EB64" s="248"/>
      <c r="EC64" s="301"/>
      <c r="ED64" s="226">
        <v>4</v>
      </c>
      <c r="EE64" s="59">
        <f t="shared" si="371"/>
        <v>0</v>
      </c>
      <c r="EF64" s="254">
        <f t="shared" si="372"/>
        <v>80</v>
      </c>
      <c r="EG64" s="263">
        <f t="shared" si="373"/>
        <v>26</v>
      </c>
      <c r="EH64" s="248"/>
      <c r="EI64" s="301"/>
      <c r="EJ64" s="226">
        <v>4</v>
      </c>
      <c r="EK64" s="59">
        <f t="shared" si="374"/>
        <v>0</v>
      </c>
      <c r="EL64" s="254">
        <f t="shared" si="375"/>
        <v>80</v>
      </c>
      <c r="EM64" s="263">
        <f t="shared" si="376"/>
        <v>26</v>
      </c>
      <c r="EN64" s="248"/>
      <c r="EO64" s="305"/>
      <c r="EP64" s="244"/>
      <c r="EQ64" s="307"/>
      <c r="ER64" s="226">
        <v>4</v>
      </c>
      <c r="ES64" s="59">
        <f t="shared" si="377"/>
        <v>0</v>
      </c>
      <c r="ET64" s="254">
        <f t="shared" si="378"/>
        <v>80</v>
      </c>
      <c r="EU64" s="263">
        <f t="shared" si="379"/>
        <v>26</v>
      </c>
      <c r="EV64" s="248"/>
      <c r="EW64" s="301"/>
      <c r="EX64" s="226">
        <v>4</v>
      </c>
      <c r="EY64" s="59">
        <f t="shared" si="380"/>
        <v>0</v>
      </c>
      <c r="EZ64" s="254">
        <f t="shared" si="381"/>
        <v>80</v>
      </c>
      <c r="FA64" s="263">
        <f t="shared" si="382"/>
        <v>26</v>
      </c>
      <c r="FB64" s="248"/>
      <c r="FC64" s="301"/>
      <c r="FD64" s="226">
        <v>4</v>
      </c>
      <c r="FE64" s="59">
        <f t="shared" si="383"/>
        <v>0</v>
      </c>
      <c r="FF64" s="254">
        <f t="shared" si="384"/>
        <v>80</v>
      </c>
      <c r="FG64" s="263">
        <f t="shared" si="385"/>
        <v>26</v>
      </c>
      <c r="FH64" s="248"/>
      <c r="FI64" s="301"/>
      <c r="FJ64" s="226">
        <v>4</v>
      </c>
      <c r="FK64" s="59">
        <f t="shared" si="386"/>
        <v>0</v>
      </c>
      <c r="FL64" s="254">
        <f t="shared" si="387"/>
        <v>80</v>
      </c>
      <c r="FM64" s="263">
        <f t="shared" si="388"/>
        <v>26</v>
      </c>
      <c r="FN64" s="248"/>
      <c r="FO64" s="305"/>
      <c r="FP64" s="244"/>
    </row>
    <row r="65" spans="1:172" s="181" customFormat="1" ht="17" x14ac:dyDescent="0.45">
      <c r="A65" s="307"/>
      <c r="B65" s="257">
        <v>5</v>
      </c>
      <c r="C65" s="59">
        <v>0</v>
      </c>
      <c r="D65" s="254">
        <f t="shared" si="312"/>
        <v>80</v>
      </c>
      <c r="E65" s="263">
        <f t="shared" si="313"/>
        <v>4</v>
      </c>
      <c r="F65" s="252">
        <v>9</v>
      </c>
      <c r="G65" s="301"/>
      <c r="H65" s="252">
        <v>5</v>
      </c>
      <c r="I65" s="253">
        <f t="shared" si="314"/>
        <v>0</v>
      </c>
      <c r="J65" s="254">
        <f t="shared" si="315"/>
        <v>80</v>
      </c>
      <c r="K65" s="263">
        <f t="shared" si="316"/>
        <v>4</v>
      </c>
      <c r="L65" s="252"/>
      <c r="M65" s="305"/>
      <c r="N65" s="244"/>
      <c r="O65" s="307"/>
      <c r="P65" s="252">
        <v>5</v>
      </c>
      <c r="Q65" s="253">
        <f t="shared" si="317"/>
        <v>0</v>
      </c>
      <c r="R65" s="254">
        <f t="shared" si="318"/>
        <v>80</v>
      </c>
      <c r="S65" s="263">
        <f t="shared" si="319"/>
        <v>4</v>
      </c>
      <c r="T65" s="252">
        <v>5</v>
      </c>
      <c r="U65" s="301"/>
      <c r="V65" s="252">
        <v>5</v>
      </c>
      <c r="W65" s="253">
        <f t="shared" si="320"/>
        <v>0</v>
      </c>
      <c r="X65" s="254">
        <f t="shared" si="321"/>
        <v>80</v>
      </c>
      <c r="Y65" s="263">
        <f t="shared" si="322"/>
        <v>4</v>
      </c>
      <c r="Z65" s="252"/>
      <c r="AA65" s="301"/>
      <c r="AB65" s="252">
        <v>5</v>
      </c>
      <c r="AC65" s="253">
        <f t="shared" si="323"/>
        <v>0</v>
      </c>
      <c r="AD65" s="254">
        <f t="shared" si="324"/>
        <v>80</v>
      </c>
      <c r="AE65" s="263">
        <f t="shared" si="325"/>
        <v>4</v>
      </c>
      <c r="AF65" s="252"/>
      <c r="AG65" s="305"/>
      <c r="AH65" s="244"/>
      <c r="AI65" s="307"/>
      <c r="AJ65" s="252">
        <v>5</v>
      </c>
      <c r="AK65" s="253">
        <f t="shared" si="326"/>
        <v>0</v>
      </c>
      <c r="AL65" s="254">
        <f t="shared" si="327"/>
        <v>80</v>
      </c>
      <c r="AM65" s="263">
        <f t="shared" si="328"/>
        <v>4</v>
      </c>
      <c r="AN65" s="252">
        <v>5</v>
      </c>
      <c r="AO65" s="301"/>
      <c r="AP65" s="252">
        <v>5</v>
      </c>
      <c r="AQ65" s="253">
        <f t="shared" si="329"/>
        <v>0</v>
      </c>
      <c r="AR65" s="254">
        <f t="shared" si="330"/>
        <v>80</v>
      </c>
      <c r="AS65" s="263">
        <f t="shared" si="331"/>
        <v>4</v>
      </c>
      <c r="AT65" s="252">
        <v>17</v>
      </c>
      <c r="AU65" s="301"/>
      <c r="AV65" s="252">
        <v>5</v>
      </c>
      <c r="AW65" s="253">
        <f t="shared" si="332"/>
        <v>0</v>
      </c>
      <c r="AX65" s="254">
        <f t="shared" si="333"/>
        <v>80</v>
      </c>
      <c r="AY65" s="263">
        <f t="shared" si="334"/>
        <v>4</v>
      </c>
      <c r="AZ65" s="252">
        <v>23</v>
      </c>
      <c r="BA65" s="305"/>
      <c r="BB65" s="244"/>
      <c r="BC65" s="307"/>
      <c r="BD65" s="252">
        <v>5</v>
      </c>
      <c r="BE65" s="253">
        <f t="shared" si="335"/>
        <v>0</v>
      </c>
      <c r="BF65" s="254">
        <f t="shared" si="336"/>
        <v>80</v>
      </c>
      <c r="BG65" s="263">
        <f t="shared" si="337"/>
        <v>4</v>
      </c>
      <c r="BH65" s="252"/>
      <c r="BI65" s="301"/>
      <c r="BJ65" s="252">
        <v>5</v>
      </c>
      <c r="BK65" s="253">
        <f t="shared" si="338"/>
        <v>0</v>
      </c>
      <c r="BL65" s="254">
        <f t="shared" si="339"/>
        <v>80</v>
      </c>
      <c r="BM65" s="263">
        <f t="shared" si="340"/>
        <v>4</v>
      </c>
      <c r="BN65" s="252"/>
      <c r="BO65" s="301"/>
      <c r="BP65" s="252">
        <v>5</v>
      </c>
      <c r="BQ65" s="253">
        <f t="shared" si="341"/>
        <v>0</v>
      </c>
      <c r="BR65" s="254">
        <f t="shared" si="342"/>
        <v>80</v>
      </c>
      <c r="BS65" s="263">
        <f t="shared" si="343"/>
        <v>4</v>
      </c>
      <c r="BT65" s="252"/>
      <c r="BU65" s="305"/>
      <c r="BV65" s="244"/>
      <c r="BW65" s="307"/>
      <c r="BX65" s="252">
        <v>5</v>
      </c>
      <c r="BY65" s="253">
        <f t="shared" si="344"/>
        <v>0</v>
      </c>
      <c r="BZ65" s="254">
        <f t="shared" si="345"/>
        <v>80</v>
      </c>
      <c r="CA65" s="263">
        <f t="shared" si="346"/>
        <v>4</v>
      </c>
      <c r="CB65" s="252"/>
      <c r="CC65" s="301"/>
      <c r="CD65" s="252">
        <v>5</v>
      </c>
      <c r="CE65" s="253">
        <f t="shared" si="347"/>
        <v>0</v>
      </c>
      <c r="CF65" s="254">
        <f t="shared" si="348"/>
        <v>80</v>
      </c>
      <c r="CG65" s="263">
        <f t="shared" si="349"/>
        <v>4</v>
      </c>
      <c r="CH65" s="252"/>
      <c r="CI65" s="301"/>
      <c r="CJ65" s="252">
        <v>5</v>
      </c>
      <c r="CK65" s="253">
        <f t="shared" si="350"/>
        <v>0</v>
      </c>
      <c r="CL65" s="254">
        <f t="shared" si="351"/>
        <v>80</v>
      </c>
      <c r="CM65" s="263">
        <f t="shared" si="352"/>
        <v>4</v>
      </c>
      <c r="CN65" s="252"/>
      <c r="CO65" s="301"/>
      <c r="CP65" s="252">
        <v>5</v>
      </c>
      <c r="CQ65" s="253">
        <f t="shared" si="353"/>
        <v>0</v>
      </c>
      <c r="CR65" s="254">
        <f t="shared" si="354"/>
        <v>80</v>
      </c>
      <c r="CS65" s="263">
        <f t="shared" si="355"/>
        <v>4</v>
      </c>
      <c r="CT65" s="252"/>
      <c r="CU65" s="305"/>
      <c r="CV65" s="244"/>
      <c r="CW65" s="307"/>
      <c r="CX65" s="252">
        <v>5</v>
      </c>
      <c r="CY65" s="253">
        <f t="shared" si="356"/>
        <v>0</v>
      </c>
      <c r="CZ65" s="254">
        <f t="shared" si="357"/>
        <v>80</v>
      </c>
      <c r="DA65" s="263">
        <f t="shared" si="358"/>
        <v>4</v>
      </c>
      <c r="DB65" s="252"/>
      <c r="DC65" s="301"/>
      <c r="DD65" s="252">
        <v>5</v>
      </c>
      <c r="DE65" s="253">
        <f t="shared" si="359"/>
        <v>0</v>
      </c>
      <c r="DF65" s="254">
        <f t="shared" si="360"/>
        <v>80</v>
      </c>
      <c r="DG65" s="263">
        <f t="shared" si="361"/>
        <v>4</v>
      </c>
      <c r="DH65" s="252"/>
      <c r="DI65" s="301"/>
      <c r="DJ65" s="252">
        <v>5</v>
      </c>
      <c r="DK65" s="253">
        <f t="shared" si="362"/>
        <v>0</v>
      </c>
      <c r="DL65" s="254">
        <f t="shared" si="363"/>
        <v>80</v>
      </c>
      <c r="DM65" s="263">
        <f t="shared" si="364"/>
        <v>4</v>
      </c>
      <c r="DN65" s="252"/>
      <c r="DO65" s="301"/>
      <c r="DP65" s="252">
        <v>5</v>
      </c>
      <c r="DQ65" s="253">
        <f t="shared" si="365"/>
        <v>0</v>
      </c>
      <c r="DR65" s="254">
        <f t="shared" si="366"/>
        <v>80</v>
      </c>
      <c r="DS65" s="263">
        <f t="shared" si="367"/>
        <v>4</v>
      </c>
      <c r="DT65" s="252"/>
      <c r="DU65" s="305"/>
      <c r="DV65" s="244"/>
      <c r="DW65" s="307"/>
      <c r="DX65" s="252">
        <v>5</v>
      </c>
      <c r="DY65" s="253">
        <f t="shared" si="368"/>
        <v>0</v>
      </c>
      <c r="DZ65" s="254">
        <f t="shared" si="369"/>
        <v>80</v>
      </c>
      <c r="EA65" s="263">
        <f t="shared" si="370"/>
        <v>4</v>
      </c>
      <c r="EB65" s="252"/>
      <c r="EC65" s="301"/>
      <c r="ED65" s="252">
        <v>5</v>
      </c>
      <c r="EE65" s="253">
        <f t="shared" si="371"/>
        <v>0</v>
      </c>
      <c r="EF65" s="254">
        <f t="shared" si="372"/>
        <v>80</v>
      </c>
      <c r="EG65" s="263">
        <f t="shared" si="373"/>
        <v>4</v>
      </c>
      <c r="EH65" s="252"/>
      <c r="EI65" s="301"/>
      <c r="EJ65" s="252">
        <v>5</v>
      </c>
      <c r="EK65" s="253">
        <f t="shared" si="374"/>
        <v>0</v>
      </c>
      <c r="EL65" s="254">
        <f t="shared" si="375"/>
        <v>80</v>
      </c>
      <c r="EM65" s="263">
        <f t="shared" si="376"/>
        <v>4</v>
      </c>
      <c r="EN65" s="252"/>
      <c r="EO65" s="305"/>
      <c r="EP65" s="244"/>
      <c r="EQ65" s="307"/>
      <c r="ER65" s="252">
        <v>5</v>
      </c>
      <c r="ES65" s="253">
        <f t="shared" si="377"/>
        <v>0</v>
      </c>
      <c r="ET65" s="254">
        <f t="shared" si="378"/>
        <v>80</v>
      </c>
      <c r="EU65" s="263">
        <f t="shared" si="379"/>
        <v>4</v>
      </c>
      <c r="EV65" s="252"/>
      <c r="EW65" s="301"/>
      <c r="EX65" s="252">
        <v>5</v>
      </c>
      <c r="EY65" s="253">
        <f t="shared" si="380"/>
        <v>0</v>
      </c>
      <c r="EZ65" s="254">
        <f t="shared" si="381"/>
        <v>80</v>
      </c>
      <c r="FA65" s="263">
        <f t="shared" si="382"/>
        <v>4</v>
      </c>
      <c r="FB65" s="252"/>
      <c r="FC65" s="301"/>
      <c r="FD65" s="252">
        <v>5</v>
      </c>
      <c r="FE65" s="253">
        <f t="shared" si="383"/>
        <v>0</v>
      </c>
      <c r="FF65" s="254">
        <f t="shared" si="384"/>
        <v>80</v>
      </c>
      <c r="FG65" s="263">
        <f t="shared" si="385"/>
        <v>4</v>
      </c>
      <c r="FH65" s="252"/>
      <c r="FI65" s="301"/>
      <c r="FJ65" s="252">
        <v>5</v>
      </c>
      <c r="FK65" s="253">
        <f t="shared" si="386"/>
        <v>0</v>
      </c>
      <c r="FL65" s="254">
        <f t="shared" si="387"/>
        <v>80</v>
      </c>
      <c r="FM65" s="263">
        <f t="shared" si="388"/>
        <v>4</v>
      </c>
      <c r="FN65" s="252"/>
      <c r="FO65" s="305"/>
      <c r="FP65" s="244"/>
    </row>
    <row r="66" spans="1:172" ht="17" x14ac:dyDescent="0.45">
      <c r="A66" s="307"/>
      <c r="B66" s="257">
        <v>6</v>
      </c>
      <c r="C66" s="59">
        <v>0</v>
      </c>
      <c r="D66" s="254">
        <f t="shared" si="312"/>
        <v>80</v>
      </c>
      <c r="E66" s="263">
        <f t="shared" si="313"/>
        <v>0</v>
      </c>
      <c r="F66" s="248"/>
      <c r="G66" s="301"/>
      <c r="H66" s="226">
        <v>6</v>
      </c>
      <c r="I66" s="59">
        <f t="shared" si="314"/>
        <v>0</v>
      </c>
      <c r="J66" s="254">
        <f t="shared" si="315"/>
        <v>80</v>
      </c>
      <c r="K66" s="263">
        <f t="shared" si="316"/>
        <v>0</v>
      </c>
      <c r="L66" s="248"/>
      <c r="M66" s="305"/>
      <c r="N66" s="244"/>
      <c r="O66" s="307"/>
      <c r="P66" s="226">
        <v>6</v>
      </c>
      <c r="Q66" s="59">
        <f t="shared" si="317"/>
        <v>0</v>
      </c>
      <c r="R66" s="254">
        <f t="shared" si="318"/>
        <v>80</v>
      </c>
      <c r="S66" s="263">
        <f t="shared" si="319"/>
        <v>0</v>
      </c>
      <c r="T66" s="248"/>
      <c r="U66" s="301"/>
      <c r="V66" s="226">
        <v>6</v>
      </c>
      <c r="W66" s="59">
        <f t="shared" si="320"/>
        <v>0</v>
      </c>
      <c r="X66" s="254">
        <f t="shared" si="321"/>
        <v>80</v>
      </c>
      <c r="Y66" s="263">
        <f t="shared" si="322"/>
        <v>0</v>
      </c>
      <c r="Z66" s="248"/>
      <c r="AA66" s="301"/>
      <c r="AB66" s="226">
        <v>6</v>
      </c>
      <c r="AC66" s="59">
        <f t="shared" si="323"/>
        <v>0</v>
      </c>
      <c r="AD66" s="254">
        <f t="shared" si="324"/>
        <v>80</v>
      </c>
      <c r="AE66" s="263">
        <f t="shared" si="325"/>
        <v>0</v>
      </c>
      <c r="AF66" s="248"/>
      <c r="AG66" s="305"/>
      <c r="AH66" s="244"/>
      <c r="AI66" s="307"/>
      <c r="AJ66" s="226">
        <v>6</v>
      </c>
      <c r="AK66" s="59">
        <f t="shared" si="326"/>
        <v>0</v>
      </c>
      <c r="AL66" s="254">
        <f t="shared" si="327"/>
        <v>80</v>
      </c>
      <c r="AM66" s="263">
        <f t="shared" si="328"/>
        <v>0</v>
      </c>
      <c r="AN66" s="248"/>
      <c r="AO66" s="301"/>
      <c r="AP66" s="226">
        <v>6</v>
      </c>
      <c r="AQ66" s="59">
        <f t="shared" si="329"/>
        <v>0</v>
      </c>
      <c r="AR66" s="254">
        <f t="shared" si="330"/>
        <v>80</v>
      </c>
      <c r="AS66" s="263">
        <f t="shared" si="331"/>
        <v>0</v>
      </c>
      <c r="AT66" s="248"/>
      <c r="AU66" s="301"/>
      <c r="AV66" s="226">
        <v>6</v>
      </c>
      <c r="AW66" s="59">
        <f t="shared" si="332"/>
        <v>0</v>
      </c>
      <c r="AX66" s="254">
        <f t="shared" si="333"/>
        <v>80</v>
      </c>
      <c r="AY66" s="263">
        <f t="shared" si="334"/>
        <v>0</v>
      </c>
      <c r="AZ66" s="248"/>
      <c r="BA66" s="305"/>
      <c r="BB66" s="244"/>
      <c r="BC66" s="307"/>
      <c r="BD66" s="226">
        <v>6</v>
      </c>
      <c r="BE66" s="59">
        <f t="shared" si="335"/>
        <v>0</v>
      </c>
      <c r="BF66" s="254">
        <f t="shared" si="336"/>
        <v>80</v>
      </c>
      <c r="BG66" s="263">
        <f t="shared" si="337"/>
        <v>0</v>
      </c>
      <c r="BH66" s="248"/>
      <c r="BI66" s="301"/>
      <c r="BJ66" s="226">
        <v>6</v>
      </c>
      <c r="BK66" s="59">
        <f t="shared" si="338"/>
        <v>0</v>
      </c>
      <c r="BL66" s="254">
        <f t="shared" si="339"/>
        <v>80</v>
      </c>
      <c r="BM66" s="263">
        <f t="shared" si="340"/>
        <v>0</v>
      </c>
      <c r="BN66" s="248"/>
      <c r="BO66" s="301"/>
      <c r="BP66" s="226">
        <v>6</v>
      </c>
      <c r="BQ66" s="59">
        <f t="shared" si="341"/>
        <v>0</v>
      </c>
      <c r="BR66" s="254">
        <f t="shared" si="342"/>
        <v>80</v>
      </c>
      <c r="BS66" s="263">
        <f t="shared" si="343"/>
        <v>0</v>
      </c>
      <c r="BT66" s="248"/>
      <c r="BU66" s="305"/>
      <c r="BV66" s="244"/>
      <c r="BW66" s="307"/>
      <c r="BX66" s="226">
        <v>6</v>
      </c>
      <c r="BY66" s="59">
        <f t="shared" si="344"/>
        <v>0</v>
      </c>
      <c r="BZ66" s="254">
        <f t="shared" si="345"/>
        <v>80</v>
      </c>
      <c r="CA66" s="263">
        <f t="shared" si="346"/>
        <v>0</v>
      </c>
      <c r="CB66" s="248"/>
      <c r="CC66" s="301"/>
      <c r="CD66" s="226">
        <v>6</v>
      </c>
      <c r="CE66" s="59">
        <f t="shared" si="347"/>
        <v>0</v>
      </c>
      <c r="CF66" s="254">
        <f t="shared" si="348"/>
        <v>80</v>
      </c>
      <c r="CG66" s="263">
        <f t="shared" si="349"/>
        <v>0</v>
      </c>
      <c r="CH66" s="248"/>
      <c r="CI66" s="301"/>
      <c r="CJ66" s="226">
        <v>6</v>
      </c>
      <c r="CK66" s="59">
        <f t="shared" si="350"/>
        <v>0</v>
      </c>
      <c r="CL66" s="254">
        <f t="shared" si="351"/>
        <v>80</v>
      </c>
      <c r="CM66" s="263">
        <f t="shared" si="352"/>
        <v>0</v>
      </c>
      <c r="CN66" s="248"/>
      <c r="CO66" s="301"/>
      <c r="CP66" s="226">
        <v>6</v>
      </c>
      <c r="CQ66" s="59">
        <f t="shared" si="353"/>
        <v>0</v>
      </c>
      <c r="CR66" s="254">
        <f t="shared" si="354"/>
        <v>80</v>
      </c>
      <c r="CS66" s="263">
        <f t="shared" si="355"/>
        <v>0</v>
      </c>
      <c r="CT66" s="248"/>
      <c r="CU66" s="305"/>
      <c r="CV66" s="244"/>
      <c r="CW66" s="307"/>
      <c r="CX66" s="226">
        <v>6</v>
      </c>
      <c r="CY66" s="59">
        <f t="shared" si="356"/>
        <v>0</v>
      </c>
      <c r="CZ66" s="254">
        <f t="shared" si="357"/>
        <v>80</v>
      </c>
      <c r="DA66" s="263">
        <f t="shared" si="358"/>
        <v>0</v>
      </c>
      <c r="DB66" s="248"/>
      <c r="DC66" s="301"/>
      <c r="DD66" s="226">
        <v>6</v>
      </c>
      <c r="DE66" s="59">
        <f t="shared" si="359"/>
        <v>0</v>
      </c>
      <c r="DF66" s="254">
        <f t="shared" si="360"/>
        <v>80</v>
      </c>
      <c r="DG66" s="263">
        <f t="shared" si="361"/>
        <v>0</v>
      </c>
      <c r="DH66" s="248"/>
      <c r="DI66" s="301"/>
      <c r="DJ66" s="226">
        <v>6</v>
      </c>
      <c r="DK66" s="59">
        <f t="shared" si="362"/>
        <v>0</v>
      </c>
      <c r="DL66" s="254">
        <f t="shared" si="363"/>
        <v>80</v>
      </c>
      <c r="DM66" s="263">
        <f t="shared" si="364"/>
        <v>0</v>
      </c>
      <c r="DN66" s="248"/>
      <c r="DO66" s="301"/>
      <c r="DP66" s="226">
        <v>6</v>
      </c>
      <c r="DQ66" s="59">
        <f t="shared" si="365"/>
        <v>0</v>
      </c>
      <c r="DR66" s="254">
        <f t="shared" si="366"/>
        <v>80</v>
      </c>
      <c r="DS66" s="263">
        <f t="shared" si="367"/>
        <v>0</v>
      </c>
      <c r="DT66" s="248"/>
      <c r="DU66" s="305"/>
      <c r="DV66" s="244"/>
      <c r="DW66" s="307"/>
      <c r="DX66" s="226">
        <v>6</v>
      </c>
      <c r="DY66" s="59">
        <f t="shared" si="368"/>
        <v>0</v>
      </c>
      <c r="DZ66" s="254">
        <f t="shared" si="369"/>
        <v>80</v>
      </c>
      <c r="EA66" s="263">
        <f t="shared" si="370"/>
        <v>0</v>
      </c>
      <c r="EB66" s="248"/>
      <c r="EC66" s="301"/>
      <c r="ED66" s="226">
        <v>6</v>
      </c>
      <c r="EE66" s="59">
        <f t="shared" si="371"/>
        <v>0</v>
      </c>
      <c r="EF66" s="254">
        <f t="shared" si="372"/>
        <v>80</v>
      </c>
      <c r="EG66" s="263">
        <f t="shared" si="373"/>
        <v>0</v>
      </c>
      <c r="EH66" s="248"/>
      <c r="EI66" s="301"/>
      <c r="EJ66" s="226">
        <v>6</v>
      </c>
      <c r="EK66" s="59">
        <f t="shared" si="374"/>
        <v>0</v>
      </c>
      <c r="EL66" s="254">
        <f t="shared" si="375"/>
        <v>80</v>
      </c>
      <c r="EM66" s="263">
        <f t="shared" si="376"/>
        <v>0</v>
      </c>
      <c r="EN66" s="248"/>
      <c r="EO66" s="305"/>
      <c r="EP66" s="244"/>
      <c r="EQ66" s="307"/>
      <c r="ER66" s="226">
        <v>6</v>
      </c>
      <c r="ES66" s="59">
        <f t="shared" si="377"/>
        <v>0</v>
      </c>
      <c r="ET66" s="254">
        <f t="shared" si="378"/>
        <v>80</v>
      </c>
      <c r="EU66" s="263">
        <f t="shared" si="379"/>
        <v>0</v>
      </c>
      <c r="EV66" s="248"/>
      <c r="EW66" s="301"/>
      <c r="EX66" s="226">
        <v>6</v>
      </c>
      <c r="EY66" s="59">
        <f t="shared" si="380"/>
        <v>0</v>
      </c>
      <c r="EZ66" s="254">
        <f t="shared" si="381"/>
        <v>80</v>
      </c>
      <c r="FA66" s="263">
        <f t="shared" si="382"/>
        <v>0</v>
      </c>
      <c r="FB66" s="248"/>
      <c r="FC66" s="301"/>
      <c r="FD66" s="226">
        <v>6</v>
      </c>
      <c r="FE66" s="59">
        <f t="shared" si="383"/>
        <v>0</v>
      </c>
      <c r="FF66" s="254">
        <f t="shared" si="384"/>
        <v>80</v>
      </c>
      <c r="FG66" s="263">
        <f t="shared" si="385"/>
        <v>0</v>
      </c>
      <c r="FH66" s="248"/>
      <c r="FI66" s="301"/>
      <c r="FJ66" s="226">
        <v>6</v>
      </c>
      <c r="FK66" s="59">
        <f t="shared" si="386"/>
        <v>0</v>
      </c>
      <c r="FL66" s="254">
        <f t="shared" si="387"/>
        <v>80</v>
      </c>
      <c r="FM66" s="263">
        <f t="shared" si="388"/>
        <v>0</v>
      </c>
      <c r="FN66" s="248"/>
      <c r="FO66" s="305"/>
      <c r="FP66" s="244"/>
    </row>
    <row r="67" spans="1:172" ht="17" x14ac:dyDescent="0.45">
      <c r="A67" s="307"/>
      <c r="B67" s="257">
        <v>7</v>
      </c>
      <c r="C67" s="59">
        <v>0</v>
      </c>
      <c r="D67" s="254">
        <f t="shared" si="312"/>
        <v>80</v>
      </c>
      <c r="E67" s="263">
        <f t="shared" si="313"/>
        <v>13</v>
      </c>
      <c r="F67" s="248"/>
      <c r="G67" s="301"/>
      <c r="H67" s="226">
        <v>7</v>
      </c>
      <c r="I67" s="59">
        <f t="shared" si="314"/>
        <v>0</v>
      </c>
      <c r="J67" s="254">
        <f t="shared" si="315"/>
        <v>80</v>
      </c>
      <c r="K67" s="263">
        <f t="shared" si="316"/>
        <v>13</v>
      </c>
      <c r="L67" s="248"/>
      <c r="M67" s="305"/>
      <c r="N67" s="244"/>
      <c r="O67" s="307"/>
      <c r="P67" s="226">
        <v>7</v>
      </c>
      <c r="Q67" s="59">
        <f t="shared" si="317"/>
        <v>0</v>
      </c>
      <c r="R67" s="254">
        <f t="shared" si="318"/>
        <v>80</v>
      </c>
      <c r="S67" s="263">
        <f t="shared" si="319"/>
        <v>13</v>
      </c>
      <c r="T67" s="248">
        <v>6</v>
      </c>
      <c r="U67" s="301"/>
      <c r="V67" s="226">
        <v>7</v>
      </c>
      <c r="W67" s="59">
        <f t="shared" si="320"/>
        <v>1</v>
      </c>
      <c r="X67" s="254">
        <f t="shared" si="321"/>
        <v>88</v>
      </c>
      <c r="Y67" s="263">
        <f t="shared" si="322"/>
        <v>21</v>
      </c>
      <c r="Z67" s="248"/>
      <c r="AA67" s="301"/>
      <c r="AB67" s="226">
        <v>7</v>
      </c>
      <c r="AC67" s="59">
        <f t="shared" si="323"/>
        <v>1</v>
      </c>
      <c r="AD67" s="254">
        <f t="shared" si="324"/>
        <v>88</v>
      </c>
      <c r="AE67" s="263">
        <f t="shared" si="325"/>
        <v>21</v>
      </c>
      <c r="AF67" s="248"/>
      <c r="AG67" s="305"/>
      <c r="AH67" s="244"/>
      <c r="AI67" s="307"/>
      <c r="AJ67" s="226">
        <v>7</v>
      </c>
      <c r="AK67" s="59">
        <f t="shared" si="326"/>
        <v>1</v>
      </c>
      <c r="AL67" s="254">
        <f t="shared" si="327"/>
        <v>88</v>
      </c>
      <c r="AM67" s="263">
        <f t="shared" si="328"/>
        <v>21</v>
      </c>
      <c r="AN67" s="248"/>
      <c r="AO67" s="301"/>
      <c r="AP67" s="226">
        <v>7</v>
      </c>
      <c r="AQ67" s="59">
        <f t="shared" si="329"/>
        <v>1</v>
      </c>
      <c r="AR67" s="254">
        <f t="shared" si="330"/>
        <v>88</v>
      </c>
      <c r="AS67" s="263">
        <f t="shared" si="331"/>
        <v>21</v>
      </c>
      <c r="AT67" s="248"/>
      <c r="AU67" s="301"/>
      <c r="AV67" s="226">
        <v>7</v>
      </c>
      <c r="AW67" s="59">
        <f t="shared" si="332"/>
        <v>1</v>
      </c>
      <c r="AX67" s="254">
        <f t="shared" si="333"/>
        <v>88</v>
      </c>
      <c r="AY67" s="263">
        <f t="shared" si="334"/>
        <v>21</v>
      </c>
      <c r="AZ67" s="248">
        <v>24</v>
      </c>
      <c r="BA67" s="305"/>
      <c r="BB67" s="244"/>
      <c r="BC67" s="307"/>
      <c r="BD67" s="226">
        <v>7</v>
      </c>
      <c r="BE67" s="59">
        <f t="shared" si="335"/>
        <v>2</v>
      </c>
      <c r="BF67" s="254">
        <f t="shared" si="336"/>
        <v>96</v>
      </c>
      <c r="BG67" s="263">
        <f t="shared" si="337"/>
        <v>29</v>
      </c>
      <c r="BH67" s="248"/>
      <c r="BI67" s="301"/>
      <c r="BJ67" s="226">
        <v>7</v>
      </c>
      <c r="BK67" s="59">
        <f t="shared" si="338"/>
        <v>2</v>
      </c>
      <c r="BL67" s="254">
        <f t="shared" si="339"/>
        <v>96</v>
      </c>
      <c r="BM67" s="263">
        <f t="shared" si="340"/>
        <v>29</v>
      </c>
      <c r="BN67" s="248"/>
      <c r="BO67" s="301"/>
      <c r="BP67" s="226">
        <v>7</v>
      </c>
      <c r="BQ67" s="59">
        <f t="shared" si="341"/>
        <v>2</v>
      </c>
      <c r="BR67" s="254">
        <f t="shared" si="342"/>
        <v>96</v>
      </c>
      <c r="BS67" s="263">
        <f t="shared" si="343"/>
        <v>29</v>
      </c>
      <c r="BT67" s="248"/>
      <c r="BU67" s="305"/>
      <c r="BV67" s="244"/>
      <c r="BW67" s="307"/>
      <c r="BX67" s="226">
        <v>7</v>
      </c>
      <c r="BY67" s="59">
        <f t="shared" si="344"/>
        <v>2</v>
      </c>
      <c r="BZ67" s="254">
        <f t="shared" si="345"/>
        <v>96</v>
      </c>
      <c r="CA67" s="263">
        <f t="shared" si="346"/>
        <v>29</v>
      </c>
      <c r="CB67" s="248"/>
      <c r="CC67" s="301"/>
      <c r="CD67" s="226">
        <v>7</v>
      </c>
      <c r="CE67" s="59">
        <f t="shared" si="347"/>
        <v>2</v>
      </c>
      <c r="CF67" s="254">
        <f t="shared" si="348"/>
        <v>96</v>
      </c>
      <c r="CG67" s="263">
        <f t="shared" si="349"/>
        <v>29</v>
      </c>
      <c r="CH67" s="248"/>
      <c r="CI67" s="301"/>
      <c r="CJ67" s="226">
        <v>7</v>
      </c>
      <c r="CK67" s="59">
        <f t="shared" si="350"/>
        <v>2</v>
      </c>
      <c r="CL67" s="254">
        <f t="shared" si="351"/>
        <v>96</v>
      </c>
      <c r="CM67" s="263">
        <f t="shared" si="352"/>
        <v>29</v>
      </c>
      <c r="CN67" s="248"/>
      <c r="CO67" s="301"/>
      <c r="CP67" s="226">
        <v>7</v>
      </c>
      <c r="CQ67" s="59">
        <f t="shared" si="353"/>
        <v>2</v>
      </c>
      <c r="CR67" s="254">
        <f t="shared" si="354"/>
        <v>96</v>
      </c>
      <c r="CS67" s="263">
        <f t="shared" si="355"/>
        <v>29</v>
      </c>
      <c r="CT67" s="248"/>
      <c r="CU67" s="305"/>
      <c r="CV67" s="244"/>
      <c r="CW67" s="307"/>
      <c r="CX67" s="226">
        <v>7</v>
      </c>
      <c r="CY67" s="59">
        <f t="shared" si="356"/>
        <v>2</v>
      </c>
      <c r="CZ67" s="254">
        <f t="shared" si="357"/>
        <v>96</v>
      </c>
      <c r="DA67" s="263">
        <f t="shared" si="358"/>
        <v>29</v>
      </c>
      <c r="DB67" s="248"/>
      <c r="DC67" s="301"/>
      <c r="DD67" s="226">
        <v>7</v>
      </c>
      <c r="DE67" s="59">
        <f t="shared" si="359"/>
        <v>2</v>
      </c>
      <c r="DF67" s="254">
        <f t="shared" si="360"/>
        <v>96</v>
      </c>
      <c r="DG67" s="263">
        <f t="shared" si="361"/>
        <v>29</v>
      </c>
      <c r="DH67" s="248"/>
      <c r="DI67" s="301"/>
      <c r="DJ67" s="226">
        <v>7</v>
      </c>
      <c r="DK67" s="59">
        <f t="shared" si="362"/>
        <v>2</v>
      </c>
      <c r="DL67" s="254">
        <f t="shared" si="363"/>
        <v>96</v>
      </c>
      <c r="DM67" s="263">
        <f t="shared" si="364"/>
        <v>29</v>
      </c>
      <c r="DN67" s="248"/>
      <c r="DO67" s="301"/>
      <c r="DP67" s="226">
        <v>7</v>
      </c>
      <c r="DQ67" s="59">
        <f t="shared" si="365"/>
        <v>2</v>
      </c>
      <c r="DR67" s="254">
        <f t="shared" si="366"/>
        <v>96</v>
      </c>
      <c r="DS67" s="263">
        <f t="shared" si="367"/>
        <v>29</v>
      </c>
      <c r="DT67" s="248"/>
      <c r="DU67" s="305"/>
      <c r="DV67" s="244"/>
      <c r="DW67" s="307"/>
      <c r="DX67" s="226">
        <v>7</v>
      </c>
      <c r="DY67" s="59">
        <f t="shared" si="368"/>
        <v>2</v>
      </c>
      <c r="DZ67" s="254">
        <f t="shared" si="369"/>
        <v>96</v>
      </c>
      <c r="EA67" s="263">
        <f t="shared" si="370"/>
        <v>29</v>
      </c>
      <c r="EB67" s="248"/>
      <c r="EC67" s="301"/>
      <c r="ED67" s="226">
        <v>7</v>
      </c>
      <c r="EE67" s="59">
        <f t="shared" si="371"/>
        <v>2</v>
      </c>
      <c r="EF67" s="254">
        <f t="shared" si="372"/>
        <v>96</v>
      </c>
      <c r="EG67" s="263">
        <f t="shared" si="373"/>
        <v>29</v>
      </c>
      <c r="EH67" s="248"/>
      <c r="EI67" s="301"/>
      <c r="EJ67" s="226">
        <v>7</v>
      </c>
      <c r="EK67" s="59">
        <f t="shared" si="374"/>
        <v>2</v>
      </c>
      <c r="EL67" s="254">
        <f t="shared" si="375"/>
        <v>96</v>
      </c>
      <c r="EM67" s="263">
        <f t="shared" si="376"/>
        <v>29</v>
      </c>
      <c r="EN67" s="248"/>
      <c r="EO67" s="305"/>
      <c r="EP67" s="244"/>
      <c r="EQ67" s="307"/>
      <c r="ER67" s="226">
        <v>7</v>
      </c>
      <c r="ES67" s="59">
        <f t="shared" si="377"/>
        <v>2</v>
      </c>
      <c r="ET67" s="254">
        <f t="shared" si="378"/>
        <v>96</v>
      </c>
      <c r="EU67" s="263">
        <f t="shared" si="379"/>
        <v>29</v>
      </c>
      <c r="EV67" s="248"/>
      <c r="EW67" s="301"/>
      <c r="EX67" s="226">
        <v>7</v>
      </c>
      <c r="EY67" s="59">
        <f t="shared" si="380"/>
        <v>2</v>
      </c>
      <c r="EZ67" s="254">
        <f t="shared" si="381"/>
        <v>96</v>
      </c>
      <c r="FA67" s="263">
        <f t="shared" si="382"/>
        <v>29</v>
      </c>
      <c r="FB67" s="248"/>
      <c r="FC67" s="301"/>
      <c r="FD67" s="226">
        <v>7</v>
      </c>
      <c r="FE67" s="59">
        <f t="shared" si="383"/>
        <v>2</v>
      </c>
      <c r="FF67" s="254">
        <f t="shared" si="384"/>
        <v>96</v>
      </c>
      <c r="FG67" s="263">
        <f t="shared" si="385"/>
        <v>29</v>
      </c>
      <c r="FH67" s="248"/>
      <c r="FI67" s="301"/>
      <c r="FJ67" s="226">
        <v>7</v>
      </c>
      <c r="FK67" s="59">
        <f t="shared" si="386"/>
        <v>2</v>
      </c>
      <c r="FL67" s="254">
        <f t="shared" si="387"/>
        <v>96</v>
      </c>
      <c r="FM67" s="263">
        <f t="shared" si="388"/>
        <v>29</v>
      </c>
      <c r="FN67" s="248"/>
      <c r="FO67" s="305"/>
      <c r="FP67" s="244"/>
    </row>
    <row r="68" spans="1:172" ht="17.5" thickBot="1" x14ac:dyDescent="0.5">
      <c r="A68" s="309"/>
      <c r="B68" s="259">
        <v>8</v>
      </c>
      <c r="C68" s="59">
        <v>0</v>
      </c>
      <c r="D68" s="254">
        <f t="shared" si="312"/>
        <v>80</v>
      </c>
      <c r="E68" s="263">
        <f t="shared" si="313"/>
        <v>9</v>
      </c>
      <c r="F68" s="260">
        <v>10</v>
      </c>
      <c r="G68" s="302"/>
      <c r="H68" s="261">
        <v>8</v>
      </c>
      <c r="I68" s="59">
        <f t="shared" si="314"/>
        <v>1</v>
      </c>
      <c r="J68" s="254">
        <f t="shared" si="315"/>
        <v>88</v>
      </c>
      <c r="K68" s="263">
        <f t="shared" si="316"/>
        <v>17</v>
      </c>
      <c r="L68" s="260"/>
      <c r="M68" s="305"/>
      <c r="N68" s="244"/>
      <c r="O68" s="309"/>
      <c r="P68" s="261">
        <v>8</v>
      </c>
      <c r="Q68" s="59">
        <f t="shared" si="317"/>
        <v>1</v>
      </c>
      <c r="R68" s="254">
        <f t="shared" si="318"/>
        <v>88</v>
      </c>
      <c r="S68" s="263">
        <f t="shared" si="319"/>
        <v>17</v>
      </c>
      <c r="T68" s="260"/>
      <c r="U68" s="302"/>
      <c r="V68" s="261">
        <v>8</v>
      </c>
      <c r="W68" s="59">
        <f t="shared" si="320"/>
        <v>1</v>
      </c>
      <c r="X68" s="254">
        <f t="shared" si="321"/>
        <v>88</v>
      </c>
      <c r="Y68" s="263">
        <f t="shared" si="322"/>
        <v>17</v>
      </c>
      <c r="Z68" s="260"/>
      <c r="AA68" s="302"/>
      <c r="AB68" s="261">
        <v>8</v>
      </c>
      <c r="AC68" s="59">
        <f t="shared" si="323"/>
        <v>1</v>
      </c>
      <c r="AD68" s="254">
        <f t="shared" si="324"/>
        <v>88</v>
      </c>
      <c r="AE68" s="263">
        <f t="shared" si="325"/>
        <v>17</v>
      </c>
      <c r="AF68" s="260"/>
      <c r="AG68" s="305"/>
      <c r="AH68" s="244"/>
      <c r="AI68" s="309"/>
      <c r="AJ68" s="261">
        <v>8</v>
      </c>
      <c r="AK68" s="59">
        <f t="shared" si="326"/>
        <v>1</v>
      </c>
      <c r="AL68" s="254">
        <f t="shared" si="327"/>
        <v>88</v>
      </c>
      <c r="AM68" s="263">
        <f t="shared" si="328"/>
        <v>17</v>
      </c>
      <c r="AN68" s="260">
        <v>6</v>
      </c>
      <c r="AO68" s="302"/>
      <c r="AP68" s="261">
        <v>8</v>
      </c>
      <c r="AQ68" s="59">
        <f t="shared" si="329"/>
        <v>2</v>
      </c>
      <c r="AR68" s="254">
        <f t="shared" si="330"/>
        <v>96</v>
      </c>
      <c r="AS68" s="263">
        <f t="shared" si="331"/>
        <v>25</v>
      </c>
      <c r="AT68" s="260"/>
      <c r="AU68" s="302"/>
      <c r="AV68" s="261">
        <v>8</v>
      </c>
      <c r="AW68" s="59">
        <f t="shared" si="332"/>
        <v>2</v>
      </c>
      <c r="AX68" s="254">
        <f t="shared" si="333"/>
        <v>96</v>
      </c>
      <c r="AY68" s="263">
        <f t="shared" si="334"/>
        <v>25</v>
      </c>
      <c r="AZ68" s="260"/>
      <c r="BA68" s="305"/>
      <c r="BB68" s="244"/>
      <c r="BC68" s="309"/>
      <c r="BD68" s="261">
        <v>8</v>
      </c>
      <c r="BE68" s="59">
        <f t="shared" si="335"/>
        <v>2</v>
      </c>
      <c r="BF68" s="254">
        <f t="shared" si="336"/>
        <v>96</v>
      </c>
      <c r="BG68" s="263">
        <f t="shared" si="337"/>
        <v>25</v>
      </c>
      <c r="BH68" s="260"/>
      <c r="BI68" s="302"/>
      <c r="BJ68" s="261">
        <v>8</v>
      </c>
      <c r="BK68" s="59">
        <f t="shared" si="338"/>
        <v>2</v>
      </c>
      <c r="BL68" s="254">
        <f t="shared" si="339"/>
        <v>96</v>
      </c>
      <c r="BM68" s="263">
        <f t="shared" si="340"/>
        <v>25</v>
      </c>
      <c r="BN68" s="260"/>
      <c r="BO68" s="302"/>
      <c r="BP68" s="261">
        <v>8</v>
      </c>
      <c r="BQ68" s="59">
        <f t="shared" si="341"/>
        <v>2</v>
      </c>
      <c r="BR68" s="254">
        <f t="shared" si="342"/>
        <v>96</v>
      </c>
      <c r="BS68" s="263">
        <f t="shared" si="343"/>
        <v>25</v>
      </c>
      <c r="BT68" s="260"/>
      <c r="BU68" s="305"/>
      <c r="BV68" s="244"/>
      <c r="BW68" s="309"/>
      <c r="BX68" s="261">
        <v>8</v>
      </c>
      <c r="BY68" s="59">
        <f t="shared" si="344"/>
        <v>2</v>
      </c>
      <c r="BZ68" s="254">
        <f t="shared" si="345"/>
        <v>96</v>
      </c>
      <c r="CA68" s="263">
        <f t="shared" si="346"/>
        <v>25</v>
      </c>
      <c r="CB68" s="260"/>
      <c r="CC68" s="302"/>
      <c r="CD68" s="261">
        <v>8</v>
      </c>
      <c r="CE68" s="59">
        <f t="shared" si="347"/>
        <v>2</v>
      </c>
      <c r="CF68" s="254">
        <f t="shared" si="348"/>
        <v>96</v>
      </c>
      <c r="CG68" s="263">
        <f t="shared" si="349"/>
        <v>25</v>
      </c>
      <c r="CH68" s="260"/>
      <c r="CI68" s="302"/>
      <c r="CJ68" s="261">
        <v>8</v>
      </c>
      <c r="CK68" s="59">
        <f t="shared" si="350"/>
        <v>2</v>
      </c>
      <c r="CL68" s="254">
        <f t="shared" si="351"/>
        <v>96</v>
      </c>
      <c r="CM68" s="263">
        <f t="shared" si="352"/>
        <v>25</v>
      </c>
      <c r="CN68" s="260"/>
      <c r="CO68" s="302"/>
      <c r="CP68" s="261">
        <v>8</v>
      </c>
      <c r="CQ68" s="59">
        <f t="shared" si="353"/>
        <v>2</v>
      </c>
      <c r="CR68" s="254">
        <f t="shared" si="354"/>
        <v>96</v>
      </c>
      <c r="CS68" s="263">
        <f t="shared" si="355"/>
        <v>25</v>
      </c>
      <c r="CT68" s="260"/>
      <c r="CU68" s="305"/>
      <c r="CV68" s="244"/>
      <c r="CW68" s="309"/>
      <c r="CX68" s="261">
        <v>8</v>
      </c>
      <c r="CY68" s="59">
        <f t="shared" si="356"/>
        <v>2</v>
      </c>
      <c r="CZ68" s="254">
        <f t="shared" si="357"/>
        <v>96</v>
      </c>
      <c r="DA68" s="263">
        <f t="shared" si="358"/>
        <v>25</v>
      </c>
      <c r="DB68" s="260"/>
      <c r="DC68" s="302"/>
      <c r="DD68" s="261">
        <v>8</v>
      </c>
      <c r="DE68" s="59">
        <f t="shared" si="359"/>
        <v>2</v>
      </c>
      <c r="DF68" s="254">
        <f t="shared" si="360"/>
        <v>96</v>
      </c>
      <c r="DG68" s="263">
        <f t="shared" si="361"/>
        <v>25</v>
      </c>
      <c r="DH68" s="260"/>
      <c r="DI68" s="302"/>
      <c r="DJ68" s="261">
        <v>8</v>
      </c>
      <c r="DK68" s="59">
        <f t="shared" si="362"/>
        <v>2</v>
      </c>
      <c r="DL68" s="254">
        <f t="shared" si="363"/>
        <v>96</v>
      </c>
      <c r="DM68" s="263">
        <f t="shared" si="364"/>
        <v>25</v>
      </c>
      <c r="DN68" s="260"/>
      <c r="DO68" s="302"/>
      <c r="DP68" s="261">
        <v>8</v>
      </c>
      <c r="DQ68" s="59">
        <f t="shared" si="365"/>
        <v>2</v>
      </c>
      <c r="DR68" s="254">
        <f t="shared" si="366"/>
        <v>96</v>
      </c>
      <c r="DS68" s="263">
        <f t="shared" si="367"/>
        <v>25</v>
      </c>
      <c r="DT68" s="260"/>
      <c r="DU68" s="305"/>
      <c r="DV68" s="244"/>
      <c r="DW68" s="309"/>
      <c r="DX68" s="261">
        <v>8</v>
      </c>
      <c r="DY68" s="59">
        <f t="shared" si="368"/>
        <v>2</v>
      </c>
      <c r="DZ68" s="254">
        <f t="shared" si="369"/>
        <v>96</v>
      </c>
      <c r="EA68" s="263">
        <f t="shared" si="370"/>
        <v>25</v>
      </c>
      <c r="EB68" s="260"/>
      <c r="EC68" s="302"/>
      <c r="ED68" s="261">
        <v>8</v>
      </c>
      <c r="EE68" s="59">
        <f t="shared" si="371"/>
        <v>2</v>
      </c>
      <c r="EF68" s="254">
        <f t="shared" si="372"/>
        <v>96</v>
      </c>
      <c r="EG68" s="263">
        <f t="shared" si="373"/>
        <v>25</v>
      </c>
      <c r="EH68" s="260"/>
      <c r="EI68" s="302"/>
      <c r="EJ68" s="261">
        <v>8</v>
      </c>
      <c r="EK68" s="59">
        <f t="shared" si="374"/>
        <v>2</v>
      </c>
      <c r="EL68" s="254">
        <f t="shared" si="375"/>
        <v>96</v>
      </c>
      <c r="EM68" s="263">
        <f t="shared" si="376"/>
        <v>25</v>
      </c>
      <c r="EN68" s="260"/>
      <c r="EO68" s="305"/>
      <c r="EP68" s="244"/>
      <c r="EQ68" s="309"/>
      <c r="ER68" s="261">
        <v>8</v>
      </c>
      <c r="ES68" s="59">
        <f t="shared" si="377"/>
        <v>2</v>
      </c>
      <c r="ET68" s="254">
        <f t="shared" si="378"/>
        <v>96</v>
      </c>
      <c r="EU68" s="263">
        <f t="shared" si="379"/>
        <v>25</v>
      </c>
      <c r="EV68" s="260"/>
      <c r="EW68" s="302"/>
      <c r="EX68" s="261">
        <v>8</v>
      </c>
      <c r="EY68" s="59">
        <f t="shared" si="380"/>
        <v>2</v>
      </c>
      <c r="EZ68" s="254">
        <f t="shared" si="381"/>
        <v>96</v>
      </c>
      <c r="FA68" s="263">
        <f t="shared" si="382"/>
        <v>25</v>
      </c>
      <c r="FB68" s="260"/>
      <c r="FC68" s="302"/>
      <c r="FD68" s="261">
        <v>8</v>
      </c>
      <c r="FE68" s="59">
        <f t="shared" si="383"/>
        <v>2</v>
      </c>
      <c r="FF68" s="254">
        <f t="shared" si="384"/>
        <v>96</v>
      </c>
      <c r="FG68" s="263">
        <f t="shared" si="385"/>
        <v>25</v>
      </c>
      <c r="FH68" s="260"/>
      <c r="FI68" s="302"/>
      <c r="FJ68" s="261">
        <v>8</v>
      </c>
      <c r="FK68" s="59">
        <f t="shared" si="386"/>
        <v>2</v>
      </c>
      <c r="FL68" s="254">
        <f t="shared" si="387"/>
        <v>96</v>
      </c>
      <c r="FM68" s="263">
        <f t="shared" si="388"/>
        <v>25</v>
      </c>
      <c r="FN68" s="260"/>
      <c r="FO68" s="305"/>
      <c r="FP68" s="244"/>
    </row>
    <row r="69" spans="1:172" ht="17" x14ac:dyDescent="0.45">
      <c r="A69" s="306">
        <v>6</v>
      </c>
      <c r="B69" s="241">
        <f>U11</f>
        <v>6</v>
      </c>
      <c r="C69" s="206" t="s">
        <v>154</v>
      </c>
      <c r="D69" s="206" t="s">
        <v>158</v>
      </c>
      <c r="E69" s="242" t="s">
        <v>152</v>
      </c>
      <c r="F69" s="262"/>
      <c r="G69" s="300">
        <v>6</v>
      </c>
      <c r="H69" s="245"/>
      <c r="I69" s="206" t="s">
        <v>154</v>
      </c>
      <c r="J69" s="206" t="s">
        <v>158</v>
      </c>
      <c r="K69" s="242" t="s">
        <v>152</v>
      </c>
      <c r="L69" s="262"/>
      <c r="M69" s="305">
        <f>IF(COUNT(#REF!,F70:F78,L70:L78) &gt;0, COUNT(#REF!,F70:F78,L70:L78) /2,"")</f>
        <v>1</v>
      </c>
      <c r="N69" s="244"/>
      <c r="O69" s="306">
        <v>6</v>
      </c>
      <c r="P69" s="245"/>
      <c r="Q69" s="206" t="s">
        <v>154</v>
      </c>
      <c r="R69" s="206" t="s">
        <v>158</v>
      </c>
      <c r="S69" s="242" t="s">
        <v>152</v>
      </c>
      <c r="T69" s="262"/>
      <c r="U69" s="300">
        <v>6</v>
      </c>
      <c r="V69" s="245"/>
      <c r="W69" s="206" t="s">
        <v>154</v>
      </c>
      <c r="X69" s="206" t="s">
        <v>158</v>
      </c>
      <c r="Y69" s="242" t="s">
        <v>152</v>
      </c>
      <c r="Z69" s="262"/>
      <c r="AA69" s="300">
        <v>6</v>
      </c>
      <c r="AB69" s="245"/>
      <c r="AC69" s="206" t="s">
        <v>154</v>
      </c>
      <c r="AD69" s="206" t="s">
        <v>158</v>
      </c>
      <c r="AE69" s="242" t="s">
        <v>152</v>
      </c>
      <c r="AF69" s="262"/>
      <c r="AG69" s="305">
        <f>IF(COUNT(N70:N78,T70:T78,Z70:Z78,AF70:AF78) &gt;0, COUNT(N70:N78,T70:T78,Z70:Z78,AF70:AF78) /2,"")</f>
        <v>2</v>
      </c>
      <c r="AH69" s="244"/>
      <c r="AI69" s="306">
        <v>6</v>
      </c>
      <c r="AJ69" s="245"/>
      <c r="AK69" s="206" t="s">
        <v>154</v>
      </c>
      <c r="AL69" s="206" t="s">
        <v>158</v>
      </c>
      <c r="AM69" s="242" t="s">
        <v>152</v>
      </c>
      <c r="AN69" s="262"/>
      <c r="AO69" s="300">
        <v>6</v>
      </c>
      <c r="AP69" s="245"/>
      <c r="AQ69" s="206" t="s">
        <v>154</v>
      </c>
      <c r="AR69" s="206" t="s">
        <v>158</v>
      </c>
      <c r="AS69" s="242" t="s">
        <v>152</v>
      </c>
      <c r="AT69" s="262"/>
      <c r="AU69" s="300">
        <v>6</v>
      </c>
      <c r="AV69" s="245"/>
      <c r="AW69" s="206" t="s">
        <v>154</v>
      </c>
      <c r="AX69" s="206" t="s">
        <v>158</v>
      </c>
      <c r="AY69" s="242" t="s">
        <v>152</v>
      </c>
      <c r="AZ69" s="262"/>
      <c r="BA69" s="305">
        <f>IF(COUNT(AN70:AN78,AT70:AT78,AZ70:AZ78) &gt;0, COUNT(AN70:AN78,AT70:AT78,AZ70:AZ78) /2,"")</f>
        <v>1</v>
      </c>
      <c r="BB69" s="244"/>
      <c r="BC69" s="306">
        <v>6</v>
      </c>
      <c r="BD69" s="245"/>
      <c r="BE69" s="206" t="s">
        <v>154</v>
      </c>
      <c r="BF69" s="206" t="s">
        <v>158</v>
      </c>
      <c r="BG69" s="242" t="s">
        <v>152</v>
      </c>
      <c r="BH69" s="262"/>
      <c r="BI69" s="300">
        <v>6</v>
      </c>
      <c r="BJ69" s="245"/>
      <c r="BK69" s="206" t="s">
        <v>154</v>
      </c>
      <c r="BL69" s="206" t="s">
        <v>158</v>
      </c>
      <c r="BM69" s="242" t="s">
        <v>152</v>
      </c>
      <c r="BN69" s="262"/>
      <c r="BO69" s="300">
        <v>6</v>
      </c>
      <c r="BP69" s="245"/>
      <c r="BQ69" s="206" t="s">
        <v>154</v>
      </c>
      <c r="BR69" s="206" t="s">
        <v>158</v>
      </c>
      <c r="BS69" s="242" t="s">
        <v>152</v>
      </c>
      <c r="BT69" s="262"/>
      <c r="BU69" s="305">
        <f>IF(COUNT(BH70:BH78,BN70:BN78,BT70:BT78) &gt;0, COUNT(BH70:BH78,BN70:BN78,BT70:BT78) /2,"")</f>
        <v>2</v>
      </c>
      <c r="BV69" s="244"/>
      <c r="BW69" s="306">
        <v>6</v>
      </c>
      <c r="BX69" s="245"/>
      <c r="BY69" s="206" t="s">
        <v>154</v>
      </c>
      <c r="BZ69" s="206" t="s">
        <v>158</v>
      </c>
      <c r="CA69" s="242" t="s">
        <v>152</v>
      </c>
      <c r="CB69" s="262"/>
      <c r="CC69" s="300">
        <v>6</v>
      </c>
      <c r="CD69" s="245"/>
      <c r="CE69" s="206" t="s">
        <v>154</v>
      </c>
      <c r="CF69" s="206" t="s">
        <v>158</v>
      </c>
      <c r="CG69" s="242" t="s">
        <v>152</v>
      </c>
      <c r="CH69" s="262"/>
      <c r="CI69" s="300">
        <v>6</v>
      </c>
      <c r="CJ69" s="245"/>
      <c r="CK69" s="206" t="s">
        <v>154</v>
      </c>
      <c r="CL69" s="206" t="s">
        <v>158</v>
      </c>
      <c r="CM69" s="242" t="s">
        <v>152</v>
      </c>
      <c r="CN69" s="262"/>
      <c r="CO69" s="300">
        <v>6</v>
      </c>
      <c r="CP69" s="245"/>
      <c r="CQ69" s="206" t="s">
        <v>154</v>
      </c>
      <c r="CR69" s="206" t="s">
        <v>158</v>
      </c>
      <c r="CS69" s="242" t="s">
        <v>152</v>
      </c>
      <c r="CT69" s="262"/>
      <c r="CU69" s="305" t="str">
        <f>IF(COUNT(CB70:CB78,CH70:CH78,CN70:CN78,CT70:CT78) &gt;0, COUNT(CB70:CB78,CH70:CH78,CN70:CN78,CT70:CT78) /2,"")</f>
        <v/>
      </c>
      <c r="CV69" s="244"/>
      <c r="CW69" s="306">
        <v>6</v>
      </c>
      <c r="CX69" s="245"/>
      <c r="CY69" s="206" t="s">
        <v>154</v>
      </c>
      <c r="CZ69" s="206" t="s">
        <v>158</v>
      </c>
      <c r="DA69" s="242" t="s">
        <v>152</v>
      </c>
      <c r="DB69" s="262"/>
      <c r="DC69" s="300">
        <v>6</v>
      </c>
      <c r="DD69" s="245"/>
      <c r="DE69" s="206" t="s">
        <v>154</v>
      </c>
      <c r="DF69" s="206" t="s">
        <v>158</v>
      </c>
      <c r="DG69" s="242" t="s">
        <v>152</v>
      </c>
      <c r="DH69" s="262"/>
      <c r="DI69" s="300">
        <v>6</v>
      </c>
      <c r="DJ69" s="245"/>
      <c r="DK69" s="206" t="s">
        <v>154</v>
      </c>
      <c r="DL69" s="206" t="s">
        <v>158</v>
      </c>
      <c r="DM69" s="242" t="s">
        <v>152</v>
      </c>
      <c r="DN69" s="262"/>
      <c r="DO69" s="300">
        <v>6</v>
      </c>
      <c r="DP69" s="245"/>
      <c r="DQ69" s="206" t="s">
        <v>154</v>
      </c>
      <c r="DR69" s="206" t="s">
        <v>158</v>
      </c>
      <c r="DS69" s="242" t="s">
        <v>152</v>
      </c>
      <c r="DT69" s="262"/>
      <c r="DU69" s="305" t="str">
        <f>IF(COUNT(DB70:DB78,DH70:DH78,DN70:DN78,DT70:DT78) &gt;0, COUNT(DB70:DB78,DH70:DH78,DN70:DN78,DT70:DT78) /2,"")</f>
        <v/>
      </c>
      <c r="DV69" s="244"/>
      <c r="DW69" s="306">
        <v>6</v>
      </c>
      <c r="DX69" s="245"/>
      <c r="DY69" s="206" t="s">
        <v>154</v>
      </c>
      <c r="DZ69" s="206" t="s">
        <v>158</v>
      </c>
      <c r="EA69" s="242" t="s">
        <v>152</v>
      </c>
      <c r="EB69" s="262"/>
      <c r="EC69" s="300">
        <v>6</v>
      </c>
      <c r="ED69" s="245"/>
      <c r="EE69" s="206" t="s">
        <v>154</v>
      </c>
      <c r="EF69" s="206" t="s">
        <v>158</v>
      </c>
      <c r="EG69" s="242" t="s">
        <v>152</v>
      </c>
      <c r="EH69" s="262"/>
      <c r="EI69" s="300">
        <v>6</v>
      </c>
      <c r="EJ69" s="245"/>
      <c r="EK69" s="206" t="s">
        <v>154</v>
      </c>
      <c r="EL69" s="206" t="s">
        <v>158</v>
      </c>
      <c r="EM69" s="242" t="s">
        <v>152</v>
      </c>
      <c r="EN69" s="262"/>
      <c r="EO69" s="305" t="str">
        <f>IF(COUNT(EB70:EB78,EH70:EH78,EN70:EN78) &gt;0, COUNT(EB70:EB78,EH70:EH78,EN70:EN78) /2,"")</f>
        <v/>
      </c>
      <c r="EP69" s="244"/>
      <c r="EQ69" s="306">
        <v>6</v>
      </c>
      <c r="ER69" s="245"/>
      <c r="ES69" s="206" t="s">
        <v>154</v>
      </c>
      <c r="ET69" s="206" t="s">
        <v>158</v>
      </c>
      <c r="EU69" s="242" t="s">
        <v>152</v>
      </c>
      <c r="EV69" s="262"/>
      <c r="EW69" s="300">
        <v>6</v>
      </c>
      <c r="EX69" s="245"/>
      <c r="EY69" s="206" t="s">
        <v>154</v>
      </c>
      <c r="EZ69" s="206" t="s">
        <v>158</v>
      </c>
      <c r="FA69" s="242" t="s">
        <v>152</v>
      </c>
      <c r="FB69" s="262"/>
      <c r="FC69" s="300">
        <v>6</v>
      </c>
      <c r="FD69" s="245"/>
      <c r="FE69" s="206" t="s">
        <v>154</v>
      </c>
      <c r="FF69" s="206" t="s">
        <v>158</v>
      </c>
      <c r="FG69" s="242" t="s">
        <v>152</v>
      </c>
      <c r="FH69" s="262"/>
      <c r="FI69" s="300">
        <v>6</v>
      </c>
      <c r="FJ69" s="245"/>
      <c r="FK69" s="206" t="s">
        <v>154</v>
      </c>
      <c r="FL69" s="206" t="s">
        <v>158</v>
      </c>
      <c r="FM69" s="242" t="s">
        <v>152</v>
      </c>
      <c r="FN69" s="262"/>
      <c r="FO69" s="305" t="str">
        <f>IF(COUNT(EV70:EV78,FB70:FB78,FH70:FH78,FN70:FN78) &gt;0, COUNT(EV70:EV78,FB70:FB78,FH70:FH78,FN70:FN78) /2,"")</f>
        <v/>
      </c>
      <c r="FP69" s="244"/>
    </row>
    <row r="70" spans="1:172" ht="27.75" customHeight="1" x14ac:dyDescent="0.45">
      <c r="A70" s="307"/>
      <c r="B70" s="249" t="s">
        <v>162</v>
      </c>
      <c r="C70" s="41" t="s">
        <v>156</v>
      </c>
      <c r="D70" s="41" t="s">
        <v>175</v>
      </c>
      <c r="E70" s="249" t="s">
        <v>174</v>
      </c>
      <c r="F70" s="250"/>
      <c r="G70" s="301"/>
      <c r="H70" s="249" t="s">
        <v>162</v>
      </c>
      <c r="I70" s="59" t="s">
        <v>155</v>
      </c>
      <c r="J70" s="41" t="s">
        <v>175</v>
      </c>
      <c r="K70" s="249" t="s">
        <v>174</v>
      </c>
      <c r="L70" s="250"/>
      <c r="M70" s="305"/>
      <c r="N70" s="244"/>
      <c r="O70" s="307"/>
      <c r="P70" s="249" t="s">
        <v>162</v>
      </c>
      <c r="Q70" s="59" t="s">
        <v>155</v>
      </c>
      <c r="R70" s="41" t="s">
        <v>175</v>
      </c>
      <c r="S70" s="249" t="s">
        <v>174</v>
      </c>
      <c r="T70" s="250"/>
      <c r="U70" s="301"/>
      <c r="V70" s="249" t="s">
        <v>162</v>
      </c>
      <c r="W70" s="59" t="s">
        <v>155</v>
      </c>
      <c r="X70" s="41" t="s">
        <v>175</v>
      </c>
      <c r="Y70" s="249" t="s">
        <v>174</v>
      </c>
      <c r="Z70" s="250"/>
      <c r="AA70" s="301"/>
      <c r="AB70" s="249" t="s">
        <v>162</v>
      </c>
      <c r="AC70" s="59" t="s">
        <v>155</v>
      </c>
      <c r="AD70" s="41" t="s">
        <v>175</v>
      </c>
      <c r="AE70" s="249" t="s">
        <v>174</v>
      </c>
      <c r="AF70" s="250"/>
      <c r="AG70" s="305"/>
      <c r="AH70" s="244"/>
      <c r="AI70" s="307"/>
      <c r="AJ70" s="249" t="s">
        <v>162</v>
      </c>
      <c r="AK70" s="59" t="s">
        <v>155</v>
      </c>
      <c r="AL70" s="41" t="s">
        <v>175</v>
      </c>
      <c r="AM70" s="249" t="s">
        <v>174</v>
      </c>
      <c r="AN70" s="250"/>
      <c r="AO70" s="301"/>
      <c r="AP70" s="249" t="s">
        <v>162</v>
      </c>
      <c r="AQ70" s="59" t="s">
        <v>155</v>
      </c>
      <c r="AR70" s="41" t="s">
        <v>175</v>
      </c>
      <c r="AS70" s="249" t="s">
        <v>174</v>
      </c>
      <c r="AT70" s="250"/>
      <c r="AU70" s="301"/>
      <c r="AV70" s="249" t="s">
        <v>162</v>
      </c>
      <c r="AW70" s="59" t="s">
        <v>155</v>
      </c>
      <c r="AX70" s="41" t="s">
        <v>175</v>
      </c>
      <c r="AY70" s="249" t="s">
        <v>174</v>
      </c>
      <c r="AZ70" s="250"/>
      <c r="BA70" s="305"/>
      <c r="BB70" s="244"/>
      <c r="BC70" s="307"/>
      <c r="BD70" s="249" t="s">
        <v>162</v>
      </c>
      <c r="BE70" s="59" t="s">
        <v>155</v>
      </c>
      <c r="BF70" s="41" t="s">
        <v>175</v>
      </c>
      <c r="BG70" s="249" t="s">
        <v>174</v>
      </c>
      <c r="BH70" s="250"/>
      <c r="BI70" s="301"/>
      <c r="BJ70" s="249" t="s">
        <v>162</v>
      </c>
      <c r="BK70" s="59" t="s">
        <v>155</v>
      </c>
      <c r="BL70" s="41" t="s">
        <v>175</v>
      </c>
      <c r="BM70" s="249" t="s">
        <v>174</v>
      </c>
      <c r="BN70" s="250"/>
      <c r="BO70" s="301"/>
      <c r="BP70" s="249" t="s">
        <v>162</v>
      </c>
      <c r="BQ70" s="59" t="s">
        <v>155</v>
      </c>
      <c r="BR70" s="41" t="s">
        <v>175</v>
      </c>
      <c r="BS70" s="249" t="s">
        <v>174</v>
      </c>
      <c r="BT70" s="250"/>
      <c r="BU70" s="305"/>
      <c r="BV70" s="244"/>
      <c r="BW70" s="307"/>
      <c r="BX70" s="249" t="s">
        <v>162</v>
      </c>
      <c r="BY70" s="59" t="s">
        <v>155</v>
      </c>
      <c r="BZ70" s="41" t="s">
        <v>175</v>
      </c>
      <c r="CA70" s="249" t="s">
        <v>174</v>
      </c>
      <c r="CB70" s="250"/>
      <c r="CC70" s="301"/>
      <c r="CD70" s="249" t="s">
        <v>162</v>
      </c>
      <c r="CE70" s="59" t="s">
        <v>155</v>
      </c>
      <c r="CF70" s="41" t="s">
        <v>175</v>
      </c>
      <c r="CG70" s="249" t="s">
        <v>174</v>
      </c>
      <c r="CH70" s="250"/>
      <c r="CI70" s="301"/>
      <c r="CJ70" s="249" t="s">
        <v>162</v>
      </c>
      <c r="CK70" s="59" t="s">
        <v>155</v>
      </c>
      <c r="CL70" s="41" t="s">
        <v>175</v>
      </c>
      <c r="CM70" s="249" t="s">
        <v>174</v>
      </c>
      <c r="CN70" s="250"/>
      <c r="CO70" s="301"/>
      <c r="CP70" s="249" t="s">
        <v>162</v>
      </c>
      <c r="CQ70" s="59" t="s">
        <v>155</v>
      </c>
      <c r="CR70" s="41" t="s">
        <v>175</v>
      </c>
      <c r="CS70" s="249" t="s">
        <v>174</v>
      </c>
      <c r="CT70" s="250"/>
      <c r="CU70" s="305"/>
      <c r="CV70" s="244"/>
      <c r="CW70" s="307"/>
      <c r="CX70" s="249" t="s">
        <v>162</v>
      </c>
      <c r="CY70" s="59" t="s">
        <v>155</v>
      </c>
      <c r="CZ70" s="41" t="s">
        <v>175</v>
      </c>
      <c r="DA70" s="249" t="s">
        <v>174</v>
      </c>
      <c r="DB70" s="250"/>
      <c r="DC70" s="301"/>
      <c r="DD70" s="249" t="s">
        <v>162</v>
      </c>
      <c r="DE70" s="59" t="s">
        <v>155</v>
      </c>
      <c r="DF70" s="41" t="s">
        <v>175</v>
      </c>
      <c r="DG70" s="249" t="s">
        <v>174</v>
      </c>
      <c r="DH70" s="250"/>
      <c r="DI70" s="301"/>
      <c r="DJ70" s="249" t="s">
        <v>162</v>
      </c>
      <c r="DK70" s="59" t="s">
        <v>155</v>
      </c>
      <c r="DL70" s="41" t="s">
        <v>175</v>
      </c>
      <c r="DM70" s="249" t="s">
        <v>174</v>
      </c>
      <c r="DN70" s="250"/>
      <c r="DO70" s="301"/>
      <c r="DP70" s="249" t="s">
        <v>162</v>
      </c>
      <c r="DQ70" s="59" t="s">
        <v>155</v>
      </c>
      <c r="DR70" s="41" t="s">
        <v>175</v>
      </c>
      <c r="DS70" s="249" t="s">
        <v>174</v>
      </c>
      <c r="DT70" s="250"/>
      <c r="DU70" s="305"/>
      <c r="DV70" s="244"/>
      <c r="DW70" s="307"/>
      <c r="DX70" s="249" t="s">
        <v>162</v>
      </c>
      <c r="DY70" s="59" t="s">
        <v>155</v>
      </c>
      <c r="DZ70" s="41" t="s">
        <v>175</v>
      </c>
      <c r="EA70" s="249" t="s">
        <v>174</v>
      </c>
      <c r="EB70" s="250"/>
      <c r="EC70" s="301"/>
      <c r="ED70" s="249" t="s">
        <v>162</v>
      </c>
      <c r="EE70" s="59" t="s">
        <v>155</v>
      </c>
      <c r="EF70" s="41" t="s">
        <v>175</v>
      </c>
      <c r="EG70" s="249" t="s">
        <v>174</v>
      </c>
      <c r="EH70" s="250"/>
      <c r="EI70" s="301"/>
      <c r="EJ70" s="249" t="s">
        <v>162</v>
      </c>
      <c r="EK70" s="59" t="s">
        <v>155</v>
      </c>
      <c r="EL70" s="41" t="s">
        <v>175</v>
      </c>
      <c r="EM70" s="249" t="s">
        <v>174</v>
      </c>
      <c r="EN70" s="250"/>
      <c r="EO70" s="305"/>
      <c r="EP70" s="244"/>
      <c r="EQ70" s="307"/>
      <c r="ER70" s="249" t="s">
        <v>162</v>
      </c>
      <c r="ES70" s="59" t="s">
        <v>155</v>
      </c>
      <c r="ET70" s="41" t="s">
        <v>175</v>
      </c>
      <c r="EU70" s="249" t="s">
        <v>174</v>
      </c>
      <c r="EV70" s="250"/>
      <c r="EW70" s="301"/>
      <c r="EX70" s="249" t="s">
        <v>162</v>
      </c>
      <c r="EY70" s="59" t="s">
        <v>155</v>
      </c>
      <c r="EZ70" s="41" t="s">
        <v>175</v>
      </c>
      <c r="FA70" s="249" t="s">
        <v>174</v>
      </c>
      <c r="FB70" s="250"/>
      <c r="FC70" s="301"/>
      <c r="FD70" s="249" t="s">
        <v>162</v>
      </c>
      <c r="FE70" s="59" t="s">
        <v>155</v>
      </c>
      <c r="FF70" s="41" t="s">
        <v>175</v>
      </c>
      <c r="FG70" s="249" t="s">
        <v>174</v>
      </c>
      <c r="FH70" s="250"/>
      <c r="FI70" s="301"/>
      <c r="FJ70" s="249" t="s">
        <v>162</v>
      </c>
      <c r="FK70" s="59" t="s">
        <v>155</v>
      </c>
      <c r="FL70" s="41" t="s">
        <v>175</v>
      </c>
      <c r="FM70" s="249" t="s">
        <v>174</v>
      </c>
      <c r="FN70" s="250"/>
      <c r="FO70" s="305"/>
      <c r="FP70" s="244"/>
    </row>
    <row r="71" spans="1:172" ht="17" x14ac:dyDescent="0.45">
      <c r="A71" s="307"/>
      <c r="B71" s="226">
        <v>1</v>
      </c>
      <c r="C71" s="59">
        <v>0</v>
      </c>
      <c r="D71" s="254">
        <f t="shared" ref="D71:D78" si="389">(C71+$B$69)*$H$3</f>
        <v>48</v>
      </c>
      <c r="E71" s="263">
        <f t="shared" ref="E71:E78" si="390">MOD($F6+D71,$H$2)</f>
        <v>23</v>
      </c>
      <c r="F71" s="264"/>
      <c r="G71" s="301"/>
      <c r="H71" s="266">
        <v>1</v>
      </c>
      <c r="I71" s="59">
        <f t="shared" ref="I71:I78" si="391">IF(F71="", C71,IF(F71=MAX(F$71:F$78),C71+1,0))</f>
        <v>0</v>
      </c>
      <c r="J71" s="254">
        <f t="shared" ref="J71:J78" si="392">(I71+$B$69)*$H$3</f>
        <v>48</v>
      </c>
      <c r="K71" s="263">
        <f t="shared" ref="K71:K78" si="393">MOD($F6+J71,$H$2)</f>
        <v>23</v>
      </c>
      <c r="L71" s="264"/>
      <c r="M71" s="305"/>
      <c r="N71" s="244"/>
      <c r="O71" s="307"/>
      <c r="P71" s="266">
        <v>1</v>
      </c>
      <c r="Q71" s="59">
        <f t="shared" ref="Q71:Q78" si="394">IF(F71="", C71,IF(F71=MAX(F$71:F$78),C71+1,0))</f>
        <v>0</v>
      </c>
      <c r="R71" s="254">
        <f t="shared" ref="R71:R78" si="395">(Q71+$B$69)*$H$3</f>
        <v>48</v>
      </c>
      <c r="S71" s="263">
        <f t="shared" ref="S71:S78" si="396">MOD($F6+R71,$H$2)</f>
        <v>23</v>
      </c>
      <c r="T71" s="264"/>
      <c r="U71" s="301"/>
      <c r="V71" s="266">
        <v>1</v>
      </c>
      <c r="W71" s="59">
        <f t="shared" ref="W71:W78" si="397">IF(T71="", Q71,IF(T71=MAX(T$71:T$78),Q71+1,0))</f>
        <v>0</v>
      </c>
      <c r="X71" s="254">
        <f t="shared" ref="X71:X78" si="398">(W71+$B$69)*$H$3</f>
        <v>48</v>
      </c>
      <c r="Y71" s="263">
        <f t="shared" ref="Y71:Y78" si="399">MOD($F6+X71,$H$2)</f>
        <v>23</v>
      </c>
      <c r="Z71" s="264"/>
      <c r="AA71" s="301"/>
      <c r="AB71" s="266">
        <v>1</v>
      </c>
      <c r="AC71" s="59">
        <f t="shared" ref="AC71:AC78" si="400">IF(Z71="", W71,IF(Z71=MAX(Z$71:Z$78),W71+1,0))</f>
        <v>0</v>
      </c>
      <c r="AD71" s="254">
        <f t="shared" ref="AD71:AD78" si="401">(AC71+$B$69)*$H$3</f>
        <v>48</v>
      </c>
      <c r="AE71" s="263">
        <f t="shared" ref="AE71:AE78" si="402">MOD($F6+AD71,$H$2)</f>
        <v>23</v>
      </c>
      <c r="AF71" s="264"/>
      <c r="AG71" s="305"/>
      <c r="AH71" s="244"/>
      <c r="AI71" s="307"/>
      <c r="AJ71" s="266">
        <v>1</v>
      </c>
      <c r="AK71" s="59">
        <f t="shared" ref="AK71:AK78" si="403">IF(AF71="", AC71,IF(AF71=MAX(AF$71:AF$78),AC71+1,0))</f>
        <v>0</v>
      </c>
      <c r="AL71" s="254">
        <f t="shared" ref="AL71:AL78" si="404">(AK71+$B$69)*$H$3</f>
        <v>48</v>
      </c>
      <c r="AM71" s="263">
        <f t="shared" ref="AM71:AM78" si="405">MOD($F6+AL71,$H$2)</f>
        <v>23</v>
      </c>
      <c r="AN71" s="264"/>
      <c r="AO71" s="301"/>
      <c r="AP71" s="266">
        <v>1</v>
      </c>
      <c r="AQ71" s="59">
        <f t="shared" ref="AQ71:AQ78" si="406">IF(AN71="", AK71,IF(AN71=MAX(AN$71:AN$78),AK71+1,0))</f>
        <v>0</v>
      </c>
      <c r="AR71" s="254">
        <f t="shared" ref="AR71:AR78" si="407">(AQ71+$B$69)*$H$3</f>
        <v>48</v>
      </c>
      <c r="AS71" s="263">
        <f t="shared" ref="AS71:AS78" si="408">MOD($F6+AR71,$H$2)</f>
        <v>23</v>
      </c>
      <c r="AT71" s="264"/>
      <c r="AU71" s="301"/>
      <c r="AV71" s="266">
        <v>1</v>
      </c>
      <c r="AW71" s="59">
        <f t="shared" ref="AW71:AW78" si="409">IF(AT71="", AQ71,IF(AT71=MAX(AT$71:AT$78),AQ71+1,0))</f>
        <v>0</v>
      </c>
      <c r="AX71" s="254">
        <f t="shared" ref="AX71:AX78" si="410">(AW71+$B$69)*$H$3</f>
        <v>48</v>
      </c>
      <c r="AY71" s="263">
        <f t="shared" ref="AY71:AY78" si="411">MOD($F6+AX71,$H$2)</f>
        <v>23</v>
      </c>
      <c r="AZ71" s="264"/>
      <c r="BA71" s="305"/>
      <c r="BB71" s="244"/>
      <c r="BC71" s="307"/>
      <c r="BD71" s="266">
        <v>1</v>
      </c>
      <c r="BE71" s="59">
        <f t="shared" ref="BE71:BE78" si="412">IF(AZ71="", AW71,IF(AZ71=MAX(AZ$71:AZ$78),AW71+1,0))</f>
        <v>0</v>
      </c>
      <c r="BF71" s="254">
        <f t="shared" ref="BF71:BF78" si="413">(BE71+$B$69)*$H$3</f>
        <v>48</v>
      </c>
      <c r="BG71" s="263">
        <f t="shared" ref="BG71:BG78" si="414">MOD($F6+BF71,$H$2)</f>
        <v>23</v>
      </c>
      <c r="BH71" s="264"/>
      <c r="BI71" s="301"/>
      <c r="BJ71" s="266">
        <v>1</v>
      </c>
      <c r="BK71" s="59">
        <f t="shared" ref="BK71:BK78" si="415">IF(BH71="", BE71,IF(BH71=MAX(BH$71:BH$78),BE71+1,0))</f>
        <v>0</v>
      </c>
      <c r="BL71" s="254">
        <f t="shared" ref="BL71:BL78" si="416">(BK71+$B$69)*$H$3</f>
        <v>48</v>
      </c>
      <c r="BM71" s="263">
        <f t="shared" ref="BM71:BM78" si="417">MOD($F6+BL71,$H$2)</f>
        <v>23</v>
      </c>
      <c r="BN71" s="264"/>
      <c r="BO71" s="301"/>
      <c r="BP71" s="266">
        <v>1</v>
      </c>
      <c r="BQ71" s="59">
        <f t="shared" ref="BQ71:BQ78" si="418">IF(BN71="", BK71,IF(BN71=MAX(BN$71:BN$78),BK71+1,0))</f>
        <v>0</v>
      </c>
      <c r="BR71" s="254">
        <f t="shared" ref="BR71:BR78" si="419">(BQ71+$B$69)*$H$3</f>
        <v>48</v>
      </c>
      <c r="BS71" s="263">
        <f t="shared" ref="BS71:BS78" si="420">MOD($F6+BR71,$H$2)</f>
        <v>23</v>
      </c>
      <c r="BT71" s="264"/>
      <c r="BU71" s="305"/>
      <c r="BV71" s="244"/>
      <c r="BW71" s="307"/>
      <c r="BX71" s="266">
        <v>1</v>
      </c>
      <c r="BY71" s="59">
        <f t="shared" ref="BY71:BY78" si="421">IF(BT71="", BQ71,IF(BT71=MAX(BT$71:BT$78),BQ71+1,0))</f>
        <v>0</v>
      </c>
      <c r="BZ71" s="254">
        <f t="shared" ref="BZ71:BZ78" si="422">(BY71+$B$69)*$H$3</f>
        <v>48</v>
      </c>
      <c r="CA71" s="263">
        <f t="shared" ref="CA71:CA78" si="423">MOD($F6+BZ71,$H$2)</f>
        <v>23</v>
      </c>
      <c r="CB71" s="264"/>
      <c r="CC71" s="301"/>
      <c r="CD71" s="266">
        <v>1</v>
      </c>
      <c r="CE71" s="59">
        <f t="shared" ref="CE71:CE78" si="424">IF(CB71="", BY71,IF(CB71=MAX(CB$71:CB$78),BY71+1,0))</f>
        <v>0</v>
      </c>
      <c r="CF71" s="254">
        <f t="shared" ref="CF71:CF78" si="425">(CE71+$B$69)*$H$3</f>
        <v>48</v>
      </c>
      <c r="CG71" s="263">
        <f t="shared" ref="CG71:CG78" si="426">MOD($F6+CF71,$H$2)</f>
        <v>23</v>
      </c>
      <c r="CH71" s="264"/>
      <c r="CI71" s="301"/>
      <c r="CJ71" s="266">
        <v>1</v>
      </c>
      <c r="CK71" s="59">
        <f t="shared" ref="CK71:CK78" si="427">IF(CH71="", CE71,IF(CH71=MAX(CH$71:CH$78),CE71+1,0))</f>
        <v>0</v>
      </c>
      <c r="CL71" s="254">
        <f t="shared" ref="CL71:CL78" si="428">(CK71+$B$69)*$H$3</f>
        <v>48</v>
      </c>
      <c r="CM71" s="263">
        <f t="shared" ref="CM71:CM78" si="429">MOD($F6+CL71,$H$2)</f>
        <v>23</v>
      </c>
      <c r="CN71" s="264"/>
      <c r="CO71" s="301"/>
      <c r="CP71" s="266">
        <v>1</v>
      </c>
      <c r="CQ71" s="59">
        <f t="shared" ref="CQ71:CQ78" si="430">IF(CN71="", CK71,IF(CN71=MAX(CN$71:CN$78),CK71+1,0))</f>
        <v>0</v>
      </c>
      <c r="CR71" s="254">
        <f t="shared" ref="CR71:CR78" si="431">(CQ71+$B$69)*$H$3</f>
        <v>48</v>
      </c>
      <c r="CS71" s="263">
        <f t="shared" ref="CS71:CS78" si="432">MOD($F6+CR71,$H$2)</f>
        <v>23</v>
      </c>
      <c r="CT71" s="264"/>
      <c r="CU71" s="305"/>
      <c r="CV71" s="244"/>
      <c r="CW71" s="307"/>
      <c r="CX71" s="266">
        <v>1</v>
      </c>
      <c r="CY71" s="59">
        <f t="shared" ref="CY71:CY78" si="433">IF(CT71="", CQ71,IF(CT71=MAX(CT$71:CT$78),CQ71+1,0))</f>
        <v>0</v>
      </c>
      <c r="CZ71" s="254">
        <f t="shared" ref="CZ71:CZ78" si="434">(CY71+$B$69)*$H$3</f>
        <v>48</v>
      </c>
      <c r="DA71" s="263">
        <f t="shared" ref="DA71:DA78" si="435">MOD($F6+CZ71,$H$2)</f>
        <v>23</v>
      </c>
      <c r="DB71" s="264"/>
      <c r="DC71" s="301"/>
      <c r="DD71" s="266">
        <v>1</v>
      </c>
      <c r="DE71" s="59">
        <f t="shared" ref="DE71:DE78" si="436">IF(DB71="", CY71,IF(DB71=MAX(DB$71:DB$78),CY71+1,0))</f>
        <v>0</v>
      </c>
      <c r="DF71" s="254">
        <f t="shared" ref="DF71:DF78" si="437">(DE71+$B$69)*$H$3</f>
        <v>48</v>
      </c>
      <c r="DG71" s="263">
        <f t="shared" ref="DG71:DG78" si="438">MOD($F6+DF71,$H$2)</f>
        <v>23</v>
      </c>
      <c r="DH71" s="264"/>
      <c r="DI71" s="301"/>
      <c r="DJ71" s="266">
        <v>1</v>
      </c>
      <c r="DK71" s="59">
        <f t="shared" ref="DK71:DK78" si="439">IF(DH71="", DE71,IF(DH71=MAX(DH$71:DH$78),DE71+1,0))</f>
        <v>0</v>
      </c>
      <c r="DL71" s="254">
        <f t="shared" ref="DL71:DL78" si="440">(DK71+$B$69)*$H$3</f>
        <v>48</v>
      </c>
      <c r="DM71" s="263">
        <f t="shared" ref="DM71:DM78" si="441">MOD($F6+DL71,$H$2)</f>
        <v>23</v>
      </c>
      <c r="DN71" s="264"/>
      <c r="DO71" s="301"/>
      <c r="DP71" s="266">
        <v>1</v>
      </c>
      <c r="DQ71" s="59">
        <f t="shared" ref="DQ71:DQ78" si="442">IF(DN71="", DK71,IF(DN71=MAX(DN$71:DN$78),DK71+1,0))</f>
        <v>0</v>
      </c>
      <c r="DR71" s="254">
        <f t="shared" ref="DR71:DR78" si="443">(DQ71+$B$69)*$H$3</f>
        <v>48</v>
      </c>
      <c r="DS71" s="263">
        <f t="shared" ref="DS71:DS78" si="444">MOD($F6+DR71,$H$2)</f>
        <v>23</v>
      </c>
      <c r="DT71" s="264"/>
      <c r="DU71" s="305"/>
      <c r="DV71" s="244"/>
      <c r="DW71" s="307"/>
      <c r="DX71" s="266">
        <v>1</v>
      </c>
      <c r="DY71" s="59">
        <f t="shared" ref="DY71:DY78" si="445">IF(DN71="", DK71,IF(DN71=MAX(DN$71:DN$78),DK71+1,0))</f>
        <v>0</v>
      </c>
      <c r="DZ71" s="254">
        <f t="shared" ref="DZ71:DZ78" si="446">(DY71+$B$69)*$H$3</f>
        <v>48</v>
      </c>
      <c r="EA71" s="263">
        <f t="shared" ref="EA71:EA78" si="447">MOD($F6+DZ71,$H$2)</f>
        <v>23</v>
      </c>
      <c r="EB71" s="264"/>
      <c r="EC71" s="301"/>
      <c r="ED71" s="266">
        <v>1</v>
      </c>
      <c r="EE71" s="59">
        <f t="shared" ref="EE71:EE78" si="448">IF(EB71="", DY71,IF(EB71=MAX(EB$71:EB$78),DY71+1,0))</f>
        <v>0</v>
      </c>
      <c r="EF71" s="254">
        <f t="shared" ref="EF71:EF78" si="449">(EE71+$B$69)*$H$3</f>
        <v>48</v>
      </c>
      <c r="EG71" s="263">
        <f t="shared" ref="EG71:EG78" si="450">MOD($F6+EF71,$H$2)</f>
        <v>23</v>
      </c>
      <c r="EH71" s="264"/>
      <c r="EI71" s="301"/>
      <c r="EJ71" s="266">
        <v>1</v>
      </c>
      <c r="EK71" s="59">
        <f t="shared" ref="EK71:EK78" si="451">IF(EH71="", EE71,IF(EH71=MAX(EH$71:EH$78),EE71+1,0))</f>
        <v>0</v>
      </c>
      <c r="EL71" s="254">
        <f t="shared" ref="EL71:EL78" si="452">(EK71+$B$69)*$H$3</f>
        <v>48</v>
      </c>
      <c r="EM71" s="263">
        <f t="shared" ref="EM71:EM78" si="453">MOD($F6+EL71,$H$2)</f>
        <v>23</v>
      </c>
      <c r="EN71" s="264"/>
      <c r="EO71" s="305"/>
      <c r="EP71" s="244"/>
      <c r="EQ71" s="307"/>
      <c r="ER71" s="266">
        <v>1</v>
      </c>
      <c r="ES71" s="59">
        <f t="shared" ref="ES71:ES78" si="454">IF(EN71="", EK71,IF(EN71=MAX(EN$71:EN$78),EK71+1,0))</f>
        <v>0</v>
      </c>
      <c r="ET71" s="254">
        <f t="shared" ref="ET71:ET78" si="455">(ES71+$B$69)*$H$3</f>
        <v>48</v>
      </c>
      <c r="EU71" s="263">
        <f t="shared" ref="EU71:EU78" si="456">MOD($F6+ET71,$H$2)</f>
        <v>23</v>
      </c>
      <c r="EV71" s="264"/>
      <c r="EW71" s="301"/>
      <c r="EX71" s="266">
        <v>1</v>
      </c>
      <c r="EY71" s="59">
        <f t="shared" ref="EY71:EY78" si="457">IF(EV71="", ES71,IF(EV71=MAX(EV$71:EV$78),ES71+1,0))</f>
        <v>0</v>
      </c>
      <c r="EZ71" s="254">
        <f t="shared" ref="EZ71:EZ78" si="458">(EY71+$B$69)*$H$3</f>
        <v>48</v>
      </c>
      <c r="FA71" s="263">
        <f t="shared" ref="FA71:FA78" si="459">MOD($F6+EZ71,$H$2)</f>
        <v>23</v>
      </c>
      <c r="FB71" s="264"/>
      <c r="FC71" s="301"/>
      <c r="FD71" s="266">
        <v>1</v>
      </c>
      <c r="FE71" s="59">
        <f t="shared" ref="FE71:FE78" si="460">IF(FB71="", EY71,IF(FB71=MAX(FB$71:FB$78),EY71+1,0))</f>
        <v>0</v>
      </c>
      <c r="FF71" s="254">
        <f t="shared" ref="FF71:FF78" si="461">(FE71+$B$69)*$H$3</f>
        <v>48</v>
      </c>
      <c r="FG71" s="263">
        <f t="shared" ref="FG71:FG78" si="462">MOD($F6+FF71,$H$2)</f>
        <v>23</v>
      </c>
      <c r="FH71" s="264"/>
      <c r="FI71" s="301"/>
      <c r="FJ71" s="266">
        <v>1</v>
      </c>
      <c r="FK71" s="59">
        <f t="shared" ref="FK71:FK78" si="463">IF(FH71="", FE71,IF(FH71=MAX(FH$71:FH$78),FE71+1,0))</f>
        <v>0</v>
      </c>
      <c r="FL71" s="254">
        <f t="shared" ref="FL71:FL78" si="464">(FK71+$B$69)*$H$3</f>
        <v>48</v>
      </c>
      <c r="FM71" s="263">
        <f t="shared" ref="FM71:FM78" si="465">MOD($F6+FL71,$H$2)</f>
        <v>23</v>
      </c>
      <c r="FN71" s="264"/>
      <c r="FO71" s="305"/>
      <c r="FP71" s="244"/>
    </row>
    <row r="72" spans="1:172" ht="17" x14ac:dyDescent="0.45">
      <c r="A72" s="307"/>
      <c r="B72" s="252">
        <v>2</v>
      </c>
      <c r="C72" s="59">
        <v>0</v>
      </c>
      <c r="D72" s="254">
        <f t="shared" si="389"/>
        <v>48</v>
      </c>
      <c r="E72" s="263">
        <f t="shared" si="390"/>
        <v>19</v>
      </c>
      <c r="F72" s="248"/>
      <c r="G72" s="301"/>
      <c r="H72" s="226">
        <v>2</v>
      </c>
      <c r="I72" s="59">
        <f t="shared" si="391"/>
        <v>0</v>
      </c>
      <c r="J72" s="254">
        <f t="shared" si="392"/>
        <v>48</v>
      </c>
      <c r="K72" s="263">
        <f t="shared" si="393"/>
        <v>19</v>
      </c>
      <c r="L72" s="248"/>
      <c r="M72" s="305"/>
      <c r="N72" s="244"/>
      <c r="O72" s="307"/>
      <c r="P72" s="226">
        <v>2</v>
      </c>
      <c r="Q72" s="59">
        <f t="shared" si="394"/>
        <v>0</v>
      </c>
      <c r="R72" s="254">
        <f t="shared" si="395"/>
        <v>48</v>
      </c>
      <c r="S72" s="263">
        <f t="shared" si="396"/>
        <v>19</v>
      </c>
      <c r="T72" s="248"/>
      <c r="U72" s="301"/>
      <c r="V72" s="226">
        <v>2</v>
      </c>
      <c r="W72" s="59">
        <f t="shared" si="397"/>
        <v>0</v>
      </c>
      <c r="X72" s="254">
        <f t="shared" si="398"/>
        <v>48</v>
      </c>
      <c r="Y72" s="263">
        <f t="shared" si="399"/>
        <v>19</v>
      </c>
      <c r="Z72" s="248"/>
      <c r="AA72" s="301"/>
      <c r="AB72" s="226">
        <v>2</v>
      </c>
      <c r="AC72" s="59">
        <f t="shared" si="400"/>
        <v>0</v>
      </c>
      <c r="AD72" s="254">
        <f t="shared" si="401"/>
        <v>48</v>
      </c>
      <c r="AE72" s="263">
        <f t="shared" si="402"/>
        <v>19</v>
      </c>
      <c r="AF72" s="248"/>
      <c r="AG72" s="305"/>
      <c r="AH72" s="244"/>
      <c r="AI72" s="307"/>
      <c r="AJ72" s="226">
        <v>2</v>
      </c>
      <c r="AK72" s="59">
        <f t="shared" si="403"/>
        <v>0</v>
      </c>
      <c r="AL72" s="254">
        <f t="shared" si="404"/>
        <v>48</v>
      </c>
      <c r="AM72" s="263">
        <f t="shared" si="405"/>
        <v>19</v>
      </c>
      <c r="AN72" s="248"/>
      <c r="AO72" s="301"/>
      <c r="AP72" s="226">
        <v>2</v>
      </c>
      <c r="AQ72" s="59">
        <f t="shared" si="406"/>
        <v>0</v>
      </c>
      <c r="AR72" s="254">
        <f t="shared" si="407"/>
        <v>48</v>
      </c>
      <c r="AS72" s="263">
        <f t="shared" si="408"/>
        <v>19</v>
      </c>
      <c r="AT72" s="248"/>
      <c r="AU72" s="301"/>
      <c r="AV72" s="226">
        <v>2</v>
      </c>
      <c r="AW72" s="59">
        <f t="shared" si="409"/>
        <v>0</v>
      </c>
      <c r="AX72" s="254">
        <f t="shared" si="410"/>
        <v>48</v>
      </c>
      <c r="AY72" s="263">
        <f t="shared" si="411"/>
        <v>19</v>
      </c>
      <c r="AZ72" s="248"/>
      <c r="BA72" s="305"/>
      <c r="BB72" s="244"/>
      <c r="BC72" s="307"/>
      <c r="BD72" s="226">
        <v>2</v>
      </c>
      <c r="BE72" s="59">
        <f t="shared" si="412"/>
        <v>0</v>
      </c>
      <c r="BF72" s="254">
        <f t="shared" si="413"/>
        <v>48</v>
      </c>
      <c r="BG72" s="263">
        <f t="shared" si="414"/>
        <v>19</v>
      </c>
      <c r="BH72" s="248"/>
      <c r="BI72" s="301"/>
      <c r="BJ72" s="226">
        <v>2</v>
      </c>
      <c r="BK72" s="59">
        <f t="shared" si="415"/>
        <v>0</v>
      </c>
      <c r="BL72" s="254">
        <f t="shared" si="416"/>
        <v>48</v>
      </c>
      <c r="BM72" s="263">
        <f t="shared" si="417"/>
        <v>19</v>
      </c>
      <c r="BN72" s="248"/>
      <c r="BO72" s="301"/>
      <c r="BP72" s="226">
        <v>2</v>
      </c>
      <c r="BQ72" s="59">
        <f t="shared" si="418"/>
        <v>0</v>
      </c>
      <c r="BR72" s="254">
        <f t="shared" si="419"/>
        <v>48</v>
      </c>
      <c r="BS72" s="263">
        <f t="shared" si="420"/>
        <v>19</v>
      </c>
      <c r="BT72" s="248">
        <v>16</v>
      </c>
      <c r="BU72" s="305"/>
      <c r="BV72" s="244"/>
      <c r="BW72" s="307"/>
      <c r="BX72" s="226">
        <v>2</v>
      </c>
      <c r="BY72" s="59">
        <f t="shared" si="421"/>
        <v>1</v>
      </c>
      <c r="BZ72" s="254">
        <f t="shared" si="422"/>
        <v>56</v>
      </c>
      <c r="CA72" s="263">
        <f t="shared" si="423"/>
        <v>27</v>
      </c>
      <c r="CB72" s="248"/>
      <c r="CC72" s="301"/>
      <c r="CD72" s="226">
        <v>2</v>
      </c>
      <c r="CE72" s="59">
        <f t="shared" si="424"/>
        <v>1</v>
      </c>
      <c r="CF72" s="254">
        <f t="shared" si="425"/>
        <v>56</v>
      </c>
      <c r="CG72" s="263">
        <f t="shared" si="426"/>
        <v>27</v>
      </c>
      <c r="CH72" s="248"/>
      <c r="CI72" s="301"/>
      <c r="CJ72" s="226">
        <v>2</v>
      </c>
      <c r="CK72" s="59">
        <f t="shared" si="427"/>
        <v>1</v>
      </c>
      <c r="CL72" s="254">
        <f t="shared" si="428"/>
        <v>56</v>
      </c>
      <c r="CM72" s="263">
        <f t="shared" si="429"/>
        <v>27</v>
      </c>
      <c r="CN72" s="248"/>
      <c r="CO72" s="301"/>
      <c r="CP72" s="226">
        <v>2</v>
      </c>
      <c r="CQ72" s="59">
        <f t="shared" si="430"/>
        <v>1</v>
      </c>
      <c r="CR72" s="254">
        <f t="shared" si="431"/>
        <v>56</v>
      </c>
      <c r="CS72" s="263">
        <f t="shared" si="432"/>
        <v>27</v>
      </c>
      <c r="CT72" s="248"/>
      <c r="CU72" s="305"/>
      <c r="CV72" s="244"/>
      <c r="CW72" s="307"/>
      <c r="CX72" s="226">
        <v>2</v>
      </c>
      <c r="CY72" s="59">
        <f t="shared" si="433"/>
        <v>1</v>
      </c>
      <c r="CZ72" s="254">
        <f t="shared" si="434"/>
        <v>56</v>
      </c>
      <c r="DA72" s="263">
        <f t="shared" si="435"/>
        <v>27</v>
      </c>
      <c r="DB72" s="248"/>
      <c r="DC72" s="301"/>
      <c r="DD72" s="226">
        <v>2</v>
      </c>
      <c r="DE72" s="59">
        <f t="shared" si="436"/>
        <v>1</v>
      </c>
      <c r="DF72" s="254">
        <f t="shared" si="437"/>
        <v>56</v>
      </c>
      <c r="DG72" s="263">
        <f t="shared" si="438"/>
        <v>27</v>
      </c>
      <c r="DH72" s="248"/>
      <c r="DI72" s="301"/>
      <c r="DJ72" s="226">
        <v>2</v>
      </c>
      <c r="DK72" s="59">
        <f t="shared" si="439"/>
        <v>1</v>
      </c>
      <c r="DL72" s="254">
        <f t="shared" si="440"/>
        <v>56</v>
      </c>
      <c r="DM72" s="263">
        <f t="shared" si="441"/>
        <v>27</v>
      </c>
      <c r="DN72" s="248"/>
      <c r="DO72" s="301"/>
      <c r="DP72" s="226">
        <v>2</v>
      </c>
      <c r="DQ72" s="59">
        <f t="shared" si="442"/>
        <v>1</v>
      </c>
      <c r="DR72" s="254">
        <f t="shared" si="443"/>
        <v>56</v>
      </c>
      <c r="DS72" s="263">
        <f t="shared" si="444"/>
        <v>27</v>
      </c>
      <c r="DT72" s="248"/>
      <c r="DU72" s="305"/>
      <c r="DV72" s="244"/>
      <c r="DW72" s="307"/>
      <c r="DX72" s="226">
        <v>2</v>
      </c>
      <c r="DY72" s="59">
        <f t="shared" si="445"/>
        <v>1</v>
      </c>
      <c r="DZ72" s="254">
        <f t="shared" si="446"/>
        <v>56</v>
      </c>
      <c r="EA72" s="263">
        <f t="shared" si="447"/>
        <v>27</v>
      </c>
      <c r="EB72" s="248"/>
      <c r="EC72" s="301"/>
      <c r="ED72" s="226">
        <v>2</v>
      </c>
      <c r="EE72" s="59">
        <f t="shared" si="448"/>
        <v>1</v>
      </c>
      <c r="EF72" s="254">
        <f t="shared" si="449"/>
        <v>56</v>
      </c>
      <c r="EG72" s="263">
        <f t="shared" si="450"/>
        <v>27</v>
      </c>
      <c r="EH72" s="248"/>
      <c r="EI72" s="301"/>
      <c r="EJ72" s="226">
        <v>2</v>
      </c>
      <c r="EK72" s="59">
        <f t="shared" si="451"/>
        <v>1</v>
      </c>
      <c r="EL72" s="254">
        <f t="shared" si="452"/>
        <v>56</v>
      </c>
      <c r="EM72" s="263">
        <f t="shared" si="453"/>
        <v>27</v>
      </c>
      <c r="EN72" s="248"/>
      <c r="EO72" s="305"/>
      <c r="EP72" s="244"/>
      <c r="EQ72" s="307"/>
      <c r="ER72" s="226">
        <v>2</v>
      </c>
      <c r="ES72" s="59">
        <f t="shared" si="454"/>
        <v>1</v>
      </c>
      <c r="ET72" s="254">
        <f t="shared" si="455"/>
        <v>56</v>
      </c>
      <c r="EU72" s="263">
        <f t="shared" si="456"/>
        <v>27</v>
      </c>
      <c r="EV72" s="248"/>
      <c r="EW72" s="301"/>
      <c r="EX72" s="226">
        <v>2</v>
      </c>
      <c r="EY72" s="59">
        <f t="shared" si="457"/>
        <v>1</v>
      </c>
      <c r="EZ72" s="254">
        <f t="shared" si="458"/>
        <v>56</v>
      </c>
      <c r="FA72" s="263">
        <f t="shared" si="459"/>
        <v>27</v>
      </c>
      <c r="FB72" s="248"/>
      <c r="FC72" s="301"/>
      <c r="FD72" s="226">
        <v>2</v>
      </c>
      <c r="FE72" s="59">
        <f t="shared" si="460"/>
        <v>1</v>
      </c>
      <c r="FF72" s="254">
        <f t="shared" si="461"/>
        <v>56</v>
      </c>
      <c r="FG72" s="263">
        <f t="shared" si="462"/>
        <v>27</v>
      </c>
      <c r="FH72" s="248"/>
      <c r="FI72" s="301"/>
      <c r="FJ72" s="226">
        <v>2</v>
      </c>
      <c r="FK72" s="59">
        <f t="shared" si="463"/>
        <v>1</v>
      </c>
      <c r="FL72" s="254">
        <f t="shared" si="464"/>
        <v>56</v>
      </c>
      <c r="FM72" s="263">
        <f t="shared" si="465"/>
        <v>27</v>
      </c>
      <c r="FN72" s="248"/>
      <c r="FO72" s="305"/>
      <c r="FP72" s="244"/>
    </row>
    <row r="73" spans="1:172" ht="17" x14ac:dyDescent="0.45">
      <c r="A73" s="307"/>
      <c r="B73" s="226">
        <v>3</v>
      </c>
      <c r="C73" s="59">
        <v>0</v>
      </c>
      <c r="D73" s="254">
        <f t="shared" si="389"/>
        <v>48</v>
      </c>
      <c r="E73" s="263">
        <f t="shared" si="390"/>
        <v>30</v>
      </c>
      <c r="F73" s="248"/>
      <c r="G73" s="301"/>
      <c r="H73" s="226">
        <v>3</v>
      </c>
      <c r="I73" s="59">
        <f t="shared" si="391"/>
        <v>0</v>
      </c>
      <c r="J73" s="254">
        <f t="shared" si="392"/>
        <v>48</v>
      </c>
      <c r="K73" s="263">
        <f t="shared" si="393"/>
        <v>30</v>
      </c>
      <c r="L73" s="248"/>
      <c r="M73" s="305"/>
      <c r="N73" s="244"/>
      <c r="O73" s="307"/>
      <c r="P73" s="226">
        <v>3</v>
      </c>
      <c r="Q73" s="59">
        <f t="shared" si="394"/>
        <v>0</v>
      </c>
      <c r="R73" s="254">
        <f t="shared" si="395"/>
        <v>48</v>
      </c>
      <c r="S73" s="263">
        <f t="shared" si="396"/>
        <v>30</v>
      </c>
      <c r="T73" s="248"/>
      <c r="U73" s="301"/>
      <c r="V73" s="226">
        <v>3</v>
      </c>
      <c r="W73" s="59">
        <f t="shared" si="397"/>
        <v>0</v>
      </c>
      <c r="X73" s="254">
        <f t="shared" si="398"/>
        <v>48</v>
      </c>
      <c r="Y73" s="263">
        <f t="shared" si="399"/>
        <v>30</v>
      </c>
      <c r="Z73" s="248"/>
      <c r="AA73" s="301"/>
      <c r="AB73" s="226">
        <v>3</v>
      </c>
      <c r="AC73" s="59">
        <f t="shared" si="400"/>
        <v>0</v>
      </c>
      <c r="AD73" s="254">
        <f t="shared" si="401"/>
        <v>48</v>
      </c>
      <c r="AE73" s="263">
        <f t="shared" si="402"/>
        <v>30</v>
      </c>
      <c r="AF73" s="248"/>
      <c r="AG73" s="305"/>
      <c r="AH73" s="244"/>
      <c r="AI73" s="307"/>
      <c r="AJ73" s="226">
        <v>3</v>
      </c>
      <c r="AK73" s="59">
        <f t="shared" si="403"/>
        <v>0</v>
      </c>
      <c r="AL73" s="254">
        <f t="shared" si="404"/>
        <v>48</v>
      </c>
      <c r="AM73" s="263">
        <f t="shared" si="405"/>
        <v>30</v>
      </c>
      <c r="AN73" s="248"/>
      <c r="AO73" s="301"/>
      <c r="AP73" s="226">
        <v>3</v>
      </c>
      <c r="AQ73" s="59">
        <f t="shared" si="406"/>
        <v>0</v>
      </c>
      <c r="AR73" s="254">
        <f t="shared" si="407"/>
        <v>48</v>
      </c>
      <c r="AS73" s="263">
        <f t="shared" si="408"/>
        <v>30</v>
      </c>
      <c r="AT73" s="248"/>
      <c r="AU73" s="301"/>
      <c r="AV73" s="226">
        <v>3</v>
      </c>
      <c r="AW73" s="59">
        <f t="shared" si="409"/>
        <v>0</v>
      </c>
      <c r="AX73" s="254">
        <f t="shared" si="410"/>
        <v>48</v>
      </c>
      <c r="AY73" s="263">
        <f t="shared" si="411"/>
        <v>30</v>
      </c>
      <c r="AZ73" s="248"/>
      <c r="BA73" s="305"/>
      <c r="BB73" s="244"/>
      <c r="BC73" s="307"/>
      <c r="BD73" s="226">
        <v>3</v>
      </c>
      <c r="BE73" s="59">
        <f t="shared" si="412"/>
        <v>0</v>
      </c>
      <c r="BF73" s="254">
        <f t="shared" si="413"/>
        <v>48</v>
      </c>
      <c r="BG73" s="263">
        <f t="shared" si="414"/>
        <v>30</v>
      </c>
      <c r="BH73" s="248"/>
      <c r="BI73" s="301"/>
      <c r="BJ73" s="226">
        <v>3</v>
      </c>
      <c r="BK73" s="59">
        <f t="shared" si="415"/>
        <v>0</v>
      </c>
      <c r="BL73" s="254">
        <f t="shared" si="416"/>
        <v>48</v>
      </c>
      <c r="BM73" s="263">
        <f t="shared" si="417"/>
        <v>30</v>
      </c>
      <c r="BN73" s="248"/>
      <c r="BO73" s="301"/>
      <c r="BP73" s="226">
        <v>3</v>
      </c>
      <c r="BQ73" s="59">
        <f t="shared" si="418"/>
        <v>0</v>
      </c>
      <c r="BR73" s="254">
        <f t="shared" si="419"/>
        <v>48</v>
      </c>
      <c r="BS73" s="263">
        <f t="shared" si="420"/>
        <v>30</v>
      </c>
      <c r="BT73" s="248"/>
      <c r="BU73" s="305"/>
      <c r="BV73" s="244"/>
      <c r="BW73" s="307"/>
      <c r="BX73" s="226">
        <v>3</v>
      </c>
      <c r="BY73" s="59">
        <f t="shared" si="421"/>
        <v>0</v>
      </c>
      <c r="BZ73" s="254">
        <f t="shared" si="422"/>
        <v>48</v>
      </c>
      <c r="CA73" s="263">
        <f t="shared" si="423"/>
        <v>30</v>
      </c>
      <c r="CB73" s="248"/>
      <c r="CC73" s="301"/>
      <c r="CD73" s="226">
        <v>3</v>
      </c>
      <c r="CE73" s="59">
        <f t="shared" si="424"/>
        <v>0</v>
      </c>
      <c r="CF73" s="254">
        <f t="shared" si="425"/>
        <v>48</v>
      </c>
      <c r="CG73" s="263">
        <f t="shared" si="426"/>
        <v>30</v>
      </c>
      <c r="CH73" s="248"/>
      <c r="CI73" s="301"/>
      <c r="CJ73" s="226">
        <v>3</v>
      </c>
      <c r="CK73" s="59">
        <f t="shared" si="427"/>
        <v>0</v>
      </c>
      <c r="CL73" s="254">
        <f t="shared" si="428"/>
        <v>48</v>
      </c>
      <c r="CM73" s="263">
        <f t="shared" si="429"/>
        <v>30</v>
      </c>
      <c r="CN73" s="248"/>
      <c r="CO73" s="301"/>
      <c r="CP73" s="226">
        <v>3</v>
      </c>
      <c r="CQ73" s="59">
        <f t="shared" si="430"/>
        <v>0</v>
      </c>
      <c r="CR73" s="254">
        <f t="shared" si="431"/>
        <v>48</v>
      </c>
      <c r="CS73" s="263">
        <f t="shared" si="432"/>
        <v>30</v>
      </c>
      <c r="CT73" s="248"/>
      <c r="CU73" s="305"/>
      <c r="CV73" s="244"/>
      <c r="CW73" s="307"/>
      <c r="CX73" s="226">
        <v>3</v>
      </c>
      <c r="CY73" s="59">
        <f t="shared" si="433"/>
        <v>0</v>
      </c>
      <c r="CZ73" s="254">
        <f t="shared" si="434"/>
        <v>48</v>
      </c>
      <c r="DA73" s="263">
        <f t="shared" si="435"/>
        <v>30</v>
      </c>
      <c r="DB73" s="248"/>
      <c r="DC73" s="301"/>
      <c r="DD73" s="226">
        <v>3</v>
      </c>
      <c r="DE73" s="59">
        <f t="shared" si="436"/>
        <v>0</v>
      </c>
      <c r="DF73" s="254">
        <f t="shared" si="437"/>
        <v>48</v>
      </c>
      <c r="DG73" s="263">
        <f t="shared" si="438"/>
        <v>30</v>
      </c>
      <c r="DH73" s="248"/>
      <c r="DI73" s="301"/>
      <c r="DJ73" s="226">
        <v>3</v>
      </c>
      <c r="DK73" s="59">
        <f t="shared" si="439"/>
        <v>0</v>
      </c>
      <c r="DL73" s="254">
        <f t="shared" si="440"/>
        <v>48</v>
      </c>
      <c r="DM73" s="263">
        <f t="shared" si="441"/>
        <v>30</v>
      </c>
      <c r="DN73" s="248"/>
      <c r="DO73" s="301"/>
      <c r="DP73" s="226">
        <v>3</v>
      </c>
      <c r="DQ73" s="59">
        <f t="shared" si="442"/>
        <v>0</v>
      </c>
      <c r="DR73" s="254">
        <f t="shared" si="443"/>
        <v>48</v>
      </c>
      <c r="DS73" s="263">
        <f t="shared" si="444"/>
        <v>30</v>
      </c>
      <c r="DT73" s="248"/>
      <c r="DU73" s="305"/>
      <c r="DV73" s="244"/>
      <c r="DW73" s="307"/>
      <c r="DX73" s="226">
        <v>3</v>
      </c>
      <c r="DY73" s="59">
        <f t="shared" si="445"/>
        <v>0</v>
      </c>
      <c r="DZ73" s="254">
        <f t="shared" si="446"/>
        <v>48</v>
      </c>
      <c r="EA73" s="263">
        <f t="shared" si="447"/>
        <v>30</v>
      </c>
      <c r="EB73" s="248"/>
      <c r="EC73" s="301"/>
      <c r="ED73" s="226">
        <v>3</v>
      </c>
      <c r="EE73" s="59">
        <f t="shared" si="448"/>
        <v>0</v>
      </c>
      <c r="EF73" s="254">
        <f t="shared" si="449"/>
        <v>48</v>
      </c>
      <c r="EG73" s="263">
        <f t="shared" si="450"/>
        <v>30</v>
      </c>
      <c r="EH73" s="248"/>
      <c r="EI73" s="301"/>
      <c r="EJ73" s="226">
        <v>3</v>
      </c>
      <c r="EK73" s="59">
        <f t="shared" si="451"/>
        <v>0</v>
      </c>
      <c r="EL73" s="254">
        <f t="shared" si="452"/>
        <v>48</v>
      </c>
      <c r="EM73" s="263">
        <f t="shared" si="453"/>
        <v>30</v>
      </c>
      <c r="EN73" s="248"/>
      <c r="EO73" s="305"/>
      <c r="EP73" s="244"/>
      <c r="EQ73" s="307"/>
      <c r="ER73" s="226">
        <v>3</v>
      </c>
      <c r="ES73" s="59">
        <f t="shared" si="454"/>
        <v>0</v>
      </c>
      <c r="ET73" s="254">
        <f t="shared" si="455"/>
        <v>48</v>
      </c>
      <c r="EU73" s="263">
        <f t="shared" si="456"/>
        <v>30</v>
      </c>
      <c r="EV73" s="248"/>
      <c r="EW73" s="301"/>
      <c r="EX73" s="226">
        <v>3</v>
      </c>
      <c r="EY73" s="59">
        <f t="shared" si="457"/>
        <v>0</v>
      </c>
      <c r="EZ73" s="254">
        <f t="shared" si="458"/>
        <v>48</v>
      </c>
      <c r="FA73" s="263">
        <f t="shared" si="459"/>
        <v>30</v>
      </c>
      <c r="FB73" s="248"/>
      <c r="FC73" s="301"/>
      <c r="FD73" s="226">
        <v>3</v>
      </c>
      <c r="FE73" s="59">
        <f t="shared" si="460"/>
        <v>0</v>
      </c>
      <c r="FF73" s="254">
        <f t="shared" si="461"/>
        <v>48</v>
      </c>
      <c r="FG73" s="263">
        <f t="shared" si="462"/>
        <v>30</v>
      </c>
      <c r="FH73" s="248"/>
      <c r="FI73" s="301"/>
      <c r="FJ73" s="226">
        <v>3</v>
      </c>
      <c r="FK73" s="59">
        <f t="shared" si="463"/>
        <v>0</v>
      </c>
      <c r="FL73" s="254">
        <f t="shared" si="464"/>
        <v>48</v>
      </c>
      <c r="FM73" s="263">
        <f t="shared" si="465"/>
        <v>30</v>
      </c>
      <c r="FN73" s="248"/>
      <c r="FO73" s="305"/>
      <c r="FP73" s="244"/>
    </row>
    <row r="74" spans="1:172" ht="17" x14ac:dyDescent="0.45">
      <c r="A74" s="307"/>
      <c r="B74" s="226">
        <v>4</v>
      </c>
      <c r="C74" s="59">
        <v>0</v>
      </c>
      <c r="D74" s="254">
        <f t="shared" si="389"/>
        <v>48</v>
      </c>
      <c r="E74" s="263">
        <f t="shared" si="390"/>
        <v>26</v>
      </c>
      <c r="F74" s="248"/>
      <c r="G74" s="301"/>
      <c r="H74" s="226">
        <v>4</v>
      </c>
      <c r="I74" s="59">
        <f t="shared" si="391"/>
        <v>0</v>
      </c>
      <c r="J74" s="254">
        <f t="shared" si="392"/>
        <v>48</v>
      </c>
      <c r="K74" s="263">
        <f t="shared" si="393"/>
        <v>26</v>
      </c>
      <c r="L74" s="248"/>
      <c r="M74" s="305"/>
      <c r="N74" s="244"/>
      <c r="O74" s="307"/>
      <c r="P74" s="226">
        <v>4</v>
      </c>
      <c r="Q74" s="59">
        <f t="shared" si="394"/>
        <v>0</v>
      </c>
      <c r="R74" s="254">
        <f t="shared" si="395"/>
        <v>48</v>
      </c>
      <c r="S74" s="263">
        <f t="shared" si="396"/>
        <v>26</v>
      </c>
      <c r="T74" s="248"/>
      <c r="U74" s="301"/>
      <c r="V74" s="226">
        <v>4</v>
      </c>
      <c r="W74" s="59">
        <f t="shared" si="397"/>
        <v>0</v>
      </c>
      <c r="X74" s="254">
        <f t="shared" si="398"/>
        <v>48</v>
      </c>
      <c r="Y74" s="263">
        <f t="shared" si="399"/>
        <v>26</v>
      </c>
      <c r="Z74" s="248"/>
      <c r="AA74" s="301"/>
      <c r="AB74" s="226">
        <v>4</v>
      </c>
      <c r="AC74" s="59">
        <f t="shared" si="400"/>
        <v>0</v>
      </c>
      <c r="AD74" s="254">
        <f t="shared" si="401"/>
        <v>48</v>
      </c>
      <c r="AE74" s="263">
        <f t="shared" si="402"/>
        <v>26</v>
      </c>
      <c r="AF74" s="248"/>
      <c r="AG74" s="305"/>
      <c r="AH74" s="244"/>
      <c r="AI74" s="307"/>
      <c r="AJ74" s="226">
        <v>4</v>
      </c>
      <c r="AK74" s="59">
        <f t="shared" si="403"/>
        <v>0</v>
      </c>
      <c r="AL74" s="254">
        <f t="shared" si="404"/>
        <v>48</v>
      </c>
      <c r="AM74" s="263">
        <f t="shared" si="405"/>
        <v>26</v>
      </c>
      <c r="AN74" s="248"/>
      <c r="AO74" s="301"/>
      <c r="AP74" s="226">
        <v>4</v>
      </c>
      <c r="AQ74" s="59">
        <f t="shared" si="406"/>
        <v>0</v>
      </c>
      <c r="AR74" s="254">
        <f t="shared" si="407"/>
        <v>48</v>
      </c>
      <c r="AS74" s="263">
        <f t="shared" si="408"/>
        <v>26</v>
      </c>
      <c r="AT74" s="248"/>
      <c r="AU74" s="301"/>
      <c r="AV74" s="226">
        <v>4</v>
      </c>
      <c r="AW74" s="59">
        <f t="shared" si="409"/>
        <v>0</v>
      </c>
      <c r="AX74" s="254">
        <f t="shared" si="410"/>
        <v>48</v>
      </c>
      <c r="AY74" s="263">
        <f t="shared" si="411"/>
        <v>26</v>
      </c>
      <c r="AZ74" s="248"/>
      <c r="BA74" s="305"/>
      <c r="BB74" s="244"/>
      <c r="BC74" s="307"/>
      <c r="BD74" s="226">
        <v>4</v>
      </c>
      <c r="BE74" s="59">
        <f t="shared" si="412"/>
        <v>0</v>
      </c>
      <c r="BF74" s="254">
        <f t="shared" si="413"/>
        <v>48</v>
      </c>
      <c r="BG74" s="263">
        <f t="shared" si="414"/>
        <v>26</v>
      </c>
      <c r="BH74" s="248"/>
      <c r="BI74" s="301"/>
      <c r="BJ74" s="226">
        <v>4</v>
      </c>
      <c r="BK74" s="59">
        <f t="shared" si="415"/>
        <v>0</v>
      </c>
      <c r="BL74" s="254">
        <f t="shared" si="416"/>
        <v>48</v>
      </c>
      <c r="BM74" s="263">
        <f t="shared" si="417"/>
        <v>26</v>
      </c>
      <c r="BN74" s="248"/>
      <c r="BO74" s="301"/>
      <c r="BP74" s="226">
        <v>4</v>
      </c>
      <c r="BQ74" s="59">
        <f t="shared" si="418"/>
        <v>0</v>
      </c>
      <c r="BR74" s="254">
        <f t="shared" si="419"/>
        <v>48</v>
      </c>
      <c r="BS74" s="263">
        <f t="shared" si="420"/>
        <v>26</v>
      </c>
      <c r="BT74" s="248"/>
      <c r="BU74" s="305"/>
      <c r="BV74" s="244"/>
      <c r="BW74" s="307"/>
      <c r="BX74" s="226">
        <v>4</v>
      </c>
      <c r="BY74" s="59">
        <f t="shared" si="421"/>
        <v>0</v>
      </c>
      <c r="BZ74" s="254">
        <f t="shared" si="422"/>
        <v>48</v>
      </c>
      <c r="CA74" s="263">
        <f t="shared" si="423"/>
        <v>26</v>
      </c>
      <c r="CB74" s="248"/>
      <c r="CC74" s="301"/>
      <c r="CD74" s="226">
        <v>4</v>
      </c>
      <c r="CE74" s="59">
        <f t="shared" si="424"/>
        <v>0</v>
      </c>
      <c r="CF74" s="254">
        <f t="shared" si="425"/>
        <v>48</v>
      </c>
      <c r="CG74" s="263">
        <f t="shared" si="426"/>
        <v>26</v>
      </c>
      <c r="CH74" s="248"/>
      <c r="CI74" s="301"/>
      <c r="CJ74" s="226">
        <v>4</v>
      </c>
      <c r="CK74" s="59">
        <f t="shared" si="427"/>
        <v>0</v>
      </c>
      <c r="CL74" s="254">
        <f t="shared" si="428"/>
        <v>48</v>
      </c>
      <c r="CM74" s="263">
        <f t="shared" si="429"/>
        <v>26</v>
      </c>
      <c r="CN74" s="248"/>
      <c r="CO74" s="301"/>
      <c r="CP74" s="226">
        <v>4</v>
      </c>
      <c r="CQ74" s="59">
        <f t="shared" si="430"/>
        <v>0</v>
      </c>
      <c r="CR74" s="254">
        <f t="shared" si="431"/>
        <v>48</v>
      </c>
      <c r="CS74" s="263">
        <f t="shared" si="432"/>
        <v>26</v>
      </c>
      <c r="CT74" s="248"/>
      <c r="CU74" s="305"/>
      <c r="CV74" s="244"/>
      <c r="CW74" s="307"/>
      <c r="CX74" s="226">
        <v>4</v>
      </c>
      <c r="CY74" s="59">
        <f t="shared" si="433"/>
        <v>0</v>
      </c>
      <c r="CZ74" s="254">
        <f t="shared" si="434"/>
        <v>48</v>
      </c>
      <c r="DA74" s="263">
        <f t="shared" si="435"/>
        <v>26</v>
      </c>
      <c r="DB74" s="248"/>
      <c r="DC74" s="301"/>
      <c r="DD74" s="226">
        <v>4</v>
      </c>
      <c r="DE74" s="59">
        <f t="shared" si="436"/>
        <v>0</v>
      </c>
      <c r="DF74" s="254">
        <f t="shared" si="437"/>
        <v>48</v>
      </c>
      <c r="DG74" s="263">
        <f t="shared" si="438"/>
        <v>26</v>
      </c>
      <c r="DH74" s="248"/>
      <c r="DI74" s="301"/>
      <c r="DJ74" s="226">
        <v>4</v>
      </c>
      <c r="DK74" s="59">
        <f t="shared" si="439"/>
        <v>0</v>
      </c>
      <c r="DL74" s="254">
        <f t="shared" si="440"/>
        <v>48</v>
      </c>
      <c r="DM74" s="263">
        <f t="shared" si="441"/>
        <v>26</v>
      </c>
      <c r="DN74" s="248"/>
      <c r="DO74" s="301"/>
      <c r="DP74" s="226">
        <v>4</v>
      </c>
      <c r="DQ74" s="59">
        <f t="shared" si="442"/>
        <v>0</v>
      </c>
      <c r="DR74" s="254">
        <f t="shared" si="443"/>
        <v>48</v>
      </c>
      <c r="DS74" s="263">
        <f t="shared" si="444"/>
        <v>26</v>
      </c>
      <c r="DT74" s="248"/>
      <c r="DU74" s="305"/>
      <c r="DV74" s="244"/>
      <c r="DW74" s="307"/>
      <c r="DX74" s="226">
        <v>4</v>
      </c>
      <c r="DY74" s="59">
        <f t="shared" si="445"/>
        <v>0</v>
      </c>
      <c r="DZ74" s="254">
        <f t="shared" si="446"/>
        <v>48</v>
      </c>
      <c r="EA74" s="263">
        <f t="shared" si="447"/>
        <v>26</v>
      </c>
      <c r="EB74" s="248"/>
      <c r="EC74" s="301"/>
      <c r="ED74" s="226">
        <v>4</v>
      </c>
      <c r="EE74" s="59">
        <f t="shared" si="448"/>
        <v>0</v>
      </c>
      <c r="EF74" s="254">
        <f t="shared" si="449"/>
        <v>48</v>
      </c>
      <c r="EG74" s="263">
        <f t="shared" si="450"/>
        <v>26</v>
      </c>
      <c r="EH74" s="248"/>
      <c r="EI74" s="301"/>
      <c r="EJ74" s="226">
        <v>4</v>
      </c>
      <c r="EK74" s="59">
        <f t="shared" si="451"/>
        <v>0</v>
      </c>
      <c r="EL74" s="254">
        <f t="shared" si="452"/>
        <v>48</v>
      </c>
      <c r="EM74" s="263">
        <f t="shared" si="453"/>
        <v>26</v>
      </c>
      <c r="EN74" s="248"/>
      <c r="EO74" s="305"/>
      <c r="EP74" s="244"/>
      <c r="EQ74" s="307"/>
      <c r="ER74" s="226">
        <v>4</v>
      </c>
      <c r="ES74" s="59">
        <f t="shared" si="454"/>
        <v>0</v>
      </c>
      <c r="ET74" s="254">
        <f t="shared" si="455"/>
        <v>48</v>
      </c>
      <c r="EU74" s="263">
        <f t="shared" si="456"/>
        <v>26</v>
      </c>
      <c r="EV74" s="248"/>
      <c r="EW74" s="301"/>
      <c r="EX74" s="226">
        <v>4</v>
      </c>
      <c r="EY74" s="59">
        <f t="shared" si="457"/>
        <v>0</v>
      </c>
      <c r="EZ74" s="254">
        <f t="shared" si="458"/>
        <v>48</v>
      </c>
      <c r="FA74" s="263">
        <f t="shared" si="459"/>
        <v>26</v>
      </c>
      <c r="FB74" s="248"/>
      <c r="FC74" s="301"/>
      <c r="FD74" s="226">
        <v>4</v>
      </c>
      <c r="FE74" s="59">
        <f t="shared" si="460"/>
        <v>0</v>
      </c>
      <c r="FF74" s="254">
        <f t="shared" si="461"/>
        <v>48</v>
      </c>
      <c r="FG74" s="263">
        <f t="shared" si="462"/>
        <v>26</v>
      </c>
      <c r="FH74" s="248"/>
      <c r="FI74" s="301"/>
      <c r="FJ74" s="226">
        <v>4</v>
      </c>
      <c r="FK74" s="59">
        <f t="shared" si="463"/>
        <v>0</v>
      </c>
      <c r="FL74" s="254">
        <f t="shared" si="464"/>
        <v>48</v>
      </c>
      <c r="FM74" s="263">
        <f t="shared" si="465"/>
        <v>26</v>
      </c>
      <c r="FN74" s="248"/>
      <c r="FO74" s="305"/>
      <c r="FP74" s="244"/>
    </row>
    <row r="75" spans="1:172" ht="17" x14ac:dyDescent="0.45">
      <c r="A75" s="307"/>
      <c r="B75" s="226">
        <v>5</v>
      </c>
      <c r="C75" s="59">
        <v>0</v>
      </c>
      <c r="D75" s="254">
        <f t="shared" si="389"/>
        <v>48</v>
      </c>
      <c r="E75" s="263">
        <f t="shared" si="390"/>
        <v>4</v>
      </c>
      <c r="F75" s="248">
        <v>8</v>
      </c>
      <c r="G75" s="301"/>
      <c r="H75" s="226">
        <v>5</v>
      </c>
      <c r="I75" s="59">
        <f t="shared" si="391"/>
        <v>1</v>
      </c>
      <c r="J75" s="254">
        <f t="shared" si="392"/>
        <v>56</v>
      </c>
      <c r="K75" s="263">
        <f t="shared" si="393"/>
        <v>12</v>
      </c>
      <c r="L75" s="248"/>
      <c r="M75" s="305"/>
      <c r="N75" s="244"/>
      <c r="O75" s="307"/>
      <c r="P75" s="226">
        <v>5</v>
      </c>
      <c r="Q75" s="59">
        <f t="shared" si="394"/>
        <v>1</v>
      </c>
      <c r="R75" s="254">
        <f t="shared" si="395"/>
        <v>56</v>
      </c>
      <c r="S75" s="263">
        <f t="shared" si="396"/>
        <v>12</v>
      </c>
      <c r="T75" s="248"/>
      <c r="U75" s="301"/>
      <c r="V75" s="226">
        <v>5</v>
      </c>
      <c r="W75" s="59">
        <f t="shared" si="397"/>
        <v>1</v>
      </c>
      <c r="X75" s="254">
        <f t="shared" si="398"/>
        <v>56</v>
      </c>
      <c r="Y75" s="263">
        <f t="shared" si="399"/>
        <v>12</v>
      </c>
      <c r="Z75" s="248"/>
      <c r="AA75" s="301"/>
      <c r="AB75" s="226">
        <v>5</v>
      </c>
      <c r="AC75" s="59">
        <f t="shared" si="400"/>
        <v>1</v>
      </c>
      <c r="AD75" s="254">
        <f t="shared" si="401"/>
        <v>56</v>
      </c>
      <c r="AE75" s="263">
        <f t="shared" si="402"/>
        <v>12</v>
      </c>
      <c r="AF75" s="248"/>
      <c r="AG75" s="305"/>
      <c r="AH75" s="244"/>
      <c r="AI75" s="307"/>
      <c r="AJ75" s="226">
        <v>5</v>
      </c>
      <c r="AK75" s="59">
        <f t="shared" si="403"/>
        <v>1</v>
      </c>
      <c r="AL75" s="254">
        <f t="shared" si="404"/>
        <v>56</v>
      </c>
      <c r="AM75" s="263">
        <f t="shared" si="405"/>
        <v>12</v>
      </c>
      <c r="AN75" s="248"/>
      <c r="AO75" s="301"/>
      <c r="AP75" s="226">
        <v>5</v>
      </c>
      <c r="AQ75" s="59">
        <f t="shared" si="406"/>
        <v>1</v>
      </c>
      <c r="AR75" s="254">
        <f t="shared" si="407"/>
        <v>56</v>
      </c>
      <c r="AS75" s="263">
        <f t="shared" si="408"/>
        <v>12</v>
      </c>
      <c r="AT75" s="248">
        <v>16</v>
      </c>
      <c r="AU75" s="301"/>
      <c r="AV75" s="226">
        <v>5</v>
      </c>
      <c r="AW75" s="59">
        <f t="shared" si="409"/>
        <v>2</v>
      </c>
      <c r="AX75" s="254">
        <f t="shared" si="410"/>
        <v>64</v>
      </c>
      <c r="AY75" s="263">
        <f t="shared" si="411"/>
        <v>20</v>
      </c>
      <c r="AZ75" s="248"/>
      <c r="BA75" s="305"/>
      <c r="BB75" s="244"/>
      <c r="BC75" s="307"/>
      <c r="BD75" s="226">
        <v>5</v>
      </c>
      <c r="BE75" s="59">
        <f t="shared" si="412"/>
        <v>2</v>
      </c>
      <c r="BF75" s="254">
        <f t="shared" si="413"/>
        <v>64</v>
      </c>
      <c r="BG75" s="263">
        <f t="shared" si="414"/>
        <v>20</v>
      </c>
      <c r="BH75" s="248"/>
      <c r="BI75" s="301"/>
      <c r="BJ75" s="226">
        <v>5</v>
      </c>
      <c r="BK75" s="59">
        <f t="shared" si="415"/>
        <v>2</v>
      </c>
      <c r="BL75" s="254">
        <f t="shared" si="416"/>
        <v>64</v>
      </c>
      <c r="BM75" s="263">
        <f t="shared" si="417"/>
        <v>20</v>
      </c>
      <c r="BN75" s="248"/>
      <c r="BO75" s="301"/>
      <c r="BP75" s="226">
        <v>5</v>
      </c>
      <c r="BQ75" s="59">
        <f t="shared" si="418"/>
        <v>2</v>
      </c>
      <c r="BR75" s="254">
        <f t="shared" si="419"/>
        <v>64</v>
      </c>
      <c r="BS75" s="263">
        <f t="shared" si="420"/>
        <v>20</v>
      </c>
      <c r="BT75" s="248"/>
      <c r="BU75" s="305"/>
      <c r="BV75" s="244"/>
      <c r="BW75" s="307"/>
      <c r="BX75" s="226">
        <v>5</v>
      </c>
      <c r="BY75" s="59">
        <f t="shared" si="421"/>
        <v>2</v>
      </c>
      <c r="BZ75" s="254">
        <f t="shared" si="422"/>
        <v>64</v>
      </c>
      <c r="CA75" s="263">
        <f t="shared" si="423"/>
        <v>20</v>
      </c>
      <c r="CB75" s="248"/>
      <c r="CC75" s="301"/>
      <c r="CD75" s="226">
        <v>5</v>
      </c>
      <c r="CE75" s="59">
        <f t="shared" si="424"/>
        <v>2</v>
      </c>
      <c r="CF75" s="254">
        <f t="shared" si="425"/>
        <v>64</v>
      </c>
      <c r="CG75" s="263">
        <f t="shared" si="426"/>
        <v>20</v>
      </c>
      <c r="CH75" s="248"/>
      <c r="CI75" s="301"/>
      <c r="CJ75" s="226">
        <v>5</v>
      </c>
      <c r="CK75" s="59">
        <f t="shared" si="427"/>
        <v>2</v>
      </c>
      <c r="CL75" s="254">
        <f t="shared" si="428"/>
        <v>64</v>
      </c>
      <c r="CM75" s="263">
        <f t="shared" si="429"/>
        <v>20</v>
      </c>
      <c r="CN75" s="248"/>
      <c r="CO75" s="301"/>
      <c r="CP75" s="226">
        <v>5</v>
      </c>
      <c r="CQ75" s="59">
        <f t="shared" si="430"/>
        <v>2</v>
      </c>
      <c r="CR75" s="254">
        <f t="shared" si="431"/>
        <v>64</v>
      </c>
      <c r="CS75" s="263">
        <f t="shared" si="432"/>
        <v>20</v>
      </c>
      <c r="CT75" s="248"/>
      <c r="CU75" s="305"/>
      <c r="CV75" s="244"/>
      <c r="CW75" s="307"/>
      <c r="CX75" s="226">
        <v>5</v>
      </c>
      <c r="CY75" s="59">
        <f t="shared" si="433"/>
        <v>2</v>
      </c>
      <c r="CZ75" s="254">
        <f t="shared" si="434"/>
        <v>64</v>
      </c>
      <c r="DA75" s="263">
        <f t="shared" si="435"/>
        <v>20</v>
      </c>
      <c r="DB75" s="248"/>
      <c r="DC75" s="301"/>
      <c r="DD75" s="226">
        <v>5</v>
      </c>
      <c r="DE75" s="59">
        <f t="shared" si="436"/>
        <v>2</v>
      </c>
      <c r="DF75" s="254">
        <f t="shared" si="437"/>
        <v>64</v>
      </c>
      <c r="DG75" s="263">
        <f t="shared" si="438"/>
        <v>20</v>
      </c>
      <c r="DH75" s="248"/>
      <c r="DI75" s="301"/>
      <c r="DJ75" s="226">
        <v>5</v>
      </c>
      <c r="DK75" s="59">
        <f t="shared" si="439"/>
        <v>2</v>
      </c>
      <c r="DL75" s="254">
        <f t="shared" si="440"/>
        <v>64</v>
      </c>
      <c r="DM75" s="263">
        <f t="shared" si="441"/>
        <v>20</v>
      </c>
      <c r="DN75" s="248"/>
      <c r="DO75" s="301"/>
      <c r="DP75" s="226">
        <v>5</v>
      </c>
      <c r="DQ75" s="59">
        <f t="shared" si="442"/>
        <v>2</v>
      </c>
      <c r="DR75" s="254">
        <f t="shared" si="443"/>
        <v>64</v>
      </c>
      <c r="DS75" s="263">
        <f t="shared" si="444"/>
        <v>20</v>
      </c>
      <c r="DT75" s="248"/>
      <c r="DU75" s="305"/>
      <c r="DV75" s="244"/>
      <c r="DW75" s="307"/>
      <c r="DX75" s="226">
        <v>5</v>
      </c>
      <c r="DY75" s="59">
        <f t="shared" si="445"/>
        <v>2</v>
      </c>
      <c r="DZ75" s="254">
        <f t="shared" si="446"/>
        <v>64</v>
      </c>
      <c r="EA75" s="263">
        <f t="shared" si="447"/>
        <v>20</v>
      </c>
      <c r="EB75" s="248"/>
      <c r="EC75" s="301"/>
      <c r="ED75" s="226">
        <v>5</v>
      </c>
      <c r="EE75" s="59">
        <f t="shared" si="448"/>
        <v>2</v>
      </c>
      <c r="EF75" s="254">
        <f t="shared" si="449"/>
        <v>64</v>
      </c>
      <c r="EG75" s="263">
        <f t="shared" si="450"/>
        <v>20</v>
      </c>
      <c r="EH75" s="248"/>
      <c r="EI75" s="301"/>
      <c r="EJ75" s="226">
        <v>5</v>
      </c>
      <c r="EK75" s="59">
        <f t="shared" si="451"/>
        <v>2</v>
      </c>
      <c r="EL75" s="254">
        <f t="shared" si="452"/>
        <v>64</v>
      </c>
      <c r="EM75" s="263">
        <f t="shared" si="453"/>
        <v>20</v>
      </c>
      <c r="EN75" s="248"/>
      <c r="EO75" s="305"/>
      <c r="EP75" s="244"/>
      <c r="EQ75" s="307"/>
      <c r="ER75" s="226">
        <v>5</v>
      </c>
      <c r="ES75" s="59">
        <f t="shared" si="454"/>
        <v>2</v>
      </c>
      <c r="ET75" s="254">
        <f t="shared" si="455"/>
        <v>64</v>
      </c>
      <c r="EU75" s="263">
        <f t="shared" si="456"/>
        <v>20</v>
      </c>
      <c r="EV75" s="248"/>
      <c r="EW75" s="301"/>
      <c r="EX75" s="226">
        <v>5</v>
      </c>
      <c r="EY75" s="59">
        <f t="shared" si="457"/>
        <v>2</v>
      </c>
      <c r="EZ75" s="254">
        <f t="shared" si="458"/>
        <v>64</v>
      </c>
      <c r="FA75" s="263">
        <f t="shared" si="459"/>
        <v>20</v>
      </c>
      <c r="FB75" s="248"/>
      <c r="FC75" s="301"/>
      <c r="FD75" s="226">
        <v>5</v>
      </c>
      <c r="FE75" s="59">
        <f t="shared" si="460"/>
        <v>2</v>
      </c>
      <c r="FF75" s="254">
        <f t="shared" si="461"/>
        <v>64</v>
      </c>
      <c r="FG75" s="263">
        <f t="shared" si="462"/>
        <v>20</v>
      </c>
      <c r="FH75" s="248"/>
      <c r="FI75" s="301"/>
      <c r="FJ75" s="226">
        <v>5</v>
      </c>
      <c r="FK75" s="59">
        <f t="shared" si="463"/>
        <v>2</v>
      </c>
      <c r="FL75" s="254">
        <f t="shared" si="464"/>
        <v>64</v>
      </c>
      <c r="FM75" s="263">
        <f t="shared" si="465"/>
        <v>20</v>
      </c>
      <c r="FN75" s="248"/>
      <c r="FO75" s="305"/>
      <c r="FP75" s="244"/>
    </row>
    <row r="76" spans="1:172" s="181" customFormat="1" ht="17" x14ac:dyDescent="0.45">
      <c r="A76" s="307"/>
      <c r="B76" s="226">
        <v>6</v>
      </c>
      <c r="C76" s="59">
        <v>0</v>
      </c>
      <c r="D76" s="254">
        <f t="shared" si="389"/>
        <v>48</v>
      </c>
      <c r="E76" s="263">
        <f t="shared" si="390"/>
        <v>0</v>
      </c>
      <c r="F76" s="252">
        <v>7</v>
      </c>
      <c r="G76" s="301"/>
      <c r="H76" s="252">
        <v>6</v>
      </c>
      <c r="I76" s="253">
        <f t="shared" si="391"/>
        <v>0</v>
      </c>
      <c r="J76" s="254">
        <f t="shared" si="392"/>
        <v>48</v>
      </c>
      <c r="K76" s="263">
        <f t="shared" si="393"/>
        <v>0</v>
      </c>
      <c r="L76" s="252"/>
      <c r="M76" s="305"/>
      <c r="N76" s="244"/>
      <c r="O76" s="307"/>
      <c r="P76" s="252">
        <v>6</v>
      </c>
      <c r="Q76" s="253">
        <f t="shared" si="394"/>
        <v>0</v>
      </c>
      <c r="R76" s="254">
        <f t="shared" si="395"/>
        <v>48</v>
      </c>
      <c r="S76" s="263">
        <f t="shared" si="396"/>
        <v>0</v>
      </c>
      <c r="T76" s="252"/>
      <c r="U76" s="301"/>
      <c r="V76" s="252">
        <v>6</v>
      </c>
      <c r="W76" s="253">
        <f t="shared" si="397"/>
        <v>0</v>
      </c>
      <c r="X76" s="254">
        <f t="shared" si="398"/>
        <v>48</v>
      </c>
      <c r="Y76" s="263">
        <f t="shared" si="399"/>
        <v>0</v>
      </c>
      <c r="Z76" s="252">
        <v>11</v>
      </c>
      <c r="AA76" s="301"/>
      <c r="AB76" s="252">
        <v>6</v>
      </c>
      <c r="AC76" s="253">
        <f t="shared" si="400"/>
        <v>0</v>
      </c>
      <c r="AD76" s="254">
        <f t="shared" si="401"/>
        <v>48</v>
      </c>
      <c r="AE76" s="263">
        <f t="shared" si="402"/>
        <v>0</v>
      </c>
      <c r="AF76" s="252">
        <v>19</v>
      </c>
      <c r="AG76" s="305"/>
      <c r="AH76" s="244"/>
      <c r="AI76" s="307"/>
      <c r="AJ76" s="252">
        <v>6</v>
      </c>
      <c r="AK76" s="253">
        <f t="shared" si="403"/>
        <v>0</v>
      </c>
      <c r="AL76" s="254">
        <f t="shared" si="404"/>
        <v>48</v>
      </c>
      <c r="AM76" s="263">
        <f t="shared" si="405"/>
        <v>0</v>
      </c>
      <c r="AN76" s="252"/>
      <c r="AO76" s="301"/>
      <c r="AP76" s="252">
        <v>6</v>
      </c>
      <c r="AQ76" s="253">
        <f t="shared" si="406"/>
        <v>0</v>
      </c>
      <c r="AR76" s="254">
        <f t="shared" si="407"/>
        <v>48</v>
      </c>
      <c r="AS76" s="263">
        <f t="shared" si="408"/>
        <v>0</v>
      </c>
      <c r="AT76" s="252">
        <v>15</v>
      </c>
      <c r="AU76" s="301"/>
      <c r="AV76" s="252">
        <v>6</v>
      </c>
      <c r="AW76" s="253">
        <f t="shared" si="409"/>
        <v>0</v>
      </c>
      <c r="AX76" s="254">
        <f t="shared" si="410"/>
        <v>48</v>
      </c>
      <c r="AY76" s="263">
        <f t="shared" si="411"/>
        <v>0</v>
      </c>
      <c r="AZ76" s="252"/>
      <c r="BA76" s="305"/>
      <c r="BB76" s="244"/>
      <c r="BC76" s="307"/>
      <c r="BD76" s="252">
        <v>6</v>
      </c>
      <c r="BE76" s="253">
        <f t="shared" si="412"/>
        <v>0</v>
      </c>
      <c r="BF76" s="254">
        <f t="shared" si="413"/>
        <v>48</v>
      </c>
      <c r="BG76" s="263">
        <f t="shared" si="414"/>
        <v>0</v>
      </c>
      <c r="BH76" s="252"/>
      <c r="BI76" s="301"/>
      <c r="BJ76" s="252">
        <v>6</v>
      </c>
      <c r="BK76" s="253">
        <f t="shared" si="415"/>
        <v>0</v>
      </c>
      <c r="BL76" s="254">
        <f t="shared" si="416"/>
        <v>48</v>
      </c>
      <c r="BM76" s="263">
        <f t="shared" si="417"/>
        <v>0</v>
      </c>
      <c r="BN76" s="252">
        <v>9</v>
      </c>
      <c r="BO76" s="301"/>
      <c r="BP76" s="252">
        <v>6</v>
      </c>
      <c r="BQ76" s="253">
        <f t="shared" si="418"/>
        <v>0</v>
      </c>
      <c r="BR76" s="254">
        <f t="shared" si="419"/>
        <v>48</v>
      </c>
      <c r="BS76" s="263">
        <f t="shared" si="420"/>
        <v>0</v>
      </c>
      <c r="BT76" s="252">
        <v>15</v>
      </c>
      <c r="BU76" s="305"/>
      <c r="BV76" s="244"/>
      <c r="BW76" s="307"/>
      <c r="BX76" s="252">
        <v>6</v>
      </c>
      <c r="BY76" s="253">
        <f t="shared" si="421"/>
        <v>0</v>
      </c>
      <c r="BZ76" s="254">
        <f t="shared" si="422"/>
        <v>48</v>
      </c>
      <c r="CA76" s="263">
        <f t="shared" si="423"/>
        <v>0</v>
      </c>
      <c r="CB76" s="252"/>
      <c r="CC76" s="301"/>
      <c r="CD76" s="252">
        <v>6</v>
      </c>
      <c r="CE76" s="253">
        <f t="shared" si="424"/>
        <v>0</v>
      </c>
      <c r="CF76" s="254">
        <f t="shared" si="425"/>
        <v>48</v>
      </c>
      <c r="CG76" s="263">
        <f t="shared" si="426"/>
        <v>0</v>
      </c>
      <c r="CH76" s="252"/>
      <c r="CI76" s="301"/>
      <c r="CJ76" s="252">
        <v>6</v>
      </c>
      <c r="CK76" s="253">
        <f t="shared" si="427"/>
        <v>0</v>
      </c>
      <c r="CL76" s="254">
        <f t="shared" si="428"/>
        <v>48</v>
      </c>
      <c r="CM76" s="263">
        <f t="shared" si="429"/>
        <v>0</v>
      </c>
      <c r="CN76" s="252"/>
      <c r="CO76" s="301"/>
      <c r="CP76" s="252">
        <v>6</v>
      </c>
      <c r="CQ76" s="253">
        <f t="shared" si="430"/>
        <v>0</v>
      </c>
      <c r="CR76" s="254">
        <f t="shared" si="431"/>
        <v>48</v>
      </c>
      <c r="CS76" s="263">
        <f t="shared" si="432"/>
        <v>0</v>
      </c>
      <c r="CT76" s="252"/>
      <c r="CU76" s="305"/>
      <c r="CV76" s="244"/>
      <c r="CW76" s="307"/>
      <c r="CX76" s="252">
        <v>6</v>
      </c>
      <c r="CY76" s="253">
        <f t="shared" si="433"/>
        <v>0</v>
      </c>
      <c r="CZ76" s="254">
        <f t="shared" si="434"/>
        <v>48</v>
      </c>
      <c r="DA76" s="263">
        <f t="shared" si="435"/>
        <v>0</v>
      </c>
      <c r="DB76" s="252"/>
      <c r="DC76" s="301"/>
      <c r="DD76" s="252">
        <v>6</v>
      </c>
      <c r="DE76" s="253">
        <f t="shared" si="436"/>
        <v>0</v>
      </c>
      <c r="DF76" s="254">
        <f t="shared" si="437"/>
        <v>48</v>
      </c>
      <c r="DG76" s="263">
        <f t="shared" si="438"/>
        <v>0</v>
      </c>
      <c r="DH76" s="252"/>
      <c r="DI76" s="301"/>
      <c r="DJ76" s="252">
        <v>6</v>
      </c>
      <c r="DK76" s="253">
        <f t="shared" si="439"/>
        <v>0</v>
      </c>
      <c r="DL76" s="254">
        <f t="shared" si="440"/>
        <v>48</v>
      </c>
      <c r="DM76" s="263">
        <f t="shared" si="441"/>
        <v>0</v>
      </c>
      <c r="DN76" s="252"/>
      <c r="DO76" s="301"/>
      <c r="DP76" s="252">
        <v>6</v>
      </c>
      <c r="DQ76" s="253">
        <f t="shared" si="442"/>
        <v>0</v>
      </c>
      <c r="DR76" s="254">
        <f t="shared" si="443"/>
        <v>48</v>
      </c>
      <c r="DS76" s="263">
        <f t="shared" si="444"/>
        <v>0</v>
      </c>
      <c r="DT76" s="252"/>
      <c r="DU76" s="305"/>
      <c r="DV76" s="244"/>
      <c r="DW76" s="307"/>
      <c r="DX76" s="252">
        <v>6</v>
      </c>
      <c r="DY76" s="253">
        <f t="shared" si="445"/>
        <v>0</v>
      </c>
      <c r="DZ76" s="254">
        <f t="shared" si="446"/>
        <v>48</v>
      </c>
      <c r="EA76" s="263">
        <f t="shared" si="447"/>
        <v>0</v>
      </c>
      <c r="EB76" s="252"/>
      <c r="EC76" s="301"/>
      <c r="ED76" s="252">
        <v>6</v>
      </c>
      <c r="EE76" s="253">
        <f t="shared" si="448"/>
        <v>0</v>
      </c>
      <c r="EF76" s="254">
        <f t="shared" si="449"/>
        <v>48</v>
      </c>
      <c r="EG76" s="263">
        <f t="shared" si="450"/>
        <v>0</v>
      </c>
      <c r="EH76" s="252"/>
      <c r="EI76" s="301"/>
      <c r="EJ76" s="252">
        <v>6</v>
      </c>
      <c r="EK76" s="253">
        <f t="shared" si="451"/>
        <v>0</v>
      </c>
      <c r="EL76" s="254">
        <f t="shared" si="452"/>
        <v>48</v>
      </c>
      <c r="EM76" s="263">
        <f t="shared" si="453"/>
        <v>0</v>
      </c>
      <c r="EN76" s="252"/>
      <c r="EO76" s="305"/>
      <c r="EP76" s="244"/>
      <c r="EQ76" s="307"/>
      <c r="ER76" s="252">
        <v>6</v>
      </c>
      <c r="ES76" s="253">
        <f t="shared" si="454"/>
        <v>0</v>
      </c>
      <c r="ET76" s="254">
        <f t="shared" si="455"/>
        <v>48</v>
      </c>
      <c r="EU76" s="263">
        <f t="shared" si="456"/>
        <v>0</v>
      </c>
      <c r="EV76" s="252"/>
      <c r="EW76" s="301"/>
      <c r="EX76" s="252">
        <v>6</v>
      </c>
      <c r="EY76" s="253">
        <f t="shared" si="457"/>
        <v>0</v>
      </c>
      <c r="EZ76" s="254">
        <f t="shared" si="458"/>
        <v>48</v>
      </c>
      <c r="FA76" s="263">
        <f t="shared" si="459"/>
        <v>0</v>
      </c>
      <c r="FB76" s="252"/>
      <c r="FC76" s="301"/>
      <c r="FD76" s="252">
        <v>6</v>
      </c>
      <c r="FE76" s="253">
        <f t="shared" si="460"/>
        <v>0</v>
      </c>
      <c r="FF76" s="254">
        <f t="shared" si="461"/>
        <v>48</v>
      </c>
      <c r="FG76" s="263">
        <f t="shared" si="462"/>
        <v>0</v>
      </c>
      <c r="FH76" s="252"/>
      <c r="FI76" s="301"/>
      <c r="FJ76" s="252">
        <v>6</v>
      </c>
      <c r="FK76" s="253">
        <f t="shared" si="463"/>
        <v>0</v>
      </c>
      <c r="FL76" s="254">
        <f t="shared" si="464"/>
        <v>48</v>
      </c>
      <c r="FM76" s="263">
        <f t="shared" si="465"/>
        <v>0</v>
      </c>
      <c r="FN76" s="252"/>
      <c r="FO76" s="305"/>
      <c r="FP76" s="244"/>
    </row>
    <row r="77" spans="1:172" ht="17" x14ac:dyDescent="0.45">
      <c r="A77" s="307"/>
      <c r="B77" s="226">
        <v>7</v>
      </c>
      <c r="C77" s="59">
        <v>0</v>
      </c>
      <c r="D77" s="254">
        <f t="shared" si="389"/>
        <v>48</v>
      </c>
      <c r="E77" s="263">
        <f t="shared" si="390"/>
        <v>13</v>
      </c>
      <c r="F77" s="248"/>
      <c r="G77" s="301"/>
      <c r="H77" s="226">
        <v>7</v>
      </c>
      <c r="I77" s="59">
        <f t="shared" si="391"/>
        <v>0</v>
      </c>
      <c r="J77" s="254">
        <f t="shared" si="392"/>
        <v>48</v>
      </c>
      <c r="K77" s="263">
        <f t="shared" si="393"/>
        <v>13</v>
      </c>
      <c r="L77" s="248"/>
      <c r="M77" s="305"/>
      <c r="N77" s="244"/>
      <c r="O77" s="307"/>
      <c r="P77" s="226">
        <v>7</v>
      </c>
      <c r="Q77" s="59">
        <f t="shared" si="394"/>
        <v>0</v>
      </c>
      <c r="R77" s="254">
        <f t="shared" si="395"/>
        <v>48</v>
      </c>
      <c r="S77" s="263">
        <f t="shared" si="396"/>
        <v>13</v>
      </c>
      <c r="T77" s="248"/>
      <c r="U77" s="301"/>
      <c r="V77" s="226">
        <v>7</v>
      </c>
      <c r="W77" s="59">
        <f t="shared" si="397"/>
        <v>0</v>
      </c>
      <c r="X77" s="254">
        <f t="shared" si="398"/>
        <v>48</v>
      </c>
      <c r="Y77" s="263">
        <f t="shared" si="399"/>
        <v>13</v>
      </c>
      <c r="Z77" s="248"/>
      <c r="AA77" s="301"/>
      <c r="AB77" s="226">
        <v>7</v>
      </c>
      <c r="AC77" s="59">
        <f t="shared" si="400"/>
        <v>0</v>
      </c>
      <c r="AD77" s="254">
        <f t="shared" si="401"/>
        <v>48</v>
      </c>
      <c r="AE77" s="263">
        <f t="shared" si="402"/>
        <v>13</v>
      </c>
      <c r="AF77" s="248">
        <v>20</v>
      </c>
      <c r="AG77" s="305"/>
      <c r="AH77" s="244"/>
      <c r="AI77" s="307"/>
      <c r="AJ77" s="226">
        <v>7</v>
      </c>
      <c r="AK77" s="59">
        <f t="shared" si="403"/>
        <v>1</v>
      </c>
      <c r="AL77" s="254">
        <f t="shared" si="404"/>
        <v>56</v>
      </c>
      <c r="AM77" s="263">
        <f t="shared" si="405"/>
        <v>21</v>
      </c>
      <c r="AN77" s="248"/>
      <c r="AO77" s="301"/>
      <c r="AP77" s="226">
        <v>7</v>
      </c>
      <c r="AQ77" s="59">
        <f t="shared" si="406"/>
        <v>1</v>
      </c>
      <c r="AR77" s="254">
        <f t="shared" si="407"/>
        <v>56</v>
      </c>
      <c r="AS77" s="263">
        <f t="shared" si="408"/>
        <v>21</v>
      </c>
      <c r="AT77" s="248"/>
      <c r="AU77" s="301"/>
      <c r="AV77" s="226">
        <v>7</v>
      </c>
      <c r="AW77" s="59">
        <f t="shared" si="409"/>
        <v>1</v>
      </c>
      <c r="AX77" s="254">
        <f t="shared" si="410"/>
        <v>56</v>
      </c>
      <c r="AY77" s="263">
        <f t="shared" si="411"/>
        <v>21</v>
      </c>
      <c r="AZ77" s="248"/>
      <c r="BA77" s="305"/>
      <c r="BB77" s="244"/>
      <c r="BC77" s="307"/>
      <c r="BD77" s="226">
        <v>7</v>
      </c>
      <c r="BE77" s="59">
        <f t="shared" si="412"/>
        <v>1</v>
      </c>
      <c r="BF77" s="254">
        <f t="shared" si="413"/>
        <v>56</v>
      </c>
      <c r="BG77" s="263">
        <f t="shared" si="414"/>
        <v>21</v>
      </c>
      <c r="BH77" s="248"/>
      <c r="BI77" s="301"/>
      <c r="BJ77" s="226">
        <v>7</v>
      </c>
      <c r="BK77" s="59">
        <f t="shared" si="415"/>
        <v>1</v>
      </c>
      <c r="BL77" s="254">
        <f t="shared" si="416"/>
        <v>56</v>
      </c>
      <c r="BM77" s="263">
        <f t="shared" si="417"/>
        <v>21</v>
      </c>
      <c r="BN77" s="248"/>
      <c r="BO77" s="301"/>
      <c r="BP77" s="226">
        <v>7</v>
      </c>
      <c r="BQ77" s="59">
        <f t="shared" si="418"/>
        <v>1</v>
      </c>
      <c r="BR77" s="254">
        <f t="shared" si="419"/>
        <v>56</v>
      </c>
      <c r="BS77" s="263">
        <f t="shared" si="420"/>
        <v>21</v>
      </c>
      <c r="BT77" s="248"/>
      <c r="BU77" s="305"/>
      <c r="BV77" s="244"/>
      <c r="BW77" s="307"/>
      <c r="BX77" s="226">
        <v>7</v>
      </c>
      <c r="BY77" s="59">
        <f t="shared" si="421"/>
        <v>1</v>
      </c>
      <c r="BZ77" s="254">
        <f t="shared" si="422"/>
        <v>56</v>
      </c>
      <c r="CA77" s="263">
        <f t="shared" si="423"/>
        <v>21</v>
      </c>
      <c r="CB77" s="248"/>
      <c r="CC77" s="301"/>
      <c r="CD77" s="226">
        <v>7</v>
      </c>
      <c r="CE77" s="59">
        <f t="shared" si="424"/>
        <v>1</v>
      </c>
      <c r="CF77" s="254">
        <f t="shared" si="425"/>
        <v>56</v>
      </c>
      <c r="CG77" s="263">
        <f t="shared" si="426"/>
        <v>21</v>
      </c>
      <c r="CH77" s="248"/>
      <c r="CI77" s="301"/>
      <c r="CJ77" s="226">
        <v>7</v>
      </c>
      <c r="CK77" s="59">
        <f t="shared" si="427"/>
        <v>1</v>
      </c>
      <c r="CL77" s="254">
        <f t="shared" si="428"/>
        <v>56</v>
      </c>
      <c r="CM77" s="263">
        <f t="shared" si="429"/>
        <v>21</v>
      </c>
      <c r="CN77" s="248"/>
      <c r="CO77" s="301"/>
      <c r="CP77" s="226">
        <v>7</v>
      </c>
      <c r="CQ77" s="59">
        <f t="shared" si="430"/>
        <v>1</v>
      </c>
      <c r="CR77" s="254">
        <f t="shared" si="431"/>
        <v>56</v>
      </c>
      <c r="CS77" s="263">
        <f t="shared" si="432"/>
        <v>21</v>
      </c>
      <c r="CT77" s="248"/>
      <c r="CU77" s="305"/>
      <c r="CV77" s="244"/>
      <c r="CW77" s="307"/>
      <c r="CX77" s="226">
        <v>7</v>
      </c>
      <c r="CY77" s="59">
        <f t="shared" si="433"/>
        <v>1</v>
      </c>
      <c r="CZ77" s="254">
        <f t="shared" si="434"/>
        <v>56</v>
      </c>
      <c r="DA77" s="263">
        <f t="shared" si="435"/>
        <v>21</v>
      </c>
      <c r="DB77" s="248"/>
      <c r="DC77" s="301"/>
      <c r="DD77" s="226">
        <v>7</v>
      </c>
      <c r="DE77" s="59">
        <f t="shared" si="436"/>
        <v>1</v>
      </c>
      <c r="DF77" s="254">
        <f t="shared" si="437"/>
        <v>56</v>
      </c>
      <c r="DG77" s="263">
        <f t="shared" si="438"/>
        <v>21</v>
      </c>
      <c r="DH77" s="248"/>
      <c r="DI77" s="301"/>
      <c r="DJ77" s="226">
        <v>7</v>
      </c>
      <c r="DK77" s="59">
        <f t="shared" si="439"/>
        <v>1</v>
      </c>
      <c r="DL77" s="254">
        <f t="shared" si="440"/>
        <v>56</v>
      </c>
      <c r="DM77" s="263">
        <f t="shared" si="441"/>
        <v>21</v>
      </c>
      <c r="DN77" s="248"/>
      <c r="DO77" s="301"/>
      <c r="DP77" s="226">
        <v>7</v>
      </c>
      <c r="DQ77" s="59">
        <f t="shared" si="442"/>
        <v>1</v>
      </c>
      <c r="DR77" s="254">
        <f t="shared" si="443"/>
        <v>56</v>
      </c>
      <c r="DS77" s="263">
        <f t="shared" si="444"/>
        <v>21</v>
      </c>
      <c r="DT77" s="248"/>
      <c r="DU77" s="305"/>
      <c r="DV77" s="244"/>
      <c r="DW77" s="307"/>
      <c r="DX77" s="226">
        <v>7</v>
      </c>
      <c r="DY77" s="59">
        <f t="shared" si="445"/>
        <v>1</v>
      </c>
      <c r="DZ77" s="254">
        <f t="shared" si="446"/>
        <v>56</v>
      </c>
      <c r="EA77" s="263">
        <f t="shared" si="447"/>
        <v>21</v>
      </c>
      <c r="EB77" s="248"/>
      <c r="EC77" s="301"/>
      <c r="ED77" s="226">
        <v>7</v>
      </c>
      <c r="EE77" s="59">
        <f t="shared" si="448"/>
        <v>1</v>
      </c>
      <c r="EF77" s="254">
        <f t="shared" si="449"/>
        <v>56</v>
      </c>
      <c r="EG77" s="263">
        <f t="shared" si="450"/>
        <v>21</v>
      </c>
      <c r="EH77" s="248"/>
      <c r="EI77" s="301"/>
      <c r="EJ77" s="226">
        <v>7</v>
      </c>
      <c r="EK77" s="59">
        <f t="shared" si="451"/>
        <v>1</v>
      </c>
      <c r="EL77" s="254">
        <f t="shared" si="452"/>
        <v>56</v>
      </c>
      <c r="EM77" s="263">
        <f t="shared" si="453"/>
        <v>21</v>
      </c>
      <c r="EN77" s="248"/>
      <c r="EO77" s="305"/>
      <c r="EP77" s="244"/>
      <c r="EQ77" s="307"/>
      <c r="ER77" s="226">
        <v>7</v>
      </c>
      <c r="ES77" s="59">
        <f t="shared" si="454"/>
        <v>1</v>
      </c>
      <c r="ET77" s="254">
        <f t="shared" si="455"/>
        <v>56</v>
      </c>
      <c r="EU77" s="263">
        <f t="shared" si="456"/>
        <v>21</v>
      </c>
      <c r="EV77" s="248"/>
      <c r="EW77" s="301"/>
      <c r="EX77" s="226">
        <v>7</v>
      </c>
      <c r="EY77" s="59">
        <f t="shared" si="457"/>
        <v>1</v>
      </c>
      <c r="EZ77" s="254">
        <f t="shared" si="458"/>
        <v>56</v>
      </c>
      <c r="FA77" s="263">
        <f t="shared" si="459"/>
        <v>21</v>
      </c>
      <c r="FB77" s="248"/>
      <c r="FC77" s="301"/>
      <c r="FD77" s="226">
        <v>7</v>
      </c>
      <c r="FE77" s="59">
        <f t="shared" si="460"/>
        <v>1</v>
      </c>
      <c r="FF77" s="254">
        <f t="shared" si="461"/>
        <v>56</v>
      </c>
      <c r="FG77" s="263">
        <f t="shared" si="462"/>
        <v>21</v>
      </c>
      <c r="FH77" s="248"/>
      <c r="FI77" s="301"/>
      <c r="FJ77" s="226">
        <v>7</v>
      </c>
      <c r="FK77" s="59">
        <f t="shared" si="463"/>
        <v>1</v>
      </c>
      <c r="FL77" s="254">
        <f t="shared" si="464"/>
        <v>56</v>
      </c>
      <c r="FM77" s="263">
        <f t="shared" si="465"/>
        <v>21</v>
      </c>
      <c r="FN77" s="248"/>
      <c r="FO77" s="305"/>
      <c r="FP77" s="244"/>
    </row>
    <row r="78" spans="1:172" ht="17.5" thickBot="1" x14ac:dyDescent="0.5">
      <c r="A78" s="309"/>
      <c r="B78" s="261">
        <v>8</v>
      </c>
      <c r="C78" s="59">
        <v>0</v>
      </c>
      <c r="D78" s="254">
        <f t="shared" si="389"/>
        <v>48</v>
      </c>
      <c r="E78" s="263">
        <f t="shared" si="390"/>
        <v>9</v>
      </c>
      <c r="F78" s="260"/>
      <c r="G78" s="302"/>
      <c r="H78" s="261">
        <v>8</v>
      </c>
      <c r="I78" s="59">
        <f t="shared" si="391"/>
        <v>0</v>
      </c>
      <c r="J78" s="254">
        <f t="shared" si="392"/>
        <v>48</v>
      </c>
      <c r="K78" s="263">
        <f t="shared" si="393"/>
        <v>9</v>
      </c>
      <c r="L78" s="260"/>
      <c r="M78" s="305"/>
      <c r="N78" s="244"/>
      <c r="O78" s="309"/>
      <c r="P78" s="261">
        <v>8</v>
      </c>
      <c r="Q78" s="59">
        <f t="shared" si="394"/>
        <v>0</v>
      </c>
      <c r="R78" s="254">
        <f t="shared" si="395"/>
        <v>48</v>
      </c>
      <c r="S78" s="263">
        <f t="shared" si="396"/>
        <v>9</v>
      </c>
      <c r="T78" s="260"/>
      <c r="U78" s="302"/>
      <c r="V78" s="261">
        <v>8</v>
      </c>
      <c r="W78" s="59">
        <f t="shared" si="397"/>
        <v>0</v>
      </c>
      <c r="X78" s="254">
        <f t="shared" si="398"/>
        <v>48</v>
      </c>
      <c r="Y78" s="263">
        <f t="shared" si="399"/>
        <v>9</v>
      </c>
      <c r="Z78" s="260">
        <v>12</v>
      </c>
      <c r="AA78" s="302"/>
      <c r="AB78" s="261">
        <v>8</v>
      </c>
      <c r="AC78" s="59">
        <f t="shared" si="400"/>
        <v>1</v>
      </c>
      <c r="AD78" s="254">
        <f t="shared" si="401"/>
        <v>56</v>
      </c>
      <c r="AE78" s="263">
        <f t="shared" si="402"/>
        <v>17</v>
      </c>
      <c r="AF78" s="260"/>
      <c r="AG78" s="305"/>
      <c r="AH78" s="244"/>
      <c r="AI78" s="309"/>
      <c r="AJ78" s="261">
        <v>8</v>
      </c>
      <c r="AK78" s="59">
        <f t="shared" si="403"/>
        <v>1</v>
      </c>
      <c r="AL78" s="254">
        <f t="shared" si="404"/>
        <v>56</v>
      </c>
      <c r="AM78" s="263">
        <f t="shared" si="405"/>
        <v>17</v>
      </c>
      <c r="AN78" s="260"/>
      <c r="AO78" s="302"/>
      <c r="AP78" s="261">
        <v>8</v>
      </c>
      <c r="AQ78" s="59">
        <f t="shared" si="406"/>
        <v>1</v>
      </c>
      <c r="AR78" s="254">
        <f t="shared" si="407"/>
        <v>56</v>
      </c>
      <c r="AS78" s="263">
        <f t="shared" si="408"/>
        <v>17</v>
      </c>
      <c r="AT78" s="260"/>
      <c r="AU78" s="302"/>
      <c r="AV78" s="261">
        <v>8</v>
      </c>
      <c r="AW78" s="59">
        <f t="shared" si="409"/>
        <v>1</v>
      </c>
      <c r="AX78" s="254">
        <f t="shared" si="410"/>
        <v>56</v>
      </c>
      <c r="AY78" s="263">
        <f t="shared" si="411"/>
        <v>17</v>
      </c>
      <c r="AZ78" s="260"/>
      <c r="BA78" s="305"/>
      <c r="BB78" s="244"/>
      <c r="BC78" s="309"/>
      <c r="BD78" s="261">
        <v>8</v>
      </c>
      <c r="BE78" s="59">
        <f t="shared" si="412"/>
        <v>1</v>
      </c>
      <c r="BF78" s="254">
        <f t="shared" si="413"/>
        <v>56</v>
      </c>
      <c r="BG78" s="263">
        <f t="shared" si="414"/>
        <v>17</v>
      </c>
      <c r="BH78" s="260"/>
      <c r="BI78" s="302"/>
      <c r="BJ78" s="261">
        <v>8</v>
      </c>
      <c r="BK78" s="59">
        <f t="shared" si="415"/>
        <v>1</v>
      </c>
      <c r="BL78" s="254">
        <f t="shared" si="416"/>
        <v>56</v>
      </c>
      <c r="BM78" s="263">
        <f t="shared" si="417"/>
        <v>17</v>
      </c>
      <c r="BN78" s="260">
        <v>10</v>
      </c>
      <c r="BO78" s="302"/>
      <c r="BP78" s="261">
        <v>8</v>
      </c>
      <c r="BQ78" s="59">
        <f t="shared" si="418"/>
        <v>2</v>
      </c>
      <c r="BR78" s="254">
        <f t="shared" si="419"/>
        <v>64</v>
      </c>
      <c r="BS78" s="263">
        <f t="shared" si="420"/>
        <v>25</v>
      </c>
      <c r="BT78" s="260"/>
      <c r="BU78" s="305"/>
      <c r="BV78" s="244"/>
      <c r="BW78" s="309"/>
      <c r="BX78" s="261">
        <v>8</v>
      </c>
      <c r="BY78" s="59">
        <f t="shared" si="421"/>
        <v>2</v>
      </c>
      <c r="BZ78" s="254">
        <f t="shared" si="422"/>
        <v>64</v>
      </c>
      <c r="CA78" s="263">
        <f t="shared" si="423"/>
        <v>25</v>
      </c>
      <c r="CB78" s="260"/>
      <c r="CC78" s="302"/>
      <c r="CD78" s="261">
        <v>8</v>
      </c>
      <c r="CE78" s="59">
        <f t="shared" si="424"/>
        <v>2</v>
      </c>
      <c r="CF78" s="254">
        <f t="shared" si="425"/>
        <v>64</v>
      </c>
      <c r="CG78" s="263">
        <f t="shared" si="426"/>
        <v>25</v>
      </c>
      <c r="CH78" s="260"/>
      <c r="CI78" s="302"/>
      <c r="CJ78" s="261">
        <v>8</v>
      </c>
      <c r="CK78" s="59">
        <f t="shared" si="427"/>
        <v>2</v>
      </c>
      <c r="CL78" s="254">
        <f t="shared" si="428"/>
        <v>64</v>
      </c>
      <c r="CM78" s="263">
        <f t="shared" si="429"/>
        <v>25</v>
      </c>
      <c r="CN78" s="260"/>
      <c r="CO78" s="302"/>
      <c r="CP78" s="261">
        <v>8</v>
      </c>
      <c r="CQ78" s="59">
        <f t="shared" si="430"/>
        <v>2</v>
      </c>
      <c r="CR78" s="254">
        <f t="shared" si="431"/>
        <v>64</v>
      </c>
      <c r="CS78" s="263">
        <f t="shared" si="432"/>
        <v>25</v>
      </c>
      <c r="CT78" s="260"/>
      <c r="CU78" s="305"/>
      <c r="CV78" s="244"/>
      <c r="CW78" s="309"/>
      <c r="CX78" s="261">
        <v>8</v>
      </c>
      <c r="CY78" s="59">
        <f t="shared" si="433"/>
        <v>2</v>
      </c>
      <c r="CZ78" s="254">
        <f t="shared" si="434"/>
        <v>64</v>
      </c>
      <c r="DA78" s="263">
        <f t="shared" si="435"/>
        <v>25</v>
      </c>
      <c r="DB78" s="260"/>
      <c r="DC78" s="302"/>
      <c r="DD78" s="261">
        <v>8</v>
      </c>
      <c r="DE78" s="59">
        <f t="shared" si="436"/>
        <v>2</v>
      </c>
      <c r="DF78" s="254">
        <f t="shared" si="437"/>
        <v>64</v>
      </c>
      <c r="DG78" s="263">
        <f t="shared" si="438"/>
        <v>25</v>
      </c>
      <c r="DH78" s="260"/>
      <c r="DI78" s="302"/>
      <c r="DJ78" s="261">
        <v>8</v>
      </c>
      <c r="DK78" s="59">
        <f t="shared" si="439"/>
        <v>2</v>
      </c>
      <c r="DL78" s="254">
        <f t="shared" si="440"/>
        <v>64</v>
      </c>
      <c r="DM78" s="263">
        <f t="shared" si="441"/>
        <v>25</v>
      </c>
      <c r="DN78" s="260"/>
      <c r="DO78" s="302"/>
      <c r="DP78" s="261">
        <v>8</v>
      </c>
      <c r="DQ78" s="59">
        <f t="shared" si="442"/>
        <v>2</v>
      </c>
      <c r="DR78" s="254">
        <f t="shared" si="443"/>
        <v>64</v>
      </c>
      <c r="DS78" s="263">
        <f t="shared" si="444"/>
        <v>25</v>
      </c>
      <c r="DT78" s="260"/>
      <c r="DU78" s="305"/>
      <c r="DV78" s="244"/>
      <c r="DW78" s="309"/>
      <c r="DX78" s="261">
        <v>8</v>
      </c>
      <c r="DY78" s="59">
        <f t="shared" si="445"/>
        <v>2</v>
      </c>
      <c r="DZ78" s="254">
        <f t="shared" si="446"/>
        <v>64</v>
      </c>
      <c r="EA78" s="263">
        <f t="shared" si="447"/>
        <v>25</v>
      </c>
      <c r="EB78" s="260"/>
      <c r="EC78" s="302"/>
      <c r="ED78" s="261">
        <v>8</v>
      </c>
      <c r="EE78" s="59">
        <f t="shared" si="448"/>
        <v>2</v>
      </c>
      <c r="EF78" s="254">
        <f t="shared" si="449"/>
        <v>64</v>
      </c>
      <c r="EG78" s="263">
        <f t="shared" si="450"/>
        <v>25</v>
      </c>
      <c r="EH78" s="260"/>
      <c r="EI78" s="302"/>
      <c r="EJ78" s="261">
        <v>8</v>
      </c>
      <c r="EK78" s="59">
        <f t="shared" si="451"/>
        <v>2</v>
      </c>
      <c r="EL78" s="254">
        <f t="shared" si="452"/>
        <v>64</v>
      </c>
      <c r="EM78" s="263">
        <f t="shared" si="453"/>
        <v>25</v>
      </c>
      <c r="EN78" s="260"/>
      <c r="EO78" s="305"/>
      <c r="EP78" s="244"/>
      <c r="EQ78" s="309"/>
      <c r="ER78" s="261">
        <v>8</v>
      </c>
      <c r="ES78" s="59">
        <f t="shared" si="454"/>
        <v>2</v>
      </c>
      <c r="ET78" s="254">
        <f t="shared" si="455"/>
        <v>64</v>
      </c>
      <c r="EU78" s="263">
        <f t="shared" si="456"/>
        <v>25</v>
      </c>
      <c r="EV78" s="260"/>
      <c r="EW78" s="302"/>
      <c r="EX78" s="261">
        <v>8</v>
      </c>
      <c r="EY78" s="59">
        <f t="shared" si="457"/>
        <v>2</v>
      </c>
      <c r="EZ78" s="254">
        <f t="shared" si="458"/>
        <v>64</v>
      </c>
      <c r="FA78" s="263">
        <f t="shared" si="459"/>
        <v>25</v>
      </c>
      <c r="FB78" s="260"/>
      <c r="FC78" s="302"/>
      <c r="FD78" s="261">
        <v>8</v>
      </c>
      <c r="FE78" s="59">
        <f t="shared" si="460"/>
        <v>2</v>
      </c>
      <c r="FF78" s="254">
        <f t="shared" si="461"/>
        <v>64</v>
      </c>
      <c r="FG78" s="263">
        <f t="shared" si="462"/>
        <v>25</v>
      </c>
      <c r="FH78" s="260"/>
      <c r="FI78" s="302"/>
      <c r="FJ78" s="261">
        <v>8</v>
      </c>
      <c r="FK78" s="59">
        <f t="shared" si="463"/>
        <v>2</v>
      </c>
      <c r="FL78" s="254">
        <f t="shared" si="464"/>
        <v>64</v>
      </c>
      <c r="FM78" s="263">
        <f t="shared" si="465"/>
        <v>25</v>
      </c>
      <c r="FN78" s="260"/>
      <c r="FO78" s="305"/>
      <c r="FP78" s="244"/>
    </row>
    <row r="79" spans="1:172" ht="17" x14ac:dyDescent="0.45">
      <c r="A79" s="306">
        <v>7</v>
      </c>
      <c r="B79" s="241">
        <f>U12</f>
        <v>12</v>
      </c>
      <c r="C79" s="206" t="s">
        <v>154</v>
      </c>
      <c r="D79" s="206" t="s">
        <v>158</v>
      </c>
      <c r="E79" s="242" t="s">
        <v>152</v>
      </c>
      <c r="F79" s="262"/>
      <c r="G79" s="300">
        <v>7</v>
      </c>
      <c r="H79" s="241">
        <f>U11</f>
        <v>6</v>
      </c>
      <c r="I79" s="206" t="s">
        <v>154</v>
      </c>
      <c r="J79" s="206" t="s">
        <v>158</v>
      </c>
      <c r="K79" s="242" t="s">
        <v>152</v>
      </c>
      <c r="L79" s="262"/>
      <c r="M79" s="305">
        <f>IF(COUNT(#REF!,F80:F88,L80:L88) &gt;0, COUNT(#REF!,F80:F88,L80:L88) /2,"")</f>
        <v>1</v>
      </c>
      <c r="N79" s="244"/>
      <c r="O79" s="306">
        <v>7</v>
      </c>
      <c r="P79" s="241">
        <f>AI11</f>
        <v>0</v>
      </c>
      <c r="Q79" s="206" t="s">
        <v>154</v>
      </c>
      <c r="R79" s="206" t="s">
        <v>158</v>
      </c>
      <c r="S79" s="242" t="s">
        <v>152</v>
      </c>
      <c r="T79" s="262"/>
      <c r="U79" s="300">
        <v>7</v>
      </c>
      <c r="V79" s="241">
        <f>AO11</f>
        <v>0</v>
      </c>
      <c r="W79" s="206" t="s">
        <v>154</v>
      </c>
      <c r="X79" s="206" t="s">
        <v>158</v>
      </c>
      <c r="Y79" s="242" t="s">
        <v>152</v>
      </c>
      <c r="Z79" s="262"/>
      <c r="AA79" s="300">
        <v>7</v>
      </c>
      <c r="AB79" s="241">
        <f>BA11</f>
        <v>0</v>
      </c>
      <c r="AC79" s="206" t="s">
        <v>154</v>
      </c>
      <c r="AD79" s="206" t="s">
        <v>158</v>
      </c>
      <c r="AE79" s="242" t="s">
        <v>152</v>
      </c>
      <c r="AF79" s="262"/>
      <c r="AG79" s="305">
        <f>IF(COUNT(N80:N88,T80:T88,Z80:Z88,AF80:AF88) &gt;0, COUNT(N80:N88,T80:T88,Z80:Z88,AF80:AF88) /2,"")</f>
        <v>3</v>
      </c>
      <c r="AH79" s="244"/>
      <c r="AI79" s="306">
        <v>7</v>
      </c>
      <c r="AJ79" s="241" t="e">
        <f>#REF!</f>
        <v>#REF!</v>
      </c>
      <c r="AK79" s="206" t="s">
        <v>154</v>
      </c>
      <c r="AL79" s="206" t="s">
        <v>158</v>
      </c>
      <c r="AM79" s="242" t="s">
        <v>152</v>
      </c>
      <c r="AN79" s="262"/>
      <c r="AO79" s="300">
        <v>7</v>
      </c>
      <c r="AP79" s="241">
        <f>BC11</f>
        <v>0</v>
      </c>
      <c r="AQ79" s="206" t="s">
        <v>154</v>
      </c>
      <c r="AR79" s="206" t="s">
        <v>158</v>
      </c>
      <c r="AS79" s="242" t="s">
        <v>152</v>
      </c>
      <c r="AT79" s="262"/>
      <c r="AU79" s="300">
        <v>7</v>
      </c>
      <c r="AV79" s="241">
        <f>BI11</f>
        <v>0</v>
      </c>
      <c r="AW79" s="206" t="s">
        <v>154</v>
      </c>
      <c r="AX79" s="206" t="s">
        <v>158</v>
      </c>
      <c r="AY79" s="242" t="s">
        <v>152</v>
      </c>
      <c r="AZ79" s="262"/>
      <c r="BA79" s="305">
        <f>IF(COUNT(AN80:AN88,AT80:AT88,AZ80:AZ88) &gt;0, COUNT(AN80:AN88,AT80:AT88,AZ80:AZ88) /2,"")</f>
        <v>1</v>
      </c>
      <c r="BB79" s="244"/>
      <c r="BC79" s="306">
        <v>7</v>
      </c>
      <c r="BD79" s="245"/>
      <c r="BE79" s="206" t="s">
        <v>154</v>
      </c>
      <c r="BF79" s="206" t="s">
        <v>158</v>
      </c>
      <c r="BG79" s="242" t="s">
        <v>152</v>
      </c>
      <c r="BH79" s="262"/>
      <c r="BI79" s="300">
        <v>7</v>
      </c>
      <c r="BJ79" s="241">
        <f>BW11</f>
        <v>0</v>
      </c>
      <c r="BK79" s="206" t="s">
        <v>154</v>
      </c>
      <c r="BL79" s="206" t="s">
        <v>158</v>
      </c>
      <c r="BM79" s="242" t="s">
        <v>152</v>
      </c>
      <c r="BN79" s="262"/>
      <c r="BO79" s="300">
        <v>7</v>
      </c>
      <c r="BP79" s="241">
        <f>CC11</f>
        <v>0</v>
      </c>
      <c r="BQ79" s="206" t="s">
        <v>154</v>
      </c>
      <c r="BR79" s="206" t="s">
        <v>158</v>
      </c>
      <c r="BS79" s="242" t="s">
        <v>152</v>
      </c>
      <c r="BT79" s="262"/>
      <c r="BU79" s="305" t="str">
        <f>IF(COUNT(BH80:BH88,BN80:BN88,BT80:BT88) &gt;0, COUNT(BH80:BH88,BN80:BN88,BT80:BT88) /2,"")</f>
        <v/>
      </c>
      <c r="BV79" s="244"/>
      <c r="BW79" s="306">
        <v>7</v>
      </c>
      <c r="BX79" s="245"/>
      <c r="BY79" s="206" t="s">
        <v>154</v>
      </c>
      <c r="BZ79" s="206" t="s">
        <v>158</v>
      </c>
      <c r="CA79" s="242" t="s">
        <v>152</v>
      </c>
      <c r="CB79" s="262"/>
      <c r="CC79" s="300">
        <v>7</v>
      </c>
      <c r="CD79" s="245"/>
      <c r="CE79" s="206" t="s">
        <v>154</v>
      </c>
      <c r="CF79" s="206" t="s">
        <v>158</v>
      </c>
      <c r="CG79" s="242" t="s">
        <v>152</v>
      </c>
      <c r="CH79" s="262"/>
      <c r="CI79" s="300">
        <v>7</v>
      </c>
      <c r="CJ79" s="245"/>
      <c r="CK79" s="206" t="s">
        <v>154</v>
      </c>
      <c r="CL79" s="206" t="s">
        <v>158</v>
      </c>
      <c r="CM79" s="242" t="s">
        <v>152</v>
      </c>
      <c r="CN79" s="262"/>
      <c r="CO79" s="300">
        <v>7</v>
      </c>
      <c r="CP79" s="245"/>
      <c r="CQ79" s="206" t="s">
        <v>154</v>
      </c>
      <c r="CR79" s="206" t="s">
        <v>158</v>
      </c>
      <c r="CS79" s="242" t="s">
        <v>152</v>
      </c>
      <c r="CT79" s="262"/>
      <c r="CU79" s="305" t="str">
        <f>IF(COUNT(CB80:CB88,CH80:CH88,CN80:CN88,CT80:CT88) &gt;0, COUNT(CB80:CB88,CH80:CH88,CN80:CN88,CT80:CT88) /2,"")</f>
        <v/>
      </c>
      <c r="CV79" s="244"/>
      <c r="CW79" s="306">
        <v>7</v>
      </c>
      <c r="CX79" s="245"/>
      <c r="CY79" s="206" t="s">
        <v>154</v>
      </c>
      <c r="CZ79" s="206" t="s">
        <v>158</v>
      </c>
      <c r="DA79" s="242" t="s">
        <v>152</v>
      </c>
      <c r="DB79" s="262"/>
      <c r="DC79" s="300">
        <v>7</v>
      </c>
      <c r="DD79" s="245"/>
      <c r="DE79" s="206" t="s">
        <v>154</v>
      </c>
      <c r="DF79" s="206" t="s">
        <v>158</v>
      </c>
      <c r="DG79" s="242" t="s">
        <v>152</v>
      </c>
      <c r="DH79" s="262"/>
      <c r="DI79" s="300">
        <v>7</v>
      </c>
      <c r="DJ79" s="245"/>
      <c r="DK79" s="206" t="s">
        <v>154</v>
      </c>
      <c r="DL79" s="206" t="s">
        <v>158</v>
      </c>
      <c r="DM79" s="242" t="s">
        <v>152</v>
      </c>
      <c r="DN79" s="262"/>
      <c r="DO79" s="300">
        <v>7</v>
      </c>
      <c r="DP79" s="245"/>
      <c r="DQ79" s="206" t="s">
        <v>154</v>
      </c>
      <c r="DR79" s="206" t="s">
        <v>158</v>
      </c>
      <c r="DS79" s="242" t="s">
        <v>152</v>
      </c>
      <c r="DT79" s="262"/>
      <c r="DU79" s="305" t="str">
        <f>IF(COUNT(DB80:DB88,DH80:DH88,DN80:DN88,DT80:DT88) &gt;0, COUNT(DB80:DB88,DH80:DH88,DN80:DN88,DT80:DT88) /2,"")</f>
        <v/>
      </c>
      <c r="DV79" s="244"/>
      <c r="DW79" s="306">
        <v>7</v>
      </c>
      <c r="DX79" s="245"/>
      <c r="DY79" s="206" t="s">
        <v>154</v>
      </c>
      <c r="DZ79" s="206" t="s">
        <v>158</v>
      </c>
      <c r="EA79" s="242" t="s">
        <v>152</v>
      </c>
      <c r="EB79" s="262"/>
      <c r="EC79" s="300">
        <v>7</v>
      </c>
      <c r="ED79" s="245"/>
      <c r="EE79" s="206" t="s">
        <v>154</v>
      </c>
      <c r="EF79" s="206" t="s">
        <v>158</v>
      </c>
      <c r="EG79" s="242" t="s">
        <v>152</v>
      </c>
      <c r="EH79" s="262"/>
      <c r="EI79" s="300">
        <v>7</v>
      </c>
      <c r="EJ79" s="245"/>
      <c r="EK79" s="206" t="s">
        <v>154</v>
      </c>
      <c r="EL79" s="206" t="s">
        <v>158</v>
      </c>
      <c r="EM79" s="242" t="s">
        <v>152</v>
      </c>
      <c r="EN79" s="262"/>
      <c r="EO79" s="305" t="str">
        <f>IF(COUNT(EB80:EB88,EH80:EH88,EN80:EN88) &gt;0, COUNT(EB80:EB88,EH80:EH88,EN80:EN88) /2,"")</f>
        <v/>
      </c>
      <c r="EP79" s="244"/>
      <c r="EQ79" s="306">
        <v>7</v>
      </c>
      <c r="ER79" s="245"/>
      <c r="ES79" s="206" t="s">
        <v>154</v>
      </c>
      <c r="ET79" s="206" t="s">
        <v>158</v>
      </c>
      <c r="EU79" s="242" t="s">
        <v>152</v>
      </c>
      <c r="EV79" s="262"/>
      <c r="EW79" s="300">
        <v>7</v>
      </c>
      <c r="EX79" s="245"/>
      <c r="EY79" s="206" t="s">
        <v>154</v>
      </c>
      <c r="EZ79" s="206" t="s">
        <v>158</v>
      </c>
      <c r="FA79" s="242" t="s">
        <v>152</v>
      </c>
      <c r="FB79" s="262"/>
      <c r="FC79" s="300">
        <v>7</v>
      </c>
      <c r="FD79" s="245"/>
      <c r="FE79" s="206" t="s">
        <v>154</v>
      </c>
      <c r="FF79" s="206" t="s">
        <v>158</v>
      </c>
      <c r="FG79" s="242" t="s">
        <v>152</v>
      </c>
      <c r="FH79" s="262"/>
      <c r="FI79" s="300">
        <v>7</v>
      </c>
      <c r="FJ79" s="245"/>
      <c r="FK79" s="206" t="s">
        <v>154</v>
      </c>
      <c r="FL79" s="206" t="s">
        <v>158</v>
      </c>
      <c r="FM79" s="242" t="s">
        <v>152</v>
      </c>
      <c r="FN79" s="262"/>
      <c r="FO79" s="305" t="str">
        <f>IF(COUNT(EV80:EV88,FB80:FB88,FH80:FH88,FN80:FN88) &gt;0, COUNT(EV80:EV88,FB80:FB88,FH80:FH88,FN80:FN88) /2,"")</f>
        <v/>
      </c>
      <c r="FP79" s="244"/>
    </row>
    <row r="80" spans="1:172" ht="27.75" customHeight="1" x14ac:dyDescent="0.45">
      <c r="A80" s="307"/>
      <c r="B80" s="249" t="s">
        <v>162</v>
      </c>
      <c r="C80" s="41" t="s">
        <v>156</v>
      </c>
      <c r="D80" s="41" t="s">
        <v>175</v>
      </c>
      <c r="E80" s="249" t="s">
        <v>174</v>
      </c>
      <c r="F80" s="250"/>
      <c r="G80" s="301"/>
      <c r="H80" s="249" t="s">
        <v>162</v>
      </c>
      <c r="I80" s="59" t="s">
        <v>155</v>
      </c>
      <c r="J80" s="41" t="s">
        <v>175</v>
      </c>
      <c r="K80" s="249" t="s">
        <v>174</v>
      </c>
      <c r="L80" s="250"/>
      <c r="M80" s="305"/>
      <c r="N80" s="244"/>
      <c r="O80" s="307"/>
      <c r="P80" s="249" t="s">
        <v>162</v>
      </c>
      <c r="Q80" s="59" t="s">
        <v>155</v>
      </c>
      <c r="R80" s="41" t="s">
        <v>175</v>
      </c>
      <c r="S80" s="249" t="s">
        <v>174</v>
      </c>
      <c r="T80" s="250"/>
      <c r="U80" s="301"/>
      <c r="V80" s="249" t="s">
        <v>162</v>
      </c>
      <c r="W80" s="59" t="s">
        <v>155</v>
      </c>
      <c r="X80" s="41" t="s">
        <v>175</v>
      </c>
      <c r="Y80" s="249" t="s">
        <v>174</v>
      </c>
      <c r="Z80" s="250"/>
      <c r="AA80" s="301"/>
      <c r="AB80" s="249" t="s">
        <v>162</v>
      </c>
      <c r="AC80" s="59" t="s">
        <v>155</v>
      </c>
      <c r="AD80" s="41" t="s">
        <v>175</v>
      </c>
      <c r="AE80" s="249" t="s">
        <v>174</v>
      </c>
      <c r="AF80" s="250"/>
      <c r="AG80" s="305"/>
      <c r="AH80" s="244"/>
      <c r="AI80" s="307"/>
      <c r="AJ80" s="249" t="s">
        <v>162</v>
      </c>
      <c r="AK80" s="59" t="s">
        <v>155</v>
      </c>
      <c r="AL80" s="41" t="s">
        <v>175</v>
      </c>
      <c r="AM80" s="249" t="s">
        <v>174</v>
      </c>
      <c r="AN80" s="250"/>
      <c r="AO80" s="301"/>
      <c r="AP80" s="249" t="s">
        <v>162</v>
      </c>
      <c r="AQ80" s="59" t="s">
        <v>155</v>
      </c>
      <c r="AR80" s="41" t="s">
        <v>175</v>
      </c>
      <c r="AS80" s="249" t="s">
        <v>174</v>
      </c>
      <c r="AT80" s="250"/>
      <c r="AU80" s="301"/>
      <c r="AV80" s="249" t="s">
        <v>162</v>
      </c>
      <c r="AW80" s="59" t="s">
        <v>155</v>
      </c>
      <c r="AX80" s="41" t="s">
        <v>175</v>
      </c>
      <c r="AY80" s="249" t="s">
        <v>174</v>
      </c>
      <c r="AZ80" s="250"/>
      <c r="BA80" s="305"/>
      <c r="BB80" s="244"/>
      <c r="BC80" s="307"/>
      <c r="BD80" s="249" t="s">
        <v>162</v>
      </c>
      <c r="BE80" s="59" t="s">
        <v>155</v>
      </c>
      <c r="BF80" s="41" t="s">
        <v>175</v>
      </c>
      <c r="BG80" s="249" t="s">
        <v>174</v>
      </c>
      <c r="BH80" s="250"/>
      <c r="BI80" s="301"/>
      <c r="BJ80" s="249" t="s">
        <v>162</v>
      </c>
      <c r="BK80" s="59" t="s">
        <v>155</v>
      </c>
      <c r="BL80" s="41" t="s">
        <v>175</v>
      </c>
      <c r="BM80" s="249" t="s">
        <v>174</v>
      </c>
      <c r="BN80" s="250"/>
      <c r="BO80" s="301"/>
      <c r="BP80" s="249" t="s">
        <v>162</v>
      </c>
      <c r="BQ80" s="59" t="s">
        <v>155</v>
      </c>
      <c r="BR80" s="41" t="s">
        <v>175</v>
      </c>
      <c r="BS80" s="249" t="s">
        <v>174</v>
      </c>
      <c r="BT80" s="250"/>
      <c r="BU80" s="305"/>
      <c r="BV80" s="244"/>
      <c r="BW80" s="307"/>
      <c r="BX80" s="249" t="s">
        <v>162</v>
      </c>
      <c r="BY80" s="59" t="s">
        <v>155</v>
      </c>
      <c r="BZ80" s="41" t="s">
        <v>175</v>
      </c>
      <c r="CA80" s="249" t="s">
        <v>174</v>
      </c>
      <c r="CB80" s="250"/>
      <c r="CC80" s="301"/>
      <c r="CD80" s="249" t="s">
        <v>162</v>
      </c>
      <c r="CE80" s="59" t="s">
        <v>155</v>
      </c>
      <c r="CF80" s="41" t="s">
        <v>175</v>
      </c>
      <c r="CG80" s="249" t="s">
        <v>174</v>
      </c>
      <c r="CH80" s="250"/>
      <c r="CI80" s="301"/>
      <c r="CJ80" s="249" t="s">
        <v>162</v>
      </c>
      <c r="CK80" s="59" t="s">
        <v>155</v>
      </c>
      <c r="CL80" s="41" t="s">
        <v>175</v>
      </c>
      <c r="CM80" s="249" t="s">
        <v>174</v>
      </c>
      <c r="CN80" s="250"/>
      <c r="CO80" s="301"/>
      <c r="CP80" s="249" t="s">
        <v>162</v>
      </c>
      <c r="CQ80" s="59" t="s">
        <v>155</v>
      </c>
      <c r="CR80" s="41" t="s">
        <v>175</v>
      </c>
      <c r="CS80" s="249" t="s">
        <v>174</v>
      </c>
      <c r="CT80" s="250"/>
      <c r="CU80" s="305"/>
      <c r="CV80" s="244"/>
      <c r="CW80" s="307"/>
      <c r="CX80" s="249" t="s">
        <v>162</v>
      </c>
      <c r="CY80" s="59" t="s">
        <v>155</v>
      </c>
      <c r="CZ80" s="41" t="s">
        <v>175</v>
      </c>
      <c r="DA80" s="249" t="s">
        <v>174</v>
      </c>
      <c r="DB80" s="250"/>
      <c r="DC80" s="301"/>
      <c r="DD80" s="249" t="s">
        <v>162</v>
      </c>
      <c r="DE80" s="59" t="s">
        <v>155</v>
      </c>
      <c r="DF80" s="41" t="s">
        <v>175</v>
      </c>
      <c r="DG80" s="249" t="s">
        <v>174</v>
      </c>
      <c r="DH80" s="250"/>
      <c r="DI80" s="301"/>
      <c r="DJ80" s="249" t="s">
        <v>162</v>
      </c>
      <c r="DK80" s="59" t="s">
        <v>155</v>
      </c>
      <c r="DL80" s="41" t="s">
        <v>175</v>
      </c>
      <c r="DM80" s="249" t="s">
        <v>174</v>
      </c>
      <c r="DN80" s="250"/>
      <c r="DO80" s="301"/>
      <c r="DP80" s="249" t="s">
        <v>162</v>
      </c>
      <c r="DQ80" s="59" t="s">
        <v>155</v>
      </c>
      <c r="DR80" s="41" t="s">
        <v>175</v>
      </c>
      <c r="DS80" s="249" t="s">
        <v>174</v>
      </c>
      <c r="DT80" s="250"/>
      <c r="DU80" s="305"/>
      <c r="DV80" s="244"/>
      <c r="DW80" s="307"/>
      <c r="DX80" s="249" t="s">
        <v>162</v>
      </c>
      <c r="DY80" s="59" t="s">
        <v>155</v>
      </c>
      <c r="DZ80" s="41" t="s">
        <v>175</v>
      </c>
      <c r="EA80" s="249" t="s">
        <v>174</v>
      </c>
      <c r="EB80" s="250"/>
      <c r="EC80" s="301"/>
      <c r="ED80" s="249" t="s">
        <v>162</v>
      </c>
      <c r="EE80" s="59" t="s">
        <v>155</v>
      </c>
      <c r="EF80" s="41" t="s">
        <v>175</v>
      </c>
      <c r="EG80" s="249" t="s">
        <v>174</v>
      </c>
      <c r="EH80" s="250"/>
      <c r="EI80" s="301"/>
      <c r="EJ80" s="249" t="s">
        <v>162</v>
      </c>
      <c r="EK80" s="59" t="s">
        <v>155</v>
      </c>
      <c r="EL80" s="41" t="s">
        <v>175</v>
      </c>
      <c r="EM80" s="249" t="s">
        <v>174</v>
      </c>
      <c r="EN80" s="250"/>
      <c r="EO80" s="305"/>
      <c r="EP80" s="244"/>
      <c r="EQ80" s="307"/>
      <c r="ER80" s="249" t="s">
        <v>162</v>
      </c>
      <c r="ES80" s="59" t="s">
        <v>155</v>
      </c>
      <c r="ET80" s="41" t="s">
        <v>175</v>
      </c>
      <c r="EU80" s="249" t="s">
        <v>174</v>
      </c>
      <c r="EV80" s="250"/>
      <c r="EW80" s="301"/>
      <c r="EX80" s="249" t="s">
        <v>162</v>
      </c>
      <c r="EY80" s="59" t="s">
        <v>155</v>
      </c>
      <c r="EZ80" s="41" t="s">
        <v>175</v>
      </c>
      <c r="FA80" s="249" t="s">
        <v>174</v>
      </c>
      <c r="FB80" s="250"/>
      <c r="FC80" s="301"/>
      <c r="FD80" s="249" t="s">
        <v>162</v>
      </c>
      <c r="FE80" s="59" t="s">
        <v>155</v>
      </c>
      <c r="FF80" s="41" t="s">
        <v>175</v>
      </c>
      <c r="FG80" s="249" t="s">
        <v>174</v>
      </c>
      <c r="FH80" s="250"/>
      <c r="FI80" s="301"/>
      <c r="FJ80" s="249" t="s">
        <v>162</v>
      </c>
      <c r="FK80" s="59" t="s">
        <v>155</v>
      </c>
      <c r="FL80" s="41" t="s">
        <v>175</v>
      </c>
      <c r="FM80" s="249" t="s">
        <v>174</v>
      </c>
      <c r="FN80" s="250"/>
      <c r="FO80" s="305"/>
      <c r="FP80" s="244"/>
    </row>
    <row r="81" spans="1:172" ht="17" x14ac:dyDescent="0.45">
      <c r="A81" s="307"/>
      <c r="B81" s="226">
        <v>1</v>
      </c>
      <c r="C81" s="59">
        <v>0</v>
      </c>
      <c r="D81" s="254">
        <f t="shared" ref="D81:D88" si="466">(C81+$B$79)*$H$3</f>
        <v>96</v>
      </c>
      <c r="E81" s="263">
        <f t="shared" ref="E81:E88" si="467">MOD($F6+D81,$H$2)</f>
        <v>7</v>
      </c>
      <c r="F81" s="264"/>
      <c r="G81" s="301"/>
      <c r="H81" s="226">
        <v>1</v>
      </c>
      <c r="I81" s="59">
        <f t="shared" ref="I81:I88" si="468">IF(F81="", C81,IF(F81=MAX(F$81:F$88),C81+1,0))</f>
        <v>0</v>
      </c>
      <c r="J81" s="254">
        <f t="shared" ref="J81:J88" si="469">(I81+$B$79)*$H$3</f>
        <v>96</v>
      </c>
      <c r="K81" s="263">
        <f t="shared" ref="K81:K88" si="470">MOD($F6+J81,$H$2)</f>
        <v>7</v>
      </c>
      <c r="L81" s="264"/>
      <c r="M81" s="305"/>
      <c r="N81" s="244"/>
      <c r="O81" s="307"/>
      <c r="P81" s="226">
        <v>1</v>
      </c>
      <c r="Q81" s="59">
        <f t="shared" ref="Q81:Q88" si="471">IF(F81="", C81,IF(F81=MAX(F$81:F$88),C81+1,0))</f>
        <v>0</v>
      </c>
      <c r="R81" s="254">
        <f t="shared" ref="R81:R88" si="472">(Q81+$B$79)*$H$3</f>
        <v>96</v>
      </c>
      <c r="S81" s="263">
        <f t="shared" ref="S81:S88" si="473">MOD($F6+R81,$H$2)</f>
        <v>7</v>
      </c>
      <c r="T81" s="264">
        <v>8</v>
      </c>
      <c r="U81" s="301"/>
      <c r="V81" s="226">
        <v>1</v>
      </c>
      <c r="W81" s="59">
        <f t="shared" ref="W81:W88" si="474">IF(T81="", Q81,IF(T81=MAX(T$81:T$88),Q81+1,0))</f>
        <v>1</v>
      </c>
      <c r="X81" s="254">
        <f t="shared" ref="X81:X88" si="475">(W81+$B$79)*$H$3</f>
        <v>104</v>
      </c>
      <c r="Y81" s="263">
        <f t="shared" ref="Y81:Y88" si="476">MOD($F6+X81,$H$2)</f>
        <v>15</v>
      </c>
      <c r="Z81" s="264"/>
      <c r="AA81" s="301"/>
      <c r="AB81" s="226">
        <v>1</v>
      </c>
      <c r="AC81" s="59">
        <f t="shared" ref="AC81:AC88" si="477">IF(Z81="", W81,IF(Z81=MAX(Z$81:Z$88),W81+1,0))</f>
        <v>1</v>
      </c>
      <c r="AD81" s="254">
        <f t="shared" ref="AD81:AD88" si="478">(AC81+$B$79)*$H$3</f>
        <v>104</v>
      </c>
      <c r="AE81" s="263">
        <f t="shared" ref="AE81:AE88" si="479">MOD($F6+AD81,$H$2)</f>
        <v>15</v>
      </c>
      <c r="AF81" s="264"/>
      <c r="AG81" s="305"/>
      <c r="AH81" s="244"/>
      <c r="AI81" s="307"/>
      <c r="AJ81" s="226">
        <v>1</v>
      </c>
      <c r="AK81" s="59">
        <f t="shared" ref="AK81:AK88" si="480">IF(AF81="", AC81,IF(AF81=MAX(AF$81:AF$88),AC81+1,0))</f>
        <v>1</v>
      </c>
      <c r="AL81" s="254">
        <f t="shared" ref="AL81:AL88" si="481">(AK81+$B$79)*$H$3</f>
        <v>104</v>
      </c>
      <c r="AM81" s="263">
        <f t="shared" ref="AM81:AM88" si="482">MOD($F6+AL81,$H$2)</f>
        <v>15</v>
      </c>
      <c r="AN81" s="264"/>
      <c r="AO81" s="301"/>
      <c r="AP81" s="226">
        <v>1</v>
      </c>
      <c r="AQ81" s="59">
        <f t="shared" ref="AQ81:AQ88" si="483">IF(AN81="", AK81,IF(AN81=MAX(AN$81:AN$88),AK81+1,0))</f>
        <v>1</v>
      </c>
      <c r="AR81" s="254">
        <f t="shared" ref="AR81:AR88" si="484">(AQ81+$B$79)*$H$3</f>
        <v>104</v>
      </c>
      <c r="AS81" s="263">
        <f t="shared" ref="AS81:AS88" si="485">MOD($F6+AR81,$H$2)</f>
        <v>15</v>
      </c>
      <c r="AT81" s="264"/>
      <c r="AU81" s="301"/>
      <c r="AV81" s="226">
        <v>1</v>
      </c>
      <c r="AW81" s="59">
        <f t="shared" ref="AW81:AW88" si="486">IF(AT81="", AQ81,IF(AT81=MAX(AT$81:AT$88),AQ81+1,0))</f>
        <v>1</v>
      </c>
      <c r="AX81" s="254">
        <f t="shared" ref="AX81:AX88" si="487">(AW81+$B$79)*$H$3</f>
        <v>104</v>
      </c>
      <c r="AY81" s="263">
        <f t="shared" ref="AY81:AY88" si="488">MOD($F6+AX81,$H$2)</f>
        <v>15</v>
      </c>
      <c r="AZ81" s="264"/>
      <c r="BA81" s="305"/>
      <c r="BB81" s="244"/>
      <c r="BC81" s="307"/>
      <c r="BD81" s="226">
        <v>1</v>
      </c>
      <c r="BE81" s="59">
        <f t="shared" ref="BE81:BE88" si="489">IF(AZ81="", AW81,IF(AZ81=MAX(AZ$81:AZ$88),AW81+1,0))</f>
        <v>1</v>
      </c>
      <c r="BF81" s="254">
        <f t="shared" ref="BF81:BF88" si="490">(BE81+$B$79)*$H$3</f>
        <v>104</v>
      </c>
      <c r="BG81" s="263">
        <f t="shared" ref="BG81:BG88" si="491">MOD($F6+BF81,$H$2)</f>
        <v>15</v>
      </c>
      <c r="BH81" s="264"/>
      <c r="BI81" s="301"/>
      <c r="BJ81" s="226">
        <v>1</v>
      </c>
      <c r="BK81" s="59">
        <f t="shared" ref="BK81:BK88" si="492">IF(BH81="", BE81,IF(BH81=MAX(BH$81:BH$88),BE81+1,0))</f>
        <v>1</v>
      </c>
      <c r="BL81" s="254">
        <f t="shared" ref="BL81:BL88" si="493">(BK81+$B$79)*$H$3</f>
        <v>104</v>
      </c>
      <c r="BM81" s="263">
        <f t="shared" ref="BM81:BM88" si="494">MOD($F6+BL81,$H$2)</f>
        <v>15</v>
      </c>
      <c r="BN81" s="264"/>
      <c r="BO81" s="301"/>
      <c r="BP81" s="226">
        <v>1</v>
      </c>
      <c r="BQ81" s="59">
        <f t="shared" ref="BQ81:BQ88" si="495">IF(BN81="", BK81,IF(BN81=MAX(BN$81:BN$88),BK81+1,0))</f>
        <v>1</v>
      </c>
      <c r="BR81" s="254">
        <f t="shared" ref="BR81:BR88" si="496">(BQ81+$B$79)*$H$3</f>
        <v>104</v>
      </c>
      <c r="BS81" s="263">
        <f t="shared" ref="BS81:BS88" si="497">MOD($F6+BR81,$H$2)</f>
        <v>15</v>
      </c>
      <c r="BT81" s="264"/>
      <c r="BU81" s="305"/>
      <c r="BV81" s="244"/>
      <c r="BW81" s="307"/>
      <c r="BX81" s="226">
        <v>1</v>
      </c>
      <c r="BY81" s="59">
        <f t="shared" ref="BY81:BY88" si="498">IF(BT81="", BQ81,IF(BT81=MAX(BT$81:BT$88),BQ81+1,0))</f>
        <v>1</v>
      </c>
      <c r="BZ81" s="254">
        <f t="shared" ref="BZ81:BZ88" si="499">(BY81+$B$79)*$H$3</f>
        <v>104</v>
      </c>
      <c r="CA81" s="263">
        <f t="shared" ref="CA81:CA88" si="500">MOD($F6+BZ81,$H$2)</f>
        <v>15</v>
      </c>
      <c r="CB81" s="264"/>
      <c r="CC81" s="301"/>
      <c r="CD81" s="226">
        <v>1</v>
      </c>
      <c r="CE81" s="59">
        <f t="shared" ref="CE81:CE88" si="501">IF(CB81="", BY81,IF(CB81=MAX(CB$81:CB$88),BY81+1,0))</f>
        <v>1</v>
      </c>
      <c r="CF81" s="254">
        <f t="shared" ref="CF81:CF88" si="502">(CE81+$B$79)*$H$3</f>
        <v>104</v>
      </c>
      <c r="CG81" s="263">
        <f t="shared" ref="CG81:CG88" si="503">MOD($F6+CF81,$H$2)</f>
        <v>15</v>
      </c>
      <c r="CH81" s="264"/>
      <c r="CI81" s="301"/>
      <c r="CJ81" s="226">
        <v>1</v>
      </c>
      <c r="CK81" s="59">
        <f t="shared" ref="CK81:CK88" si="504">IF(CH81="", CE81,IF(CH81=MAX(CH$81:CH$88),CE81+1,0))</f>
        <v>1</v>
      </c>
      <c r="CL81" s="254">
        <f t="shared" ref="CL81:CL88" si="505">(CK81+$B$79)*$H$3</f>
        <v>104</v>
      </c>
      <c r="CM81" s="263">
        <f t="shared" ref="CM81:CM88" si="506">MOD($F6+CL81,$H$2)</f>
        <v>15</v>
      </c>
      <c r="CN81" s="264"/>
      <c r="CO81" s="301"/>
      <c r="CP81" s="226">
        <v>1</v>
      </c>
      <c r="CQ81" s="59">
        <f t="shared" ref="CQ81:CQ88" si="507">IF(CN81="", CK81,IF(CN81=MAX(CN$81:CN$88),CK81+1,0))</f>
        <v>1</v>
      </c>
      <c r="CR81" s="254">
        <f t="shared" ref="CR81:CR88" si="508">(CQ81+$B$79)*$H$3</f>
        <v>104</v>
      </c>
      <c r="CS81" s="263">
        <f t="shared" ref="CS81:CS88" si="509">MOD($F6+CR81,$H$2)</f>
        <v>15</v>
      </c>
      <c r="CT81" s="264"/>
      <c r="CU81" s="305"/>
      <c r="CV81" s="244"/>
      <c r="CW81" s="307"/>
      <c r="CX81" s="226">
        <v>1</v>
      </c>
      <c r="CY81" s="59">
        <f t="shared" ref="CY81:CY88" si="510">IF(CT81="", CQ81,IF(CT81=MAX(CT$81:CT$88),CQ81+1,0))</f>
        <v>1</v>
      </c>
      <c r="CZ81" s="254">
        <f t="shared" ref="CZ81:CZ88" si="511">(CY81+$B$79)*$H$3</f>
        <v>104</v>
      </c>
      <c r="DA81" s="263">
        <f t="shared" ref="DA81:DA88" si="512">MOD($F6+CZ81,$H$2)</f>
        <v>15</v>
      </c>
      <c r="DB81" s="264"/>
      <c r="DC81" s="301"/>
      <c r="DD81" s="226">
        <v>1</v>
      </c>
      <c r="DE81" s="59">
        <f t="shared" ref="DE81:DE88" si="513">IF(DB81="", CY81,IF(DB81=MAX(DB$81:DB$88),CY81+1,0))</f>
        <v>1</v>
      </c>
      <c r="DF81" s="254">
        <f t="shared" ref="DF81:DF88" si="514">(DE81+$B$79)*$H$3</f>
        <v>104</v>
      </c>
      <c r="DG81" s="263">
        <f t="shared" ref="DG81:DG88" si="515">MOD($F6+DF81,$H$2)</f>
        <v>15</v>
      </c>
      <c r="DH81" s="264"/>
      <c r="DI81" s="301"/>
      <c r="DJ81" s="226">
        <v>1</v>
      </c>
      <c r="DK81" s="59">
        <f t="shared" ref="DK81:DK88" si="516">IF(DH81="", DE81,IF(DH81=MAX(DH$81:DH$88),DE81+1,0))</f>
        <v>1</v>
      </c>
      <c r="DL81" s="254">
        <f t="shared" ref="DL81:DL88" si="517">(DK81+$B$79)*$H$3</f>
        <v>104</v>
      </c>
      <c r="DM81" s="263">
        <f t="shared" ref="DM81:DM88" si="518">MOD($F6+DL81,$H$2)</f>
        <v>15</v>
      </c>
      <c r="DN81" s="264"/>
      <c r="DO81" s="301"/>
      <c r="DP81" s="226">
        <v>1</v>
      </c>
      <c r="DQ81" s="59">
        <f t="shared" ref="DQ81:DQ88" si="519">IF(DN81="", DK81,IF(DN81=MAX(DN$81:DN$88),DK81+1,0))</f>
        <v>1</v>
      </c>
      <c r="DR81" s="254">
        <f t="shared" ref="DR81:DR88" si="520">(DQ81+$B$79)*$H$3</f>
        <v>104</v>
      </c>
      <c r="DS81" s="263">
        <f t="shared" ref="DS81:DS88" si="521">MOD($F6+DR81,$H$2)</f>
        <v>15</v>
      </c>
      <c r="DT81" s="264"/>
      <c r="DU81" s="305"/>
      <c r="DV81" s="244"/>
      <c r="DW81" s="307"/>
      <c r="DX81" s="226">
        <v>1</v>
      </c>
      <c r="DY81" s="59">
        <f t="shared" ref="DY81:DY88" si="522">IF(DN81="", DK81,IF(DN81=MAX(DN$81:DN$88),DK81+1,0))</f>
        <v>1</v>
      </c>
      <c r="DZ81" s="254">
        <f t="shared" ref="DZ81:DZ88" si="523">(DY81+$B$79)*$H$3</f>
        <v>104</v>
      </c>
      <c r="EA81" s="263">
        <f t="shared" ref="EA81:EA88" si="524">MOD($F6+DZ81,$H$2)</f>
        <v>15</v>
      </c>
      <c r="EB81" s="264"/>
      <c r="EC81" s="301"/>
      <c r="ED81" s="226">
        <v>1</v>
      </c>
      <c r="EE81" s="59">
        <f t="shared" ref="EE81:EE88" si="525">IF(EB81="", DY81,IF(EB81=MAX(EB$81:EB$88),DY81+1,0))</f>
        <v>1</v>
      </c>
      <c r="EF81" s="254">
        <f t="shared" ref="EF81:EF88" si="526">(EE81+$B$79)*$H$3</f>
        <v>104</v>
      </c>
      <c r="EG81" s="263">
        <f t="shared" ref="EG81:EG88" si="527">MOD($F6+EF81,$H$2)</f>
        <v>15</v>
      </c>
      <c r="EH81" s="264"/>
      <c r="EI81" s="301"/>
      <c r="EJ81" s="226">
        <v>1</v>
      </c>
      <c r="EK81" s="59">
        <f t="shared" ref="EK81:EK88" si="528">IF(EH81="", EE81,IF(EH81=MAX(EH$81:EH$88),EE81+1,0))</f>
        <v>1</v>
      </c>
      <c r="EL81" s="254">
        <f t="shared" ref="EL81:EL88" si="529">(EK81+$B$79)*$H$3</f>
        <v>104</v>
      </c>
      <c r="EM81" s="263">
        <f t="shared" ref="EM81:EM88" si="530">MOD($F6+EL81,$H$2)</f>
        <v>15</v>
      </c>
      <c r="EN81" s="264"/>
      <c r="EO81" s="305"/>
      <c r="EP81" s="244"/>
      <c r="EQ81" s="307"/>
      <c r="ER81" s="226">
        <v>1</v>
      </c>
      <c r="ES81" s="59">
        <f t="shared" ref="ES81:ES88" si="531">IF(EN81="", EK81,IF(EN81=MAX(EN$81:EN$88),EK81+1,0))</f>
        <v>1</v>
      </c>
      <c r="ET81" s="254">
        <f t="shared" ref="ET81:ET88" si="532">(ES81+$B$79)*$H$3</f>
        <v>104</v>
      </c>
      <c r="EU81" s="263">
        <f t="shared" ref="EU81:EU88" si="533">MOD($F6+ET81,$H$2)</f>
        <v>15</v>
      </c>
      <c r="EV81" s="264"/>
      <c r="EW81" s="301"/>
      <c r="EX81" s="226">
        <v>1</v>
      </c>
      <c r="EY81" s="59">
        <f t="shared" ref="EY81:EY88" si="534">IF(EV81="", ES81,IF(EV81=MAX(EV$81:EV$88),ES81+1,0))</f>
        <v>1</v>
      </c>
      <c r="EZ81" s="254">
        <f t="shared" ref="EZ81:EZ88" si="535">(EY81+$B$79)*$H$3</f>
        <v>104</v>
      </c>
      <c r="FA81" s="263">
        <f t="shared" ref="FA81:FA88" si="536">MOD($F6+EZ81,$H$2)</f>
        <v>15</v>
      </c>
      <c r="FB81" s="264"/>
      <c r="FC81" s="301"/>
      <c r="FD81" s="226">
        <v>1</v>
      </c>
      <c r="FE81" s="59">
        <f t="shared" ref="FE81:FE88" si="537">IF(FB81="", EY81,IF(FB81=MAX(FB$81:FB$88),EY81+1,0))</f>
        <v>1</v>
      </c>
      <c r="FF81" s="254">
        <f t="shared" ref="FF81:FF88" si="538">(FE81+$B$79)*$H$3</f>
        <v>104</v>
      </c>
      <c r="FG81" s="263">
        <f t="shared" ref="FG81:FG88" si="539">MOD($F6+FF81,$H$2)</f>
        <v>15</v>
      </c>
      <c r="FH81" s="264"/>
      <c r="FI81" s="301"/>
      <c r="FJ81" s="226">
        <v>1</v>
      </c>
      <c r="FK81" s="59">
        <f t="shared" ref="FK81:FK88" si="540">IF(FH81="", FE81,IF(FH81=MAX(FH$81:FH$88),FE81+1,0))</f>
        <v>1</v>
      </c>
      <c r="FL81" s="254">
        <f t="shared" ref="FL81:FL88" si="541">(FK81+$B$79)*$H$3</f>
        <v>104</v>
      </c>
      <c r="FM81" s="263">
        <f t="shared" ref="FM81:FM88" si="542">MOD($F6+FL81,$H$2)</f>
        <v>15</v>
      </c>
      <c r="FN81" s="264"/>
      <c r="FO81" s="305"/>
      <c r="FP81" s="244"/>
    </row>
    <row r="82" spans="1:172" ht="17" x14ac:dyDescent="0.45">
      <c r="A82" s="307"/>
      <c r="B82" s="226">
        <v>2</v>
      </c>
      <c r="C82" s="59">
        <v>0</v>
      </c>
      <c r="D82" s="254">
        <f t="shared" si="466"/>
        <v>96</v>
      </c>
      <c r="E82" s="263">
        <f t="shared" si="467"/>
        <v>3</v>
      </c>
      <c r="F82" s="248">
        <v>14</v>
      </c>
      <c r="G82" s="301"/>
      <c r="H82" s="226">
        <v>2</v>
      </c>
      <c r="I82" s="59">
        <f t="shared" si="468"/>
        <v>1</v>
      </c>
      <c r="J82" s="254">
        <f t="shared" si="469"/>
        <v>104</v>
      </c>
      <c r="K82" s="263">
        <f t="shared" si="470"/>
        <v>11</v>
      </c>
      <c r="L82" s="248"/>
      <c r="M82" s="305"/>
      <c r="N82" s="244"/>
      <c r="O82" s="307"/>
      <c r="P82" s="226">
        <v>2</v>
      </c>
      <c r="Q82" s="59">
        <f t="shared" si="471"/>
        <v>1</v>
      </c>
      <c r="R82" s="254">
        <f t="shared" si="472"/>
        <v>104</v>
      </c>
      <c r="S82" s="263">
        <f t="shared" si="473"/>
        <v>11</v>
      </c>
      <c r="T82" s="248"/>
      <c r="U82" s="301"/>
      <c r="V82" s="226">
        <v>2</v>
      </c>
      <c r="W82" s="59">
        <f t="shared" si="474"/>
        <v>1</v>
      </c>
      <c r="X82" s="254">
        <f t="shared" si="475"/>
        <v>104</v>
      </c>
      <c r="Y82" s="263">
        <f t="shared" si="476"/>
        <v>11</v>
      </c>
      <c r="Z82" s="248"/>
      <c r="AA82" s="301"/>
      <c r="AB82" s="226">
        <v>2</v>
      </c>
      <c r="AC82" s="59">
        <f t="shared" si="477"/>
        <v>1</v>
      </c>
      <c r="AD82" s="254">
        <f t="shared" si="478"/>
        <v>104</v>
      </c>
      <c r="AE82" s="263">
        <f t="shared" si="479"/>
        <v>11</v>
      </c>
      <c r="AF82" s="248">
        <v>22</v>
      </c>
      <c r="AG82" s="305"/>
      <c r="AH82" s="244"/>
      <c r="AI82" s="307"/>
      <c r="AJ82" s="226">
        <v>2</v>
      </c>
      <c r="AK82" s="59">
        <f t="shared" si="480"/>
        <v>2</v>
      </c>
      <c r="AL82" s="254">
        <f t="shared" si="481"/>
        <v>112</v>
      </c>
      <c r="AM82" s="263">
        <f t="shared" si="482"/>
        <v>19</v>
      </c>
      <c r="AN82" s="248"/>
      <c r="AO82" s="301"/>
      <c r="AP82" s="226">
        <v>2</v>
      </c>
      <c r="AQ82" s="59">
        <f t="shared" si="483"/>
        <v>2</v>
      </c>
      <c r="AR82" s="254">
        <f t="shared" si="484"/>
        <v>112</v>
      </c>
      <c r="AS82" s="263">
        <f t="shared" si="485"/>
        <v>19</v>
      </c>
      <c r="AT82" s="248"/>
      <c r="AU82" s="301"/>
      <c r="AV82" s="226">
        <v>2</v>
      </c>
      <c r="AW82" s="59">
        <f t="shared" si="486"/>
        <v>2</v>
      </c>
      <c r="AX82" s="254">
        <f t="shared" si="487"/>
        <v>112</v>
      </c>
      <c r="AY82" s="263">
        <f t="shared" si="488"/>
        <v>19</v>
      </c>
      <c r="AZ82" s="248"/>
      <c r="BA82" s="305"/>
      <c r="BB82" s="244"/>
      <c r="BC82" s="307"/>
      <c r="BD82" s="226">
        <v>2</v>
      </c>
      <c r="BE82" s="59">
        <f t="shared" si="489"/>
        <v>2</v>
      </c>
      <c r="BF82" s="254">
        <f t="shared" si="490"/>
        <v>112</v>
      </c>
      <c r="BG82" s="263">
        <f t="shared" si="491"/>
        <v>19</v>
      </c>
      <c r="BH82" s="248"/>
      <c r="BI82" s="301"/>
      <c r="BJ82" s="226">
        <v>2</v>
      </c>
      <c r="BK82" s="59">
        <f t="shared" si="492"/>
        <v>2</v>
      </c>
      <c r="BL82" s="254">
        <f t="shared" si="493"/>
        <v>112</v>
      </c>
      <c r="BM82" s="263">
        <f t="shared" si="494"/>
        <v>19</v>
      </c>
      <c r="BN82" s="248"/>
      <c r="BO82" s="301"/>
      <c r="BP82" s="226">
        <v>2</v>
      </c>
      <c r="BQ82" s="59">
        <f t="shared" si="495"/>
        <v>2</v>
      </c>
      <c r="BR82" s="254">
        <f t="shared" si="496"/>
        <v>112</v>
      </c>
      <c r="BS82" s="263">
        <f t="shared" si="497"/>
        <v>19</v>
      </c>
      <c r="BT82" s="248"/>
      <c r="BU82" s="305"/>
      <c r="BV82" s="244"/>
      <c r="BW82" s="307"/>
      <c r="BX82" s="226">
        <v>2</v>
      </c>
      <c r="BY82" s="59">
        <f t="shared" si="498"/>
        <v>2</v>
      </c>
      <c r="BZ82" s="254">
        <f t="shared" si="499"/>
        <v>112</v>
      </c>
      <c r="CA82" s="263">
        <f t="shared" si="500"/>
        <v>19</v>
      </c>
      <c r="CB82" s="248"/>
      <c r="CC82" s="301"/>
      <c r="CD82" s="226">
        <v>2</v>
      </c>
      <c r="CE82" s="59">
        <f t="shared" si="501"/>
        <v>2</v>
      </c>
      <c r="CF82" s="254">
        <f t="shared" si="502"/>
        <v>112</v>
      </c>
      <c r="CG82" s="263">
        <f t="shared" si="503"/>
        <v>19</v>
      </c>
      <c r="CH82" s="248"/>
      <c r="CI82" s="301"/>
      <c r="CJ82" s="226">
        <v>2</v>
      </c>
      <c r="CK82" s="59">
        <f t="shared" si="504"/>
        <v>2</v>
      </c>
      <c r="CL82" s="254">
        <f t="shared" si="505"/>
        <v>112</v>
      </c>
      <c r="CM82" s="263">
        <f t="shared" si="506"/>
        <v>19</v>
      </c>
      <c r="CN82" s="248"/>
      <c r="CO82" s="301"/>
      <c r="CP82" s="226">
        <v>2</v>
      </c>
      <c r="CQ82" s="59">
        <f t="shared" si="507"/>
        <v>2</v>
      </c>
      <c r="CR82" s="254">
        <f t="shared" si="508"/>
        <v>112</v>
      </c>
      <c r="CS82" s="263">
        <f t="shared" si="509"/>
        <v>19</v>
      </c>
      <c r="CT82" s="248"/>
      <c r="CU82" s="305"/>
      <c r="CV82" s="244"/>
      <c r="CW82" s="307"/>
      <c r="CX82" s="226">
        <v>2</v>
      </c>
      <c r="CY82" s="59">
        <f t="shared" si="510"/>
        <v>2</v>
      </c>
      <c r="CZ82" s="254">
        <f t="shared" si="511"/>
        <v>112</v>
      </c>
      <c r="DA82" s="263">
        <f t="shared" si="512"/>
        <v>19</v>
      </c>
      <c r="DB82" s="248"/>
      <c r="DC82" s="301"/>
      <c r="DD82" s="226">
        <v>2</v>
      </c>
      <c r="DE82" s="59">
        <f t="shared" si="513"/>
        <v>2</v>
      </c>
      <c r="DF82" s="254">
        <f t="shared" si="514"/>
        <v>112</v>
      </c>
      <c r="DG82" s="263">
        <f t="shared" si="515"/>
        <v>19</v>
      </c>
      <c r="DH82" s="248"/>
      <c r="DI82" s="301"/>
      <c r="DJ82" s="226">
        <v>2</v>
      </c>
      <c r="DK82" s="59">
        <f t="shared" si="516"/>
        <v>2</v>
      </c>
      <c r="DL82" s="254">
        <f t="shared" si="517"/>
        <v>112</v>
      </c>
      <c r="DM82" s="263">
        <f t="shared" si="518"/>
        <v>19</v>
      </c>
      <c r="DN82" s="248"/>
      <c r="DO82" s="301"/>
      <c r="DP82" s="226">
        <v>2</v>
      </c>
      <c r="DQ82" s="59">
        <f t="shared" si="519"/>
        <v>2</v>
      </c>
      <c r="DR82" s="254">
        <f t="shared" si="520"/>
        <v>112</v>
      </c>
      <c r="DS82" s="263">
        <f t="shared" si="521"/>
        <v>19</v>
      </c>
      <c r="DT82" s="248"/>
      <c r="DU82" s="305"/>
      <c r="DV82" s="244"/>
      <c r="DW82" s="307"/>
      <c r="DX82" s="226">
        <v>2</v>
      </c>
      <c r="DY82" s="59">
        <f t="shared" si="522"/>
        <v>2</v>
      </c>
      <c r="DZ82" s="254">
        <f t="shared" si="523"/>
        <v>112</v>
      </c>
      <c r="EA82" s="263">
        <f t="shared" si="524"/>
        <v>19</v>
      </c>
      <c r="EB82" s="248"/>
      <c r="EC82" s="301"/>
      <c r="ED82" s="226">
        <v>2</v>
      </c>
      <c r="EE82" s="59">
        <f t="shared" si="525"/>
        <v>2</v>
      </c>
      <c r="EF82" s="254">
        <f t="shared" si="526"/>
        <v>112</v>
      </c>
      <c r="EG82" s="263">
        <f t="shared" si="527"/>
        <v>19</v>
      </c>
      <c r="EH82" s="248"/>
      <c r="EI82" s="301"/>
      <c r="EJ82" s="226">
        <v>2</v>
      </c>
      <c r="EK82" s="59">
        <f t="shared" si="528"/>
        <v>2</v>
      </c>
      <c r="EL82" s="254">
        <f t="shared" si="529"/>
        <v>112</v>
      </c>
      <c r="EM82" s="263">
        <f t="shared" si="530"/>
        <v>19</v>
      </c>
      <c r="EN82" s="248"/>
      <c r="EO82" s="305"/>
      <c r="EP82" s="244"/>
      <c r="EQ82" s="307"/>
      <c r="ER82" s="226">
        <v>2</v>
      </c>
      <c r="ES82" s="59">
        <f t="shared" si="531"/>
        <v>2</v>
      </c>
      <c r="ET82" s="254">
        <f t="shared" si="532"/>
        <v>112</v>
      </c>
      <c r="EU82" s="263">
        <f t="shared" si="533"/>
        <v>19</v>
      </c>
      <c r="EV82" s="248"/>
      <c r="EW82" s="301"/>
      <c r="EX82" s="226">
        <v>2</v>
      </c>
      <c r="EY82" s="59">
        <f t="shared" si="534"/>
        <v>2</v>
      </c>
      <c r="EZ82" s="254">
        <f t="shared" si="535"/>
        <v>112</v>
      </c>
      <c r="FA82" s="263">
        <f t="shared" si="536"/>
        <v>19</v>
      </c>
      <c r="FB82" s="248"/>
      <c r="FC82" s="301"/>
      <c r="FD82" s="226">
        <v>2</v>
      </c>
      <c r="FE82" s="59">
        <f t="shared" si="537"/>
        <v>2</v>
      </c>
      <c r="FF82" s="254">
        <f t="shared" si="538"/>
        <v>112</v>
      </c>
      <c r="FG82" s="263">
        <f t="shared" si="539"/>
        <v>19</v>
      </c>
      <c r="FH82" s="248"/>
      <c r="FI82" s="301"/>
      <c r="FJ82" s="226">
        <v>2</v>
      </c>
      <c r="FK82" s="59">
        <f t="shared" si="540"/>
        <v>2</v>
      </c>
      <c r="FL82" s="254">
        <f t="shared" si="541"/>
        <v>112</v>
      </c>
      <c r="FM82" s="263">
        <f t="shared" si="542"/>
        <v>19</v>
      </c>
      <c r="FN82" s="248"/>
      <c r="FO82" s="305"/>
      <c r="FP82" s="244"/>
    </row>
    <row r="83" spans="1:172" ht="17" x14ac:dyDescent="0.45">
      <c r="A83" s="307"/>
      <c r="B83" s="252">
        <v>3</v>
      </c>
      <c r="C83" s="59">
        <v>0</v>
      </c>
      <c r="D83" s="254">
        <f t="shared" si="466"/>
        <v>96</v>
      </c>
      <c r="E83" s="263">
        <f t="shared" si="467"/>
        <v>14</v>
      </c>
      <c r="F83" s="248"/>
      <c r="G83" s="301"/>
      <c r="H83" s="226">
        <v>3</v>
      </c>
      <c r="I83" s="59">
        <f t="shared" si="468"/>
        <v>0</v>
      </c>
      <c r="J83" s="254">
        <f t="shared" si="469"/>
        <v>96</v>
      </c>
      <c r="K83" s="263">
        <f t="shared" si="470"/>
        <v>14</v>
      </c>
      <c r="L83" s="248"/>
      <c r="M83" s="305"/>
      <c r="N83" s="244"/>
      <c r="O83" s="307"/>
      <c r="P83" s="226">
        <v>3</v>
      </c>
      <c r="Q83" s="59">
        <f t="shared" si="471"/>
        <v>0</v>
      </c>
      <c r="R83" s="254">
        <f t="shared" si="472"/>
        <v>96</v>
      </c>
      <c r="S83" s="263">
        <f t="shared" si="473"/>
        <v>14</v>
      </c>
      <c r="T83" s="248"/>
      <c r="U83" s="301"/>
      <c r="V83" s="226">
        <v>3</v>
      </c>
      <c r="W83" s="59">
        <f t="shared" si="474"/>
        <v>0</v>
      </c>
      <c r="X83" s="254">
        <f t="shared" si="475"/>
        <v>96</v>
      </c>
      <c r="Y83" s="263">
        <f t="shared" si="476"/>
        <v>14</v>
      </c>
      <c r="Z83" s="248"/>
      <c r="AA83" s="301"/>
      <c r="AB83" s="226">
        <v>3</v>
      </c>
      <c r="AC83" s="59">
        <f t="shared" si="477"/>
        <v>0</v>
      </c>
      <c r="AD83" s="254">
        <f t="shared" si="478"/>
        <v>96</v>
      </c>
      <c r="AE83" s="263">
        <f t="shared" si="479"/>
        <v>14</v>
      </c>
      <c r="AF83" s="248"/>
      <c r="AG83" s="305"/>
      <c r="AH83" s="244"/>
      <c r="AI83" s="307"/>
      <c r="AJ83" s="226">
        <v>3</v>
      </c>
      <c r="AK83" s="59">
        <f t="shared" si="480"/>
        <v>0</v>
      </c>
      <c r="AL83" s="254">
        <f t="shared" si="481"/>
        <v>96</v>
      </c>
      <c r="AM83" s="263">
        <f t="shared" si="482"/>
        <v>14</v>
      </c>
      <c r="AN83" s="248"/>
      <c r="AO83" s="301"/>
      <c r="AP83" s="226">
        <v>3</v>
      </c>
      <c r="AQ83" s="59">
        <f t="shared" si="483"/>
        <v>0</v>
      </c>
      <c r="AR83" s="254">
        <f t="shared" si="484"/>
        <v>96</v>
      </c>
      <c r="AS83" s="263">
        <f t="shared" si="485"/>
        <v>14</v>
      </c>
      <c r="AT83" s="248"/>
      <c r="AU83" s="301"/>
      <c r="AV83" s="226">
        <v>3</v>
      </c>
      <c r="AW83" s="59">
        <f t="shared" si="486"/>
        <v>0</v>
      </c>
      <c r="AX83" s="254">
        <f t="shared" si="487"/>
        <v>96</v>
      </c>
      <c r="AY83" s="263">
        <f t="shared" si="488"/>
        <v>14</v>
      </c>
      <c r="AZ83" s="248">
        <v>26</v>
      </c>
      <c r="BA83" s="305"/>
      <c r="BB83" s="244"/>
      <c r="BC83" s="307"/>
      <c r="BD83" s="226">
        <v>3</v>
      </c>
      <c r="BE83" s="59">
        <f t="shared" si="489"/>
        <v>1</v>
      </c>
      <c r="BF83" s="254">
        <f t="shared" si="490"/>
        <v>104</v>
      </c>
      <c r="BG83" s="263">
        <f t="shared" si="491"/>
        <v>22</v>
      </c>
      <c r="BH83" s="248"/>
      <c r="BI83" s="301"/>
      <c r="BJ83" s="226">
        <v>3</v>
      </c>
      <c r="BK83" s="59">
        <f t="shared" si="492"/>
        <v>1</v>
      </c>
      <c r="BL83" s="254">
        <f t="shared" si="493"/>
        <v>104</v>
      </c>
      <c r="BM83" s="263">
        <f t="shared" si="494"/>
        <v>22</v>
      </c>
      <c r="BN83" s="248"/>
      <c r="BO83" s="301"/>
      <c r="BP83" s="226">
        <v>3</v>
      </c>
      <c r="BQ83" s="59">
        <f t="shared" si="495"/>
        <v>1</v>
      </c>
      <c r="BR83" s="254">
        <f t="shared" si="496"/>
        <v>104</v>
      </c>
      <c r="BS83" s="263">
        <f t="shared" si="497"/>
        <v>22</v>
      </c>
      <c r="BT83" s="248"/>
      <c r="BU83" s="305"/>
      <c r="BV83" s="244"/>
      <c r="BW83" s="307"/>
      <c r="BX83" s="226">
        <v>3</v>
      </c>
      <c r="BY83" s="59">
        <f t="shared" si="498"/>
        <v>1</v>
      </c>
      <c r="BZ83" s="254">
        <f t="shared" si="499"/>
        <v>104</v>
      </c>
      <c r="CA83" s="263">
        <f t="shared" si="500"/>
        <v>22</v>
      </c>
      <c r="CB83" s="248"/>
      <c r="CC83" s="301"/>
      <c r="CD83" s="226">
        <v>3</v>
      </c>
      <c r="CE83" s="59">
        <f t="shared" si="501"/>
        <v>1</v>
      </c>
      <c r="CF83" s="254">
        <f t="shared" si="502"/>
        <v>104</v>
      </c>
      <c r="CG83" s="263">
        <f t="shared" si="503"/>
        <v>22</v>
      </c>
      <c r="CH83" s="248"/>
      <c r="CI83" s="301"/>
      <c r="CJ83" s="226">
        <v>3</v>
      </c>
      <c r="CK83" s="59">
        <f t="shared" si="504"/>
        <v>1</v>
      </c>
      <c r="CL83" s="254">
        <f t="shared" si="505"/>
        <v>104</v>
      </c>
      <c r="CM83" s="263">
        <f t="shared" si="506"/>
        <v>22</v>
      </c>
      <c r="CN83" s="248"/>
      <c r="CO83" s="301"/>
      <c r="CP83" s="226">
        <v>3</v>
      </c>
      <c r="CQ83" s="59">
        <f t="shared" si="507"/>
        <v>1</v>
      </c>
      <c r="CR83" s="254">
        <f t="shared" si="508"/>
        <v>104</v>
      </c>
      <c r="CS83" s="263">
        <f t="shared" si="509"/>
        <v>22</v>
      </c>
      <c r="CT83" s="248"/>
      <c r="CU83" s="305"/>
      <c r="CV83" s="244"/>
      <c r="CW83" s="307"/>
      <c r="CX83" s="226">
        <v>3</v>
      </c>
      <c r="CY83" s="59">
        <f t="shared" si="510"/>
        <v>1</v>
      </c>
      <c r="CZ83" s="254">
        <f t="shared" si="511"/>
        <v>104</v>
      </c>
      <c r="DA83" s="263">
        <f t="shared" si="512"/>
        <v>22</v>
      </c>
      <c r="DB83" s="248"/>
      <c r="DC83" s="301"/>
      <c r="DD83" s="226">
        <v>3</v>
      </c>
      <c r="DE83" s="59">
        <f t="shared" si="513"/>
        <v>1</v>
      </c>
      <c r="DF83" s="254">
        <f t="shared" si="514"/>
        <v>104</v>
      </c>
      <c r="DG83" s="263">
        <f t="shared" si="515"/>
        <v>22</v>
      </c>
      <c r="DH83" s="248"/>
      <c r="DI83" s="301"/>
      <c r="DJ83" s="226">
        <v>3</v>
      </c>
      <c r="DK83" s="59">
        <f t="shared" si="516"/>
        <v>1</v>
      </c>
      <c r="DL83" s="254">
        <f t="shared" si="517"/>
        <v>104</v>
      </c>
      <c r="DM83" s="263">
        <f t="shared" si="518"/>
        <v>22</v>
      </c>
      <c r="DN83" s="248"/>
      <c r="DO83" s="301"/>
      <c r="DP83" s="226">
        <v>3</v>
      </c>
      <c r="DQ83" s="59">
        <f t="shared" si="519"/>
        <v>1</v>
      </c>
      <c r="DR83" s="254">
        <f t="shared" si="520"/>
        <v>104</v>
      </c>
      <c r="DS83" s="263">
        <f t="shared" si="521"/>
        <v>22</v>
      </c>
      <c r="DT83" s="248"/>
      <c r="DU83" s="305"/>
      <c r="DV83" s="244"/>
      <c r="DW83" s="307"/>
      <c r="DX83" s="226">
        <v>3</v>
      </c>
      <c r="DY83" s="59">
        <f t="shared" si="522"/>
        <v>1</v>
      </c>
      <c r="DZ83" s="254">
        <f t="shared" si="523"/>
        <v>104</v>
      </c>
      <c r="EA83" s="263">
        <f t="shared" si="524"/>
        <v>22</v>
      </c>
      <c r="EB83" s="248"/>
      <c r="EC83" s="301"/>
      <c r="ED83" s="226">
        <v>3</v>
      </c>
      <c r="EE83" s="59">
        <f t="shared" si="525"/>
        <v>1</v>
      </c>
      <c r="EF83" s="254">
        <f t="shared" si="526"/>
        <v>104</v>
      </c>
      <c r="EG83" s="263">
        <f t="shared" si="527"/>
        <v>22</v>
      </c>
      <c r="EH83" s="248"/>
      <c r="EI83" s="301"/>
      <c r="EJ83" s="226">
        <v>3</v>
      </c>
      <c r="EK83" s="59">
        <f t="shared" si="528"/>
        <v>1</v>
      </c>
      <c r="EL83" s="254">
        <f t="shared" si="529"/>
        <v>104</v>
      </c>
      <c r="EM83" s="263">
        <f t="shared" si="530"/>
        <v>22</v>
      </c>
      <c r="EN83" s="248"/>
      <c r="EO83" s="305"/>
      <c r="EP83" s="244"/>
      <c r="EQ83" s="307"/>
      <c r="ER83" s="226">
        <v>3</v>
      </c>
      <c r="ES83" s="59">
        <f t="shared" si="531"/>
        <v>1</v>
      </c>
      <c r="ET83" s="254">
        <f t="shared" si="532"/>
        <v>104</v>
      </c>
      <c r="EU83" s="263">
        <f t="shared" si="533"/>
        <v>22</v>
      </c>
      <c r="EV83" s="248"/>
      <c r="EW83" s="301"/>
      <c r="EX83" s="226">
        <v>3</v>
      </c>
      <c r="EY83" s="59">
        <f t="shared" si="534"/>
        <v>1</v>
      </c>
      <c r="EZ83" s="254">
        <f t="shared" si="535"/>
        <v>104</v>
      </c>
      <c r="FA83" s="263">
        <f t="shared" si="536"/>
        <v>22</v>
      </c>
      <c r="FB83" s="248"/>
      <c r="FC83" s="301"/>
      <c r="FD83" s="226">
        <v>3</v>
      </c>
      <c r="FE83" s="59">
        <f t="shared" si="537"/>
        <v>1</v>
      </c>
      <c r="FF83" s="254">
        <f t="shared" si="538"/>
        <v>104</v>
      </c>
      <c r="FG83" s="263">
        <f t="shared" si="539"/>
        <v>22</v>
      </c>
      <c r="FH83" s="248"/>
      <c r="FI83" s="301"/>
      <c r="FJ83" s="226">
        <v>3</v>
      </c>
      <c r="FK83" s="59">
        <f t="shared" si="540"/>
        <v>1</v>
      </c>
      <c r="FL83" s="254">
        <f t="shared" si="541"/>
        <v>104</v>
      </c>
      <c r="FM83" s="263">
        <f t="shared" si="542"/>
        <v>22</v>
      </c>
      <c r="FN83" s="248"/>
      <c r="FO83" s="305"/>
      <c r="FP83" s="244"/>
    </row>
    <row r="84" spans="1:172" ht="17" x14ac:dyDescent="0.45">
      <c r="A84" s="307"/>
      <c r="B84" s="226">
        <v>4</v>
      </c>
      <c r="C84" s="59">
        <v>0</v>
      </c>
      <c r="D84" s="254">
        <f t="shared" si="466"/>
        <v>96</v>
      </c>
      <c r="E84" s="263">
        <f t="shared" si="467"/>
        <v>10</v>
      </c>
      <c r="F84" s="248"/>
      <c r="G84" s="301"/>
      <c r="H84" s="226">
        <v>4</v>
      </c>
      <c r="I84" s="59">
        <f t="shared" si="468"/>
        <v>0</v>
      </c>
      <c r="J84" s="254">
        <f t="shared" si="469"/>
        <v>96</v>
      </c>
      <c r="K84" s="263">
        <f t="shared" si="470"/>
        <v>10</v>
      </c>
      <c r="L84" s="248"/>
      <c r="M84" s="305"/>
      <c r="N84" s="244"/>
      <c r="O84" s="307"/>
      <c r="P84" s="226">
        <v>4</v>
      </c>
      <c r="Q84" s="59">
        <f t="shared" si="471"/>
        <v>0</v>
      </c>
      <c r="R84" s="254">
        <f t="shared" si="472"/>
        <v>96</v>
      </c>
      <c r="S84" s="263">
        <f t="shared" si="473"/>
        <v>10</v>
      </c>
      <c r="T84" s="248"/>
      <c r="U84" s="301"/>
      <c r="V84" s="226">
        <v>4</v>
      </c>
      <c r="W84" s="59">
        <f t="shared" si="474"/>
        <v>0</v>
      </c>
      <c r="X84" s="254">
        <f t="shared" si="475"/>
        <v>96</v>
      </c>
      <c r="Y84" s="263">
        <f t="shared" si="476"/>
        <v>10</v>
      </c>
      <c r="Z84" s="248">
        <v>16</v>
      </c>
      <c r="AA84" s="301"/>
      <c r="AB84" s="226">
        <v>4</v>
      </c>
      <c r="AC84" s="59">
        <f t="shared" si="477"/>
        <v>1</v>
      </c>
      <c r="AD84" s="254">
        <f t="shared" si="478"/>
        <v>104</v>
      </c>
      <c r="AE84" s="263">
        <f t="shared" si="479"/>
        <v>18</v>
      </c>
      <c r="AF84" s="248"/>
      <c r="AG84" s="305"/>
      <c r="AH84" s="244"/>
      <c r="AI84" s="307"/>
      <c r="AJ84" s="226">
        <v>4</v>
      </c>
      <c r="AK84" s="59">
        <f t="shared" si="480"/>
        <v>1</v>
      </c>
      <c r="AL84" s="254">
        <f t="shared" si="481"/>
        <v>104</v>
      </c>
      <c r="AM84" s="263">
        <f t="shared" si="482"/>
        <v>18</v>
      </c>
      <c r="AN84" s="248"/>
      <c r="AO84" s="301"/>
      <c r="AP84" s="226">
        <v>4</v>
      </c>
      <c r="AQ84" s="59">
        <f t="shared" si="483"/>
        <v>1</v>
      </c>
      <c r="AR84" s="254">
        <f t="shared" si="484"/>
        <v>104</v>
      </c>
      <c r="AS84" s="263">
        <f t="shared" si="485"/>
        <v>18</v>
      </c>
      <c r="AT84" s="248"/>
      <c r="AU84" s="301"/>
      <c r="AV84" s="226">
        <v>4</v>
      </c>
      <c r="AW84" s="59">
        <f t="shared" si="486"/>
        <v>1</v>
      </c>
      <c r="AX84" s="254">
        <f t="shared" si="487"/>
        <v>104</v>
      </c>
      <c r="AY84" s="263">
        <f t="shared" si="488"/>
        <v>18</v>
      </c>
      <c r="AZ84" s="248"/>
      <c r="BA84" s="305"/>
      <c r="BB84" s="244"/>
      <c r="BC84" s="307"/>
      <c r="BD84" s="226">
        <v>4</v>
      </c>
      <c r="BE84" s="59">
        <f t="shared" si="489"/>
        <v>1</v>
      </c>
      <c r="BF84" s="254">
        <f t="shared" si="490"/>
        <v>104</v>
      </c>
      <c r="BG84" s="263">
        <f t="shared" si="491"/>
        <v>18</v>
      </c>
      <c r="BH84" s="248"/>
      <c r="BI84" s="301"/>
      <c r="BJ84" s="226">
        <v>4</v>
      </c>
      <c r="BK84" s="59">
        <f t="shared" si="492"/>
        <v>1</v>
      </c>
      <c r="BL84" s="254">
        <f t="shared" si="493"/>
        <v>104</v>
      </c>
      <c r="BM84" s="263">
        <f t="shared" si="494"/>
        <v>18</v>
      </c>
      <c r="BN84" s="248"/>
      <c r="BO84" s="301"/>
      <c r="BP84" s="226">
        <v>4</v>
      </c>
      <c r="BQ84" s="59">
        <f t="shared" si="495"/>
        <v>1</v>
      </c>
      <c r="BR84" s="254">
        <f t="shared" si="496"/>
        <v>104</v>
      </c>
      <c r="BS84" s="263">
        <f t="shared" si="497"/>
        <v>18</v>
      </c>
      <c r="BT84" s="248"/>
      <c r="BU84" s="305"/>
      <c r="BV84" s="244"/>
      <c r="BW84" s="307"/>
      <c r="BX84" s="226">
        <v>4</v>
      </c>
      <c r="BY84" s="59">
        <f t="shared" si="498"/>
        <v>1</v>
      </c>
      <c r="BZ84" s="254">
        <f t="shared" si="499"/>
        <v>104</v>
      </c>
      <c r="CA84" s="263">
        <f t="shared" si="500"/>
        <v>18</v>
      </c>
      <c r="CB84" s="248"/>
      <c r="CC84" s="301"/>
      <c r="CD84" s="226">
        <v>4</v>
      </c>
      <c r="CE84" s="59">
        <f t="shared" si="501"/>
        <v>1</v>
      </c>
      <c r="CF84" s="254">
        <f t="shared" si="502"/>
        <v>104</v>
      </c>
      <c r="CG84" s="263">
        <f t="shared" si="503"/>
        <v>18</v>
      </c>
      <c r="CH84" s="248"/>
      <c r="CI84" s="301"/>
      <c r="CJ84" s="226">
        <v>4</v>
      </c>
      <c r="CK84" s="59">
        <f t="shared" si="504"/>
        <v>1</v>
      </c>
      <c r="CL84" s="254">
        <f t="shared" si="505"/>
        <v>104</v>
      </c>
      <c r="CM84" s="263">
        <f t="shared" si="506"/>
        <v>18</v>
      </c>
      <c r="CN84" s="248"/>
      <c r="CO84" s="301"/>
      <c r="CP84" s="226">
        <v>4</v>
      </c>
      <c r="CQ84" s="59">
        <f t="shared" si="507"/>
        <v>1</v>
      </c>
      <c r="CR84" s="254">
        <f t="shared" si="508"/>
        <v>104</v>
      </c>
      <c r="CS84" s="263">
        <f t="shared" si="509"/>
        <v>18</v>
      </c>
      <c r="CT84" s="248"/>
      <c r="CU84" s="305"/>
      <c r="CV84" s="244"/>
      <c r="CW84" s="307"/>
      <c r="CX84" s="226">
        <v>4</v>
      </c>
      <c r="CY84" s="59">
        <f t="shared" si="510"/>
        <v>1</v>
      </c>
      <c r="CZ84" s="254">
        <f t="shared" si="511"/>
        <v>104</v>
      </c>
      <c r="DA84" s="263">
        <f t="shared" si="512"/>
        <v>18</v>
      </c>
      <c r="DB84" s="248"/>
      <c r="DC84" s="301"/>
      <c r="DD84" s="226">
        <v>4</v>
      </c>
      <c r="DE84" s="59">
        <f t="shared" si="513"/>
        <v>1</v>
      </c>
      <c r="DF84" s="254">
        <f t="shared" si="514"/>
        <v>104</v>
      </c>
      <c r="DG84" s="263">
        <f t="shared" si="515"/>
        <v>18</v>
      </c>
      <c r="DH84" s="248"/>
      <c r="DI84" s="301"/>
      <c r="DJ84" s="226">
        <v>4</v>
      </c>
      <c r="DK84" s="59">
        <f t="shared" si="516"/>
        <v>1</v>
      </c>
      <c r="DL84" s="254">
        <f t="shared" si="517"/>
        <v>104</v>
      </c>
      <c r="DM84" s="263">
        <f t="shared" si="518"/>
        <v>18</v>
      </c>
      <c r="DN84" s="248"/>
      <c r="DO84" s="301"/>
      <c r="DP84" s="226">
        <v>4</v>
      </c>
      <c r="DQ84" s="59">
        <f t="shared" si="519"/>
        <v>1</v>
      </c>
      <c r="DR84" s="254">
        <f t="shared" si="520"/>
        <v>104</v>
      </c>
      <c r="DS84" s="263">
        <f t="shared" si="521"/>
        <v>18</v>
      </c>
      <c r="DT84" s="248"/>
      <c r="DU84" s="305"/>
      <c r="DV84" s="244"/>
      <c r="DW84" s="307"/>
      <c r="DX84" s="226">
        <v>4</v>
      </c>
      <c r="DY84" s="59">
        <f t="shared" si="522"/>
        <v>1</v>
      </c>
      <c r="DZ84" s="254">
        <f t="shared" si="523"/>
        <v>104</v>
      </c>
      <c r="EA84" s="263">
        <f t="shared" si="524"/>
        <v>18</v>
      </c>
      <c r="EB84" s="248"/>
      <c r="EC84" s="301"/>
      <c r="ED84" s="226">
        <v>4</v>
      </c>
      <c r="EE84" s="59">
        <f t="shared" si="525"/>
        <v>1</v>
      </c>
      <c r="EF84" s="254">
        <f t="shared" si="526"/>
        <v>104</v>
      </c>
      <c r="EG84" s="263">
        <f t="shared" si="527"/>
        <v>18</v>
      </c>
      <c r="EH84" s="248"/>
      <c r="EI84" s="301"/>
      <c r="EJ84" s="226">
        <v>4</v>
      </c>
      <c r="EK84" s="59">
        <f t="shared" si="528"/>
        <v>1</v>
      </c>
      <c r="EL84" s="254">
        <f t="shared" si="529"/>
        <v>104</v>
      </c>
      <c r="EM84" s="263">
        <f t="shared" si="530"/>
        <v>18</v>
      </c>
      <c r="EN84" s="248"/>
      <c r="EO84" s="305"/>
      <c r="EP84" s="244"/>
      <c r="EQ84" s="307"/>
      <c r="ER84" s="226">
        <v>4</v>
      </c>
      <c r="ES84" s="59">
        <f t="shared" si="531"/>
        <v>1</v>
      </c>
      <c r="ET84" s="254">
        <f t="shared" si="532"/>
        <v>104</v>
      </c>
      <c r="EU84" s="263">
        <f t="shared" si="533"/>
        <v>18</v>
      </c>
      <c r="EV84" s="248"/>
      <c r="EW84" s="301"/>
      <c r="EX84" s="226">
        <v>4</v>
      </c>
      <c r="EY84" s="59">
        <f t="shared" si="534"/>
        <v>1</v>
      </c>
      <c r="EZ84" s="254">
        <f t="shared" si="535"/>
        <v>104</v>
      </c>
      <c r="FA84" s="263">
        <f t="shared" si="536"/>
        <v>18</v>
      </c>
      <c r="FB84" s="248"/>
      <c r="FC84" s="301"/>
      <c r="FD84" s="226">
        <v>4</v>
      </c>
      <c r="FE84" s="59">
        <f t="shared" si="537"/>
        <v>1</v>
      </c>
      <c r="FF84" s="254">
        <f t="shared" si="538"/>
        <v>104</v>
      </c>
      <c r="FG84" s="263">
        <f t="shared" si="539"/>
        <v>18</v>
      </c>
      <c r="FH84" s="248"/>
      <c r="FI84" s="301"/>
      <c r="FJ84" s="226">
        <v>4</v>
      </c>
      <c r="FK84" s="59">
        <f t="shared" si="540"/>
        <v>1</v>
      </c>
      <c r="FL84" s="254">
        <f t="shared" si="541"/>
        <v>104</v>
      </c>
      <c r="FM84" s="263">
        <f t="shared" si="542"/>
        <v>18</v>
      </c>
      <c r="FN84" s="248"/>
      <c r="FO84" s="305"/>
      <c r="FP84" s="244"/>
    </row>
    <row r="85" spans="1:172" ht="17" x14ac:dyDescent="0.45">
      <c r="A85" s="307"/>
      <c r="B85" s="226">
        <v>5</v>
      </c>
      <c r="C85" s="59">
        <v>0</v>
      </c>
      <c r="D85" s="254">
        <f t="shared" si="466"/>
        <v>96</v>
      </c>
      <c r="E85" s="263">
        <f t="shared" si="467"/>
        <v>20</v>
      </c>
      <c r="F85" s="248"/>
      <c r="G85" s="301"/>
      <c r="H85" s="226">
        <v>5</v>
      </c>
      <c r="I85" s="59">
        <f t="shared" si="468"/>
        <v>0</v>
      </c>
      <c r="J85" s="254">
        <f t="shared" si="469"/>
        <v>96</v>
      </c>
      <c r="K85" s="263">
        <f t="shared" si="470"/>
        <v>20</v>
      </c>
      <c r="L85" s="248"/>
      <c r="M85" s="305"/>
      <c r="N85" s="244"/>
      <c r="O85" s="307"/>
      <c r="P85" s="226">
        <v>5</v>
      </c>
      <c r="Q85" s="59">
        <f t="shared" si="471"/>
        <v>0</v>
      </c>
      <c r="R85" s="254">
        <f t="shared" si="472"/>
        <v>96</v>
      </c>
      <c r="S85" s="263">
        <f t="shared" si="473"/>
        <v>20</v>
      </c>
      <c r="T85" s="248"/>
      <c r="U85" s="301"/>
      <c r="V85" s="226">
        <v>5</v>
      </c>
      <c r="W85" s="59">
        <f t="shared" si="474"/>
        <v>0</v>
      </c>
      <c r="X85" s="254">
        <f t="shared" si="475"/>
        <v>96</v>
      </c>
      <c r="Y85" s="263">
        <f t="shared" si="476"/>
        <v>20</v>
      </c>
      <c r="Z85" s="248"/>
      <c r="AA85" s="301"/>
      <c r="AB85" s="226">
        <v>5</v>
      </c>
      <c r="AC85" s="59">
        <f t="shared" si="477"/>
        <v>0</v>
      </c>
      <c r="AD85" s="254">
        <f t="shared" si="478"/>
        <v>96</v>
      </c>
      <c r="AE85" s="263">
        <f t="shared" si="479"/>
        <v>20</v>
      </c>
      <c r="AF85" s="248"/>
      <c r="AG85" s="305"/>
      <c r="AH85" s="244"/>
      <c r="AI85" s="307"/>
      <c r="AJ85" s="226">
        <v>5</v>
      </c>
      <c r="AK85" s="59">
        <f t="shared" si="480"/>
        <v>0</v>
      </c>
      <c r="AL85" s="254">
        <f t="shared" si="481"/>
        <v>96</v>
      </c>
      <c r="AM85" s="263">
        <f t="shared" si="482"/>
        <v>20</v>
      </c>
      <c r="AN85" s="248"/>
      <c r="AO85" s="301"/>
      <c r="AP85" s="226">
        <v>5</v>
      </c>
      <c r="AQ85" s="59">
        <f t="shared" si="483"/>
        <v>0</v>
      </c>
      <c r="AR85" s="254">
        <f t="shared" si="484"/>
        <v>96</v>
      </c>
      <c r="AS85" s="263">
        <f t="shared" si="485"/>
        <v>20</v>
      </c>
      <c r="AT85" s="248"/>
      <c r="AU85" s="301"/>
      <c r="AV85" s="226">
        <v>5</v>
      </c>
      <c r="AW85" s="59">
        <f t="shared" si="486"/>
        <v>0</v>
      </c>
      <c r="AX85" s="254">
        <f t="shared" si="487"/>
        <v>96</v>
      </c>
      <c r="AY85" s="263">
        <f t="shared" si="488"/>
        <v>20</v>
      </c>
      <c r="AZ85" s="248"/>
      <c r="BA85" s="305"/>
      <c r="BB85" s="244"/>
      <c r="BC85" s="307"/>
      <c r="BD85" s="226">
        <v>5</v>
      </c>
      <c r="BE85" s="59">
        <f t="shared" si="489"/>
        <v>0</v>
      </c>
      <c r="BF85" s="254">
        <f t="shared" si="490"/>
        <v>96</v>
      </c>
      <c r="BG85" s="263">
        <f t="shared" si="491"/>
        <v>20</v>
      </c>
      <c r="BH85" s="248"/>
      <c r="BI85" s="301"/>
      <c r="BJ85" s="226">
        <v>5</v>
      </c>
      <c r="BK85" s="59">
        <f t="shared" si="492"/>
        <v>0</v>
      </c>
      <c r="BL85" s="254">
        <f t="shared" si="493"/>
        <v>96</v>
      </c>
      <c r="BM85" s="263">
        <f t="shared" si="494"/>
        <v>20</v>
      </c>
      <c r="BN85" s="248"/>
      <c r="BO85" s="301"/>
      <c r="BP85" s="226">
        <v>5</v>
      </c>
      <c r="BQ85" s="59">
        <f t="shared" si="495"/>
        <v>0</v>
      </c>
      <c r="BR85" s="254">
        <f t="shared" si="496"/>
        <v>96</v>
      </c>
      <c r="BS85" s="263">
        <f t="shared" si="497"/>
        <v>20</v>
      </c>
      <c r="BT85" s="248"/>
      <c r="BU85" s="305"/>
      <c r="BV85" s="244"/>
      <c r="BW85" s="307"/>
      <c r="BX85" s="226">
        <v>5</v>
      </c>
      <c r="BY85" s="59">
        <f t="shared" si="498"/>
        <v>0</v>
      </c>
      <c r="BZ85" s="254">
        <f t="shared" si="499"/>
        <v>96</v>
      </c>
      <c r="CA85" s="263">
        <f t="shared" si="500"/>
        <v>20</v>
      </c>
      <c r="CB85" s="248"/>
      <c r="CC85" s="301"/>
      <c r="CD85" s="226">
        <v>5</v>
      </c>
      <c r="CE85" s="59">
        <f t="shared" si="501"/>
        <v>0</v>
      </c>
      <c r="CF85" s="254">
        <f t="shared" si="502"/>
        <v>96</v>
      </c>
      <c r="CG85" s="263">
        <f t="shared" si="503"/>
        <v>20</v>
      </c>
      <c r="CH85" s="248"/>
      <c r="CI85" s="301"/>
      <c r="CJ85" s="226">
        <v>5</v>
      </c>
      <c r="CK85" s="59">
        <f t="shared" si="504"/>
        <v>0</v>
      </c>
      <c r="CL85" s="254">
        <f t="shared" si="505"/>
        <v>96</v>
      </c>
      <c r="CM85" s="263">
        <f t="shared" si="506"/>
        <v>20</v>
      </c>
      <c r="CN85" s="248"/>
      <c r="CO85" s="301"/>
      <c r="CP85" s="226">
        <v>5</v>
      </c>
      <c r="CQ85" s="59">
        <f t="shared" si="507"/>
        <v>0</v>
      </c>
      <c r="CR85" s="254">
        <f t="shared" si="508"/>
        <v>96</v>
      </c>
      <c r="CS85" s="263">
        <f t="shared" si="509"/>
        <v>20</v>
      </c>
      <c r="CT85" s="248"/>
      <c r="CU85" s="305"/>
      <c r="CV85" s="244"/>
      <c r="CW85" s="307"/>
      <c r="CX85" s="226">
        <v>5</v>
      </c>
      <c r="CY85" s="59">
        <f t="shared" si="510"/>
        <v>0</v>
      </c>
      <c r="CZ85" s="254">
        <f t="shared" si="511"/>
        <v>96</v>
      </c>
      <c r="DA85" s="263">
        <f t="shared" si="512"/>
        <v>20</v>
      </c>
      <c r="DB85" s="248"/>
      <c r="DC85" s="301"/>
      <c r="DD85" s="226">
        <v>5</v>
      </c>
      <c r="DE85" s="59">
        <f t="shared" si="513"/>
        <v>0</v>
      </c>
      <c r="DF85" s="254">
        <f t="shared" si="514"/>
        <v>96</v>
      </c>
      <c r="DG85" s="263">
        <f t="shared" si="515"/>
        <v>20</v>
      </c>
      <c r="DH85" s="248"/>
      <c r="DI85" s="301"/>
      <c r="DJ85" s="226">
        <v>5</v>
      </c>
      <c r="DK85" s="59">
        <f t="shared" si="516"/>
        <v>0</v>
      </c>
      <c r="DL85" s="254">
        <f t="shared" si="517"/>
        <v>96</v>
      </c>
      <c r="DM85" s="263">
        <f t="shared" si="518"/>
        <v>20</v>
      </c>
      <c r="DN85" s="248"/>
      <c r="DO85" s="301"/>
      <c r="DP85" s="226">
        <v>5</v>
      </c>
      <c r="DQ85" s="59">
        <f t="shared" si="519"/>
        <v>0</v>
      </c>
      <c r="DR85" s="254">
        <f t="shared" si="520"/>
        <v>96</v>
      </c>
      <c r="DS85" s="263">
        <f t="shared" si="521"/>
        <v>20</v>
      </c>
      <c r="DT85" s="248"/>
      <c r="DU85" s="305"/>
      <c r="DV85" s="244"/>
      <c r="DW85" s="307"/>
      <c r="DX85" s="226">
        <v>5</v>
      </c>
      <c r="DY85" s="59">
        <f t="shared" si="522"/>
        <v>0</v>
      </c>
      <c r="DZ85" s="254">
        <f t="shared" si="523"/>
        <v>96</v>
      </c>
      <c r="EA85" s="263">
        <f t="shared" si="524"/>
        <v>20</v>
      </c>
      <c r="EB85" s="248"/>
      <c r="EC85" s="301"/>
      <c r="ED85" s="226">
        <v>5</v>
      </c>
      <c r="EE85" s="59">
        <f t="shared" si="525"/>
        <v>0</v>
      </c>
      <c r="EF85" s="254">
        <f t="shared" si="526"/>
        <v>96</v>
      </c>
      <c r="EG85" s="263">
        <f t="shared" si="527"/>
        <v>20</v>
      </c>
      <c r="EH85" s="248"/>
      <c r="EI85" s="301"/>
      <c r="EJ85" s="226">
        <v>5</v>
      </c>
      <c r="EK85" s="59">
        <f t="shared" si="528"/>
        <v>0</v>
      </c>
      <c r="EL85" s="254">
        <f t="shared" si="529"/>
        <v>96</v>
      </c>
      <c r="EM85" s="263">
        <f t="shared" si="530"/>
        <v>20</v>
      </c>
      <c r="EN85" s="248"/>
      <c r="EO85" s="305"/>
      <c r="EP85" s="244"/>
      <c r="EQ85" s="307"/>
      <c r="ER85" s="226">
        <v>5</v>
      </c>
      <c r="ES85" s="59">
        <f t="shared" si="531"/>
        <v>0</v>
      </c>
      <c r="ET85" s="254">
        <f t="shared" si="532"/>
        <v>96</v>
      </c>
      <c r="EU85" s="263">
        <f t="shared" si="533"/>
        <v>20</v>
      </c>
      <c r="EV85" s="248"/>
      <c r="EW85" s="301"/>
      <c r="EX85" s="226">
        <v>5</v>
      </c>
      <c r="EY85" s="59">
        <f t="shared" si="534"/>
        <v>0</v>
      </c>
      <c r="EZ85" s="254">
        <f t="shared" si="535"/>
        <v>96</v>
      </c>
      <c r="FA85" s="263">
        <f t="shared" si="536"/>
        <v>20</v>
      </c>
      <c r="FB85" s="248"/>
      <c r="FC85" s="301"/>
      <c r="FD85" s="226">
        <v>5</v>
      </c>
      <c r="FE85" s="59">
        <f t="shared" si="537"/>
        <v>0</v>
      </c>
      <c r="FF85" s="254">
        <f t="shared" si="538"/>
        <v>96</v>
      </c>
      <c r="FG85" s="263">
        <f t="shared" si="539"/>
        <v>20</v>
      </c>
      <c r="FH85" s="248"/>
      <c r="FI85" s="301"/>
      <c r="FJ85" s="226">
        <v>5</v>
      </c>
      <c r="FK85" s="59">
        <f t="shared" si="540"/>
        <v>0</v>
      </c>
      <c r="FL85" s="254">
        <f t="shared" si="541"/>
        <v>96</v>
      </c>
      <c r="FM85" s="263">
        <f t="shared" si="542"/>
        <v>20</v>
      </c>
      <c r="FN85" s="248"/>
      <c r="FO85" s="305"/>
      <c r="FP85" s="244"/>
    </row>
    <row r="86" spans="1:172" ht="17" x14ac:dyDescent="0.45">
      <c r="A86" s="307"/>
      <c r="B86" s="226">
        <v>6</v>
      </c>
      <c r="C86" s="59">
        <v>0</v>
      </c>
      <c r="D86" s="254">
        <f t="shared" si="466"/>
        <v>96</v>
      </c>
      <c r="E86" s="263">
        <f t="shared" si="467"/>
        <v>16</v>
      </c>
      <c r="F86" s="248"/>
      <c r="G86" s="301"/>
      <c r="H86" s="226">
        <v>6</v>
      </c>
      <c r="I86" s="59">
        <f t="shared" si="468"/>
        <v>0</v>
      </c>
      <c r="J86" s="254">
        <f t="shared" si="469"/>
        <v>96</v>
      </c>
      <c r="K86" s="263">
        <f t="shared" si="470"/>
        <v>16</v>
      </c>
      <c r="L86" s="248"/>
      <c r="M86" s="305"/>
      <c r="N86" s="244"/>
      <c r="O86" s="307"/>
      <c r="P86" s="226">
        <v>6</v>
      </c>
      <c r="Q86" s="59">
        <f t="shared" si="471"/>
        <v>0</v>
      </c>
      <c r="R86" s="254">
        <f t="shared" si="472"/>
        <v>96</v>
      </c>
      <c r="S86" s="263">
        <f t="shared" si="473"/>
        <v>16</v>
      </c>
      <c r="T86" s="248"/>
      <c r="U86" s="301"/>
      <c r="V86" s="226">
        <v>6</v>
      </c>
      <c r="W86" s="59">
        <f t="shared" si="474"/>
        <v>0</v>
      </c>
      <c r="X86" s="254">
        <f t="shared" si="475"/>
        <v>96</v>
      </c>
      <c r="Y86" s="263">
        <f t="shared" si="476"/>
        <v>16</v>
      </c>
      <c r="Z86" s="248"/>
      <c r="AA86" s="301"/>
      <c r="AB86" s="226">
        <v>6</v>
      </c>
      <c r="AC86" s="59">
        <f t="shared" si="477"/>
        <v>0</v>
      </c>
      <c r="AD86" s="254">
        <f t="shared" si="478"/>
        <v>96</v>
      </c>
      <c r="AE86" s="263">
        <f t="shared" si="479"/>
        <v>16</v>
      </c>
      <c r="AF86" s="248"/>
      <c r="AG86" s="305"/>
      <c r="AH86" s="244"/>
      <c r="AI86" s="307"/>
      <c r="AJ86" s="226">
        <v>6</v>
      </c>
      <c r="AK86" s="59">
        <f t="shared" si="480"/>
        <v>0</v>
      </c>
      <c r="AL86" s="254">
        <f t="shared" si="481"/>
        <v>96</v>
      </c>
      <c r="AM86" s="263">
        <f t="shared" si="482"/>
        <v>16</v>
      </c>
      <c r="AN86" s="248"/>
      <c r="AO86" s="301"/>
      <c r="AP86" s="226">
        <v>6</v>
      </c>
      <c r="AQ86" s="59">
        <f t="shared" si="483"/>
        <v>0</v>
      </c>
      <c r="AR86" s="254">
        <f t="shared" si="484"/>
        <v>96</v>
      </c>
      <c r="AS86" s="263">
        <f t="shared" si="485"/>
        <v>16</v>
      </c>
      <c r="AT86" s="248"/>
      <c r="AU86" s="301"/>
      <c r="AV86" s="226">
        <v>6</v>
      </c>
      <c r="AW86" s="59">
        <f t="shared" si="486"/>
        <v>0</v>
      </c>
      <c r="AX86" s="254">
        <f t="shared" si="487"/>
        <v>96</v>
      </c>
      <c r="AY86" s="263">
        <f t="shared" si="488"/>
        <v>16</v>
      </c>
      <c r="AZ86" s="248"/>
      <c r="BA86" s="305"/>
      <c r="BB86" s="244"/>
      <c r="BC86" s="307"/>
      <c r="BD86" s="226">
        <v>6</v>
      </c>
      <c r="BE86" s="59">
        <f t="shared" si="489"/>
        <v>0</v>
      </c>
      <c r="BF86" s="254">
        <f t="shared" si="490"/>
        <v>96</v>
      </c>
      <c r="BG86" s="263">
        <f t="shared" si="491"/>
        <v>16</v>
      </c>
      <c r="BH86" s="248"/>
      <c r="BI86" s="301"/>
      <c r="BJ86" s="226">
        <v>6</v>
      </c>
      <c r="BK86" s="59">
        <f t="shared" si="492"/>
        <v>0</v>
      </c>
      <c r="BL86" s="254">
        <f t="shared" si="493"/>
        <v>96</v>
      </c>
      <c r="BM86" s="263">
        <f t="shared" si="494"/>
        <v>16</v>
      </c>
      <c r="BN86" s="248"/>
      <c r="BO86" s="301"/>
      <c r="BP86" s="226">
        <v>6</v>
      </c>
      <c r="BQ86" s="59">
        <f t="shared" si="495"/>
        <v>0</v>
      </c>
      <c r="BR86" s="254">
        <f t="shared" si="496"/>
        <v>96</v>
      </c>
      <c r="BS86" s="263">
        <f t="shared" si="497"/>
        <v>16</v>
      </c>
      <c r="BT86" s="248"/>
      <c r="BU86" s="305"/>
      <c r="BV86" s="244"/>
      <c r="BW86" s="307"/>
      <c r="BX86" s="226">
        <v>6</v>
      </c>
      <c r="BY86" s="59">
        <f t="shared" si="498"/>
        <v>0</v>
      </c>
      <c r="BZ86" s="254">
        <f t="shared" si="499"/>
        <v>96</v>
      </c>
      <c r="CA86" s="263">
        <f t="shared" si="500"/>
        <v>16</v>
      </c>
      <c r="CB86" s="248"/>
      <c r="CC86" s="301"/>
      <c r="CD86" s="226">
        <v>6</v>
      </c>
      <c r="CE86" s="59">
        <f t="shared" si="501"/>
        <v>0</v>
      </c>
      <c r="CF86" s="254">
        <f t="shared" si="502"/>
        <v>96</v>
      </c>
      <c r="CG86" s="263">
        <f t="shared" si="503"/>
        <v>16</v>
      </c>
      <c r="CH86" s="248"/>
      <c r="CI86" s="301"/>
      <c r="CJ86" s="226">
        <v>6</v>
      </c>
      <c r="CK86" s="59">
        <f t="shared" si="504"/>
        <v>0</v>
      </c>
      <c r="CL86" s="254">
        <f t="shared" si="505"/>
        <v>96</v>
      </c>
      <c r="CM86" s="263">
        <f t="shared" si="506"/>
        <v>16</v>
      </c>
      <c r="CN86" s="248"/>
      <c r="CO86" s="301"/>
      <c r="CP86" s="226">
        <v>6</v>
      </c>
      <c r="CQ86" s="59">
        <f t="shared" si="507"/>
        <v>0</v>
      </c>
      <c r="CR86" s="254">
        <f t="shared" si="508"/>
        <v>96</v>
      </c>
      <c r="CS86" s="263">
        <f t="shared" si="509"/>
        <v>16</v>
      </c>
      <c r="CT86" s="248"/>
      <c r="CU86" s="305"/>
      <c r="CV86" s="244"/>
      <c r="CW86" s="307"/>
      <c r="CX86" s="226">
        <v>6</v>
      </c>
      <c r="CY86" s="59">
        <f t="shared" si="510"/>
        <v>0</v>
      </c>
      <c r="CZ86" s="254">
        <f t="shared" si="511"/>
        <v>96</v>
      </c>
      <c r="DA86" s="263">
        <f t="shared" si="512"/>
        <v>16</v>
      </c>
      <c r="DB86" s="248"/>
      <c r="DC86" s="301"/>
      <c r="DD86" s="226">
        <v>6</v>
      </c>
      <c r="DE86" s="59">
        <f t="shared" si="513"/>
        <v>0</v>
      </c>
      <c r="DF86" s="254">
        <f t="shared" si="514"/>
        <v>96</v>
      </c>
      <c r="DG86" s="263">
        <f t="shared" si="515"/>
        <v>16</v>
      </c>
      <c r="DH86" s="248"/>
      <c r="DI86" s="301"/>
      <c r="DJ86" s="226">
        <v>6</v>
      </c>
      <c r="DK86" s="59">
        <f t="shared" si="516"/>
        <v>0</v>
      </c>
      <c r="DL86" s="254">
        <f t="shared" si="517"/>
        <v>96</v>
      </c>
      <c r="DM86" s="263">
        <f t="shared" si="518"/>
        <v>16</v>
      </c>
      <c r="DN86" s="248"/>
      <c r="DO86" s="301"/>
      <c r="DP86" s="226">
        <v>6</v>
      </c>
      <c r="DQ86" s="59">
        <f t="shared" si="519"/>
        <v>0</v>
      </c>
      <c r="DR86" s="254">
        <f t="shared" si="520"/>
        <v>96</v>
      </c>
      <c r="DS86" s="263">
        <f t="shared" si="521"/>
        <v>16</v>
      </c>
      <c r="DT86" s="248"/>
      <c r="DU86" s="305"/>
      <c r="DV86" s="244"/>
      <c r="DW86" s="307"/>
      <c r="DX86" s="226">
        <v>6</v>
      </c>
      <c r="DY86" s="59">
        <f t="shared" si="522"/>
        <v>0</v>
      </c>
      <c r="DZ86" s="254">
        <f t="shared" si="523"/>
        <v>96</v>
      </c>
      <c r="EA86" s="263">
        <f t="shared" si="524"/>
        <v>16</v>
      </c>
      <c r="EB86" s="248"/>
      <c r="EC86" s="301"/>
      <c r="ED86" s="226">
        <v>6</v>
      </c>
      <c r="EE86" s="59">
        <f t="shared" si="525"/>
        <v>0</v>
      </c>
      <c r="EF86" s="254">
        <f t="shared" si="526"/>
        <v>96</v>
      </c>
      <c r="EG86" s="263">
        <f t="shared" si="527"/>
        <v>16</v>
      </c>
      <c r="EH86" s="248"/>
      <c r="EI86" s="301"/>
      <c r="EJ86" s="226">
        <v>6</v>
      </c>
      <c r="EK86" s="59">
        <f t="shared" si="528"/>
        <v>0</v>
      </c>
      <c r="EL86" s="254">
        <f t="shared" si="529"/>
        <v>96</v>
      </c>
      <c r="EM86" s="263">
        <f t="shared" si="530"/>
        <v>16</v>
      </c>
      <c r="EN86" s="248"/>
      <c r="EO86" s="305"/>
      <c r="EP86" s="244"/>
      <c r="EQ86" s="307"/>
      <c r="ER86" s="226">
        <v>6</v>
      </c>
      <c r="ES86" s="59">
        <f t="shared" si="531"/>
        <v>0</v>
      </c>
      <c r="ET86" s="254">
        <f t="shared" si="532"/>
        <v>96</v>
      </c>
      <c r="EU86" s="263">
        <f t="shared" si="533"/>
        <v>16</v>
      </c>
      <c r="EV86" s="248"/>
      <c r="EW86" s="301"/>
      <c r="EX86" s="226">
        <v>6</v>
      </c>
      <c r="EY86" s="59">
        <f t="shared" si="534"/>
        <v>0</v>
      </c>
      <c r="EZ86" s="254">
        <f t="shared" si="535"/>
        <v>96</v>
      </c>
      <c r="FA86" s="263">
        <f t="shared" si="536"/>
        <v>16</v>
      </c>
      <c r="FB86" s="248"/>
      <c r="FC86" s="301"/>
      <c r="FD86" s="226">
        <v>6</v>
      </c>
      <c r="FE86" s="59">
        <f t="shared" si="537"/>
        <v>0</v>
      </c>
      <c r="FF86" s="254">
        <f t="shared" si="538"/>
        <v>96</v>
      </c>
      <c r="FG86" s="263">
        <f t="shared" si="539"/>
        <v>16</v>
      </c>
      <c r="FH86" s="248"/>
      <c r="FI86" s="301"/>
      <c r="FJ86" s="226">
        <v>6</v>
      </c>
      <c r="FK86" s="59">
        <f t="shared" si="540"/>
        <v>0</v>
      </c>
      <c r="FL86" s="254">
        <f t="shared" si="541"/>
        <v>96</v>
      </c>
      <c r="FM86" s="263">
        <f t="shared" si="542"/>
        <v>16</v>
      </c>
      <c r="FN86" s="248"/>
      <c r="FO86" s="305"/>
      <c r="FP86" s="244"/>
    </row>
    <row r="87" spans="1:172" s="181" customFormat="1" ht="17" x14ac:dyDescent="0.45">
      <c r="A87" s="307"/>
      <c r="B87" s="226">
        <v>7</v>
      </c>
      <c r="C87" s="59">
        <v>0</v>
      </c>
      <c r="D87" s="254">
        <f t="shared" si="466"/>
        <v>96</v>
      </c>
      <c r="E87" s="263">
        <f t="shared" si="467"/>
        <v>29</v>
      </c>
      <c r="F87" s="252">
        <v>13</v>
      </c>
      <c r="G87" s="301"/>
      <c r="H87" s="252">
        <v>7</v>
      </c>
      <c r="I87" s="253">
        <f t="shared" si="468"/>
        <v>0</v>
      </c>
      <c r="J87" s="254">
        <f t="shared" si="469"/>
        <v>96</v>
      </c>
      <c r="K87" s="263">
        <f t="shared" si="470"/>
        <v>29</v>
      </c>
      <c r="L87" s="252"/>
      <c r="M87" s="305"/>
      <c r="N87" s="244"/>
      <c r="O87" s="307"/>
      <c r="P87" s="252">
        <v>7</v>
      </c>
      <c r="Q87" s="253">
        <f t="shared" si="471"/>
        <v>0</v>
      </c>
      <c r="R87" s="254">
        <f t="shared" si="472"/>
        <v>96</v>
      </c>
      <c r="S87" s="263">
        <f t="shared" si="473"/>
        <v>29</v>
      </c>
      <c r="T87" s="252">
        <v>7</v>
      </c>
      <c r="U87" s="301"/>
      <c r="V87" s="252">
        <v>7</v>
      </c>
      <c r="W87" s="253">
        <f t="shared" si="474"/>
        <v>0</v>
      </c>
      <c r="X87" s="254">
        <f t="shared" si="475"/>
        <v>96</v>
      </c>
      <c r="Y87" s="263">
        <f t="shared" si="476"/>
        <v>29</v>
      </c>
      <c r="Z87" s="252">
        <v>15</v>
      </c>
      <c r="AA87" s="301"/>
      <c r="AB87" s="252">
        <v>7</v>
      </c>
      <c r="AC87" s="253">
        <f t="shared" si="477"/>
        <v>0</v>
      </c>
      <c r="AD87" s="254">
        <f t="shared" si="478"/>
        <v>96</v>
      </c>
      <c r="AE87" s="263">
        <f t="shared" si="479"/>
        <v>29</v>
      </c>
      <c r="AF87" s="252">
        <v>21</v>
      </c>
      <c r="AG87" s="305"/>
      <c r="AH87" s="244"/>
      <c r="AI87" s="307"/>
      <c r="AJ87" s="252">
        <v>7</v>
      </c>
      <c r="AK87" s="253">
        <f t="shared" si="480"/>
        <v>0</v>
      </c>
      <c r="AL87" s="254">
        <f t="shared" si="481"/>
        <v>96</v>
      </c>
      <c r="AM87" s="263">
        <f t="shared" si="482"/>
        <v>29</v>
      </c>
      <c r="AN87" s="252"/>
      <c r="AO87" s="301"/>
      <c r="AP87" s="252">
        <v>7</v>
      </c>
      <c r="AQ87" s="253">
        <f t="shared" si="483"/>
        <v>0</v>
      </c>
      <c r="AR87" s="254">
        <f t="shared" si="484"/>
        <v>96</v>
      </c>
      <c r="AS87" s="263">
        <f t="shared" si="485"/>
        <v>29</v>
      </c>
      <c r="AT87" s="252"/>
      <c r="AU87" s="301"/>
      <c r="AV87" s="252">
        <v>7</v>
      </c>
      <c r="AW87" s="253">
        <f t="shared" si="486"/>
        <v>0</v>
      </c>
      <c r="AX87" s="254">
        <f t="shared" si="487"/>
        <v>96</v>
      </c>
      <c r="AY87" s="263">
        <f t="shared" si="488"/>
        <v>29</v>
      </c>
      <c r="AZ87" s="252">
        <v>25</v>
      </c>
      <c r="BA87" s="305"/>
      <c r="BB87" s="244"/>
      <c r="BC87" s="307"/>
      <c r="BD87" s="252">
        <v>7</v>
      </c>
      <c r="BE87" s="253">
        <f t="shared" si="489"/>
        <v>0</v>
      </c>
      <c r="BF87" s="254">
        <f t="shared" si="490"/>
        <v>96</v>
      </c>
      <c r="BG87" s="263">
        <f t="shared" si="491"/>
        <v>29</v>
      </c>
      <c r="BH87" s="252"/>
      <c r="BI87" s="301"/>
      <c r="BJ87" s="252">
        <v>7</v>
      </c>
      <c r="BK87" s="253">
        <f t="shared" si="492"/>
        <v>0</v>
      </c>
      <c r="BL87" s="254">
        <f t="shared" si="493"/>
        <v>96</v>
      </c>
      <c r="BM87" s="263">
        <f t="shared" si="494"/>
        <v>29</v>
      </c>
      <c r="BN87" s="252"/>
      <c r="BO87" s="301"/>
      <c r="BP87" s="252">
        <v>7</v>
      </c>
      <c r="BQ87" s="253">
        <f t="shared" si="495"/>
        <v>0</v>
      </c>
      <c r="BR87" s="254">
        <f t="shared" si="496"/>
        <v>96</v>
      </c>
      <c r="BS87" s="263">
        <f t="shared" si="497"/>
        <v>29</v>
      </c>
      <c r="BT87" s="252"/>
      <c r="BU87" s="305"/>
      <c r="BV87" s="244"/>
      <c r="BW87" s="307"/>
      <c r="BX87" s="252">
        <v>7</v>
      </c>
      <c r="BY87" s="253">
        <f t="shared" si="498"/>
        <v>0</v>
      </c>
      <c r="BZ87" s="254">
        <f t="shared" si="499"/>
        <v>96</v>
      </c>
      <c r="CA87" s="263">
        <f t="shared" si="500"/>
        <v>29</v>
      </c>
      <c r="CB87" s="252"/>
      <c r="CC87" s="301"/>
      <c r="CD87" s="252">
        <v>7</v>
      </c>
      <c r="CE87" s="253">
        <f t="shared" si="501"/>
        <v>0</v>
      </c>
      <c r="CF87" s="254">
        <f t="shared" si="502"/>
        <v>96</v>
      </c>
      <c r="CG87" s="263">
        <f t="shared" si="503"/>
        <v>29</v>
      </c>
      <c r="CH87" s="252"/>
      <c r="CI87" s="301"/>
      <c r="CJ87" s="252">
        <v>7</v>
      </c>
      <c r="CK87" s="253">
        <f t="shared" si="504"/>
        <v>0</v>
      </c>
      <c r="CL87" s="254">
        <f t="shared" si="505"/>
        <v>96</v>
      </c>
      <c r="CM87" s="263">
        <f t="shared" si="506"/>
        <v>29</v>
      </c>
      <c r="CN87" s="252"/>
      <c r="CO87" s="301"/>
      <c r="CP87" s="252">
        <v>7</v>
      </c>
      <c r="CQ87" s="253">
        <f t="shared" si="507"/>
        <v>0</v>
      </c>
      <c r="CR87" s="254">
        <f t="shared" si="508"/>
        <v>96</v>
      </c>
      <c r="CS87" s="263">
        <f t="shared" si="509"/>
        <v>29</v>
      </c>
      <c r="CT87" s="252"/>
      <c r="CU87" s="305"/>
      <c r="CV87" s="244"/>
      <c r="CW87" s="307"/>
      <c r="CX87" s="252">
        <v>7</v>
      </c>
      <c r="CY87" s="253">
        <f t="shared" si="510"/>
        <v>0</v>
      </c>
      <c r="CZ87" s="254">
        <f t="shared" si="511"/>
        <v>96</v>
      </c>
      <c r="DA87" s="263">
        <f t="shared" si="512"/>
        <v>29</v>
      </c>
      <c r="DB87" s="252"/>
      <c r="DC87" s="301"/>
      <c r="DD87" s="252">
        <v>7</v>
      </c>
      <c r="DE87" s="253">
        <f t="shared" si="513"/>
        <v>0</v>
      </c>
      <c r="DF87" s="254">
        <f t="shared" si="514"/>
        <v>96</v>
      </c>
      <c r="DG87" s="263">
        <f t="shared" si="515"/>
        <v>29</v>
      </c>
      <c r="DH87" s="252"/>
      <c r="DI87" s="301"/>
      <c r="DJ87" s="252">
        <v>7</v>
      </c>
      <c r="DK87" s="253">
        <f t="shared" si="516"/>
        <v>0</v>
      </c>
      <c r="DL87" s="254">
        <f t="shared" si="517"/>
        <v>96</v>
      </c>
      <c r="DM87" s="263">
        <f t="shared" si="518"/>
        <v>29</v>
      </c>
      <c r="DN87" s="252"/>
      <c r="DO87" s="301"/>
      <c r="DP87" s="252">
        <v>7</v>
      </c>
      <c r="DQ87" s="253">
        <f t="shared" si="519"/>
        <v>0</v>
      </c>
      <c r="DR87" s="254">
        <f t="shared" si="520"/>
        <v>96</v>
      </c>
      <c r="DS87" s="263">
        <f t="shared" si="521"/>
        <v>29</v>
      </c>
      <c r="DT87" s="252"/>
      <c r="DU87" s="305"/>
      <c r="DV87" s="244"/>
      <c r="DW87" s="307"/>
      <c r="DX87" s="252">
        <v>7</v>
      </c>
      <c r="DY87" s="253">
        <f t="shared" si="522"/>
        <v>0</v>
      </c>
      <c r="DZ87" s="254">
        <f t="shared" si="523"/>
        <v>96</v>
      </c>
      <c r="EA87" s="263">
        <f t="shared" si="524"/>
        <v>29</v>
      </c>
      <c r="EB87" s="252"/>
      <c r="EC87" s="301"/>
      <c r="ED87" s="252">
        <v>7</v>
      </c>
      <c r="EE87" s="253">
        <f t="shared" si="525"/>
        <v>0</v>
      </c>
      <c r="EF87" s="254">
        <f t="shared" si="526"/>
        <v>96</v>
      </c>
      <c r="EG87" s="263">
        <f t="shared" si="527"/>
        <v>29</v>
      </c>
      <c r="EH87" s="252"/>
      <c r="EI87" s="301"/>
      <c r="EJ87" s="252">
        <v>7</v>
      </c>
      <c r="EK87" s="253">
        <f t="shared" si="528"/>
        <v>0</v>
      </c>
      <c r="EL87" s="254">
        <f t="shared" si="529"/>
        <v>96</v>
      </c>
      <c r="EM87" s="263">
        <f t="shared" si="530"/>
        <v>29</v>
      </c>
      <c r="EN87" s="252"/>
      <c r="EO87" s="305"/>
      <c r="EP87" s="244"/>
      <c r="EQ87" s="307"/>
      <c r="ER87" s="252">
        <v>7</v>
      </c>
      <c r="ES87" s="253">
        <f t="shared" si="531"/>
        <v>0</v>
      </c>
      <c r="ET87" s="254">
        <f t="shared" si="532"/>
        <v>96</v>
      </c>
      <c r="EU87" s="263">
        <f t="shared" si="533"/>
        <v>29</v>
      </c>
      <c r="EV87" s="252"/>
      <c r="EW87" s="301"/>
      <c r="EX87" s="252">
        <v>7</v>
      </c>
      <c r="EY87" s="253">
        <f t="shared" si="534"/>
        <v>0</v>
      </c>
      <c r="EZ87" s="254">
        <f t="shared" si="535"/>
        <v>96</v>
      </c>
      <c r="FA87" s="263">
        <f t="shared" si="536"/>
        <v>29</v>
      </c>
      <c r="FB87" s="252"/>
      <c r="FC87" s="301"/>
      <c r="FD87" s="252">
        <v>7</v>
      </c>
      <c r="FE87" s="253">
        <f t="shared" si="537"/>
        <v>0</v>
      </c>
      <c r="FF87" s="254">
        <f t="shared" si="538"/>
        <v>96</v>
      </c>
      <c r="FG87" s="263">
        <f t="shared" si="539"/>
        <v>29</v>
      </c>
      <c r="FH87" s="252"/>
      <c r="FI87" s="301"/>
      <c r="FJ87" s="252">
        <v>7</v>
      </c>
      <c r="FK87" s="253">
        <f t="shared" si="540"/>
        <v>0</v>
      </c>
      <c r="FL87" s="254">
        <f t="shared" si="541"/>
        <v>96</v>
      </c>
      <c r="FM87" s="263">
        <f t="shared" si="542"/>
        <v>29</v>
      </c>
      <c r="FN87" s="252"/>
      <c r="FO87" s="305"/>
      <c r="FP87" s="244"/>
    </row>
    <row r="88" spans="1:172" ht="17.5" thickBot="1" x14ac:dyDescent="0.5">
      <c r="A88" s="309"/>
      <c r="B88" s="261">
        <v>8</v>
      </c>
      <c r="C88" s="59">
        <v>0</v>
      </c>
      <c r="D88" s="254">
        <f t="shared" si="466"/>
        <v>96</v>
      </c>
      <c r="E88" s="263">
        <f t="shared" si="467"/>
        <v>25</v>
      </c>
      <c r="F88" s="260"/>
      <c r="G88" s="302"/>
      <c r="H88" s="261">
        <v>8</v>
      </c>
      <c r="I88" s="59">
        <f t="shared" si="468"/>
        <v>0</v>
      </c>
      <c r="J88" s="254">
        <f t="shared" si="469"/>
        <v>96</v>
      </c>
      <c r="K88" s="263">
        <f t="shared" si="470"/>
        <v>25</v>
      </c>
      <c r="L88" s="260"/>
      <c r="M88" s="305"/>
      <c r="N88" s="244"/>
      <c r="O88" s="309"/>
      <c r="P88" s="261">
        <v>8</v>
      </c>
      <c r="Q88" s="59">
        <f t="shared" si="471"/>
        <v>0</v>
      </c>
      <c r="R88" s="254">
        <f t="shared" si="472"/>
        <v>96</v>
      </c>
      <c r="S88" s="263">
        <f t="shared" si="473"/>
        <v>25</v>
      </c>
      <c r="T88" s="260"/>
      <c r="U88" s="302"/>
      <c r="V88" s="261">
        <v>8</v>
      </c>
      <c r="W88" s="59">
        <f t="shared" si="474"/>
        <v>0</v>
      </c>
      <c r="X88" s="254">
        <f t="shared" si="475"/>
        <v>96</v>
      </c>
      <c r="Y88" s="263">
        <f t="shared" si="476"/>
        <v>25</v>
      </c>
      <c r="Z88" s="260"/>
      <c r="AA88" s="302"/>
      <c r="AB88" s="261">
        <v>8</v>
      </c>
      <c r="AC88" s="59">
        <f t="shared" si="477"/>
        <v>0</v>
      </c>
      <c r="AD88" s="254">
        <f t="shared" si="478"/>
        <v>96</v>
      </c>
      <c r="AE88" s="263">
        <f t="shared" si="479"/>
        <v>25</v>
      </c>
      <c r="AF88" s="260"/>
      <c r="AG88" s="305"/>
      <c r="AH88" s="244"/>
      <c r="AI88" s="309"/>
      <c r="AJ88" s="261">
        <v>8</v>
      </c>
      <c r="AK88" s="59">
        <f t="shared" si="480"/>
        <v>0</v>
      </c>
      <c r="AL88" s="254">
        <f t="shared" si="481"/>
        <v>96</v>
      </c>
      <c r="AM88" s="263">
        <f t="shared" si="482"/>
        <v>25</v>
      </c>
      <c r="AN88" s="260"/>
      <c r="AO88" s="302"/>
      <c r="AP88" s="261">
        <v>8</v>
      </c>
      <c r="AQ88" s="59">
        <f t="shared" si="483"/>
        <v>0</v>
      </c>
      <c r="AR88" s="254">
        <f t="shared" si="484"/>
        <v>96</v>
      </c>
      <c r="AS88" s="263">
        <f t="shared" si="485"/>
        <v>25</v>
      </c>
      <c r="AT88" s="260"/>
      <c r="AU88" s="302"/>
      <c r="AV88" s="261">
        <v>8</v>
      </c>
      <c r="AW88" s="59">
        <f t="shared" si="486"/>
        <v>0</v>
      </c>
      <c r="AX88" s="254">
        <f t="shared" si="487"/>
        <v>96</v>
      </c>
      <c r="AY88" s="263">
        <f t="shared" si="488"/>
        <v>25</v>
      </c>
      <c r="AZ88" s="260"/>
      <c r="BA88" s="305"/>
      <c r="BB88" s="244"/>
      <c r="BC88" s="309"/>
      <c r="BD88" s="261">
        <v>8</v>
      </c>
      <c r="BE88" s="59">
        <f t="shared" si="489"/>
        <v>0</v>
      </c>
      <c r="BF88" s="254">
        <f t="shared" si="490"/>
        <v>96</v>
      </c>
      <c r="BG88" s="263">
        <f t="shared" si="491"/>
        <v>25</v>
      </c>
      <c r="BH88" s="260"/>
      <c r="BI88" s="302"/>
      <c r="BJ88" s="261">
        <v>8</v>
      </c>
      <c r="BK88" s="59">
        <f t="shared" si="492"/>
        <v>0</v>
      </c>
      <c r="BL88" s="254">
        <f t="shared" si="493"/>
        <v>96</v>
      </c>
      <c r="BM88" s="263">
        <f t="shared" si="494"/>
        <v>25</v>
      </c>
      <c r="BN88" s="260"/>
      <c r="BO88" s="302"/>
      <c r="BP88" s="261">
        <v>8</v>
      </c>
      <c r="BQ88" s="59">
        <f t="shared" si="495"/>
        <v>0</v>
      </c>
      <c r="BR88" s="254">
        <f t="shared" si="496"/>
        <v>96</v>
      </c>
      <c r="BS88" s="263">
        <f t="shared" si="497"/>
        <v>25</v>
      </c>
      <c r="BT88" s="260"/>
      <c r="BU88" s="305"/>
      <c r="BV88" s="244"/>
      <c r="BW88" s="309"/>
      <c r="BX88" s="261">
        <v>8</v>
      </c>
      <c r="BY88" s="59">
        <f t="shared" si="498"/>
        <v>0</v>
      </c>
      <c r="BZ88" s="254">
        <f t="shared" si="499"/>
        <v>96</v>
      </c>
      <c r="CA88" s="263">
        <f t="shared" si="500"/>
        <v>25</v>
      </c>
      <c r="CB88" s="260"/>
      <c r="CC88" s="302"/>
      <c r="CD88" s="261">
        <v>8</v>
      </c>
      <c r="CE88" s="59">
        <f t="shared" si="501"/>
        <v>0</v>
      </c>
      <c r="CF88" s="254">
        <f t="shared" si="502"/>
        <v>96</v>
      </c>
      <c r="CG88" s="263">
        <f t="shared" si="503"/>
        <v>25</v>
      </c>
      <c r="CH88" s="260"/>
      <c r="CI88" s="302"/>
      <c r="CJ88" s="261">
        <v>8</v>
      </c>
      <c r="CK88" s="59">
        <f t="shared" si="504"/>
        <v>0</v>
      </c>
      <c r="CL88" s="254">
        <f t="shared" si="505"/>
        <v>96</v>
      </c>
      <c r="CM88" s="263">
        <f t="shared" si="506"/>
        <v>25</v>
      </c>
      <c r="CN88" s="260"/>
      <c r="CO88" s="302"/>
      <c r="CP88" s="261">
        <v>8</v>
      </c>
      <c r="CQ88" s="59">
        <f t="shared" si="507"/>
        <v>0</v>
      </c>
      <c r="CR88" s="254">
        <f t="shared" si="508"/>
        <v>96</v>
      </c>
      <c r="CS88" s="263">
        <f t="shared" si="509"/>
        <v>25</v>
      </c>
      <c r="CT88" s="260"/>
      <c r="CU88" s="305"/>
      <c r="CV88" s="244"/>
      <c r="CW88" s="309"/>
      <c r="CX88" s="261">
        <v>8</v>
      </c>
      <c r="CY88" s="59">
        <f t="shared" si="510"/>
        <v>0</v>
      </c>
      <c r="CZ88" s="254">
        <f t="shared" si="511"/>
        <v>96</v>
      </c>
      <c r="DA88" s="263">
        <f t="shared" si="512"/>
        <v>25</v>
      </c>
      <c r="DB88" s="260"/>
      <c r="DC88" s="302"/>
      <c r="DD88" s="261">
        <v>8</v>
      </c>
      <c r="DE88" s="59">
        <f t="shared" si="513"/>
        <v>0</v>
      </c>
      <c r="DF88" s="254">
        <f t="shared" si="514"/>
        <v>96</v>
      </c>
      <c r="DG88" s="263">
        <f t="shared" si="515"/>
        <v>25</v>
      </c>
      <c r="DH88" s="260"/>
      <c r="DI88" s="302"/>
      <c r="DJ88" s="261">
        <v>8</v>
      </c>
      <c r="DK88" s="59">
        <f t="shared" si="516"/>
        <v>0</v>
      </c>
      <c r="DL88" s="254">
        <f t="shared" si="517"/>
        <v>96</v>
      </c>
      <c r="DM88" s="263">
        <f t="shared" si="518"/>
        <v>25</v>
      </c>
      <c r="DN88" s="260"/>
      <c r="DO88" s="302"/>
      <c r="DP88" s="261">
        <v>8</v>
      </c>
      <c r="DQ88" s="59">
        <f t="shared" si="519"/>
        <v>0</v>
      </c>
      <c r="DR88" s="254">
        <f t="shared" si="520"/>
        <v>96</v>
      </c>
      <c r="DS88" s="263">
        <f t="shared" si="521"/>
        <v>25</v>
      </c>
      <c r="DT88" s="260"/>
      <c r="DU88" s="305"/>
      <c r="DV88" s="244"/>
      <c r="DW88" s="309"/>
      <c r="DX88" s="261">
        <v>8</v>
      </c>
      <c r="DY88" s="59">
        <f t="shared" si="522"/>
        <v>0</v>
      </c>
      <c r="DZ88" s="254">
        <f t="shared" si="523"/>
        <v>96</v>
      </c>
      <c r="EA88" s="263">
        <f t="shared" si="524"/>
        <v>25</v>
      </c>
      <c r="EB88" s="260"/>
      <c r="EC88" s="302"/>
      <c r="ED88" s="261">
        <v>8</v>
      </c>
      <c r="EE88" s="59">
        <f t="shared" si="525"/>
        <v>0</v>
      </c>
      <c r="EF88" s="254">
        <f t="shared" si="526"/>
        <v>96</v>
      </c>
      <c r="EG88" s="263">
        <f t="shared" si="527"/>
        <v>25</v>
      </c>
      <c r="EH88" s="260"/>
      <c r="EI88" s="302"/>
      <c r="EJ88" s="261">
        <v>8</v>
      </c>
      <c r="EK88" s="59">
        <f t="shared" si="528"/>
        <v>0</v>
      </c>
      <c r="EL88" s="254">
        <f t="shared" si="529"/>
        <v>96</v>
      </c>
      <c r="EM88" s="263">
        <f t="shared" si="530"/>
        <v>25</v>
      </c>
      <c r="EN88" s="260"/>
      <c r="EO88" s="305"/>
      <c r="EP88" s="244"/>
      <c r="EQ88" s="309"/>
      <c r="ER88" s="261">
        <v>8</v>
      </c>
      <c r="ES88" s="59">
        <f t="shared" si="531"/>
        <v>0</v>
      </c>
      <c r="ET88" s="254">
        <f t="shared" si="532"/>
        <v>96</v>
      </c>
      <c r="EU88" s="263">
        <f t="shared" si="533"/>
        <v>25</v>
      </c>
      <c r="EV88" s="260"/>
      <c r="EW88" s="302"/>
      <c r="EX88" s="261">
        <v>8</v>
      </c>
      <c r="EY88" s="59">
        <f t="shared" si="534"/>
        <v>0</v>
      </c>
      <c r="EZ88" s="254">
        <f t="shared" si="535"/>
        <v>96</v>
      </c>
      <c r="FA88" s="263">
        <f t="shared" si="536"/>
        <v>25</v>
      </c>
      <c r="FB88" s="260"/>
      <c r="FC88" s="302"/>
      <c r="FD88" s="261">
        <v>8</v>
      </c>
      <c r="FE88" s="59">
        <f t="shared" si="537"/>
        <v>0</v>
      </c>
      <c r="FF88" s="254">
        <f t="shared" si="538"/>
        <v>96</v>
      </c>
      <c r="FG88" s="263">
        <f t="shared" si="539"/>
        <v>25</v>
      </c>
      <c r="FH88" s="260"/>
      <c r="FI88" s="302"/>
      <c r="FJ88" s="261">
        <v>8</v>
      </c>
      <c r="FK88" s="59">
        <f t="shared" si="540"/>
        <v>0</v>
      </c>
      <c r="FL88" s="254">
        <f t="shared" si="541"/>
        <v>96</v>
      </c>
      <c r="FM88" s="263">
        <f t="shared" si="542"/>
        <v>25</v>
      </c>
      <c r="FN88" s="260"/>
      <c r="FO88" s="305"/>
      <c r="FP88" s="244"/>
    </row>
    <row r="89" spans="1:172" ht="17" x14ac:dyDescent="0.45">
      <c r="A89" s="306">
        <v>8</v>
      </c>
      <c r="B89" s="265">
        <f>U13</f>
        <v>15</v>
      </c>
      <c r="C89" s="206" t="s">
        <v>154</v>
      </c>
      <c r="D89" s="206" t="s">
        <v>158</v>
      </c>
      <c r="E89" s="242" t="s">
        <v>152</v>
      </c>
      <c r="F89" s="262"/>
      <c r="G89" s="300">
        <v>8</v>
      </c>
      <c r="H89" s="245"/>
      <c r="I89" s="206" t="s">
        <v>154</v>
      </c>
      <c r="J89" s="206" t="s">
        <v>158</v>
      </c>
      <c r="K89" s="242" t="s">
        <v>152</v>
      </c>
      <c r="L89" s="262"/>
      <c r="M89" s="305">
        <f>IF(COUNT(#REF!,F90:F98,L90:L98) &gt;0, COUNT(#REF!,F90:F98,L90:L98) /2,"")</f>
        <v>1</v>
      </c>
      <c r="N89" s="244"/>
      <c r="O89" s="306">
        <v>8</v>
      </c>
      <c r="P89" s="245"/>
      <c r="Q89" s="206" t="s">
        <v>154</v>
      </c>
      <c r="R89" s="206" t="s">
        <v>158</v>
      </c>
      <c r="S89" s="242" t="s">
        <v>152</v>
      </c>
      <c r="T89" s="262"/>
      <c r="U89" s="300">
        <v>8</v>
      </c>
      <c r="V89" s="245"/>
      <c r="W89" s="206" t="s">
        <v>154</v>
      </c>
      <c r="X89" s="206" t="s">
        <v>158</v>
      </c>
      <c r="Y89" s="242" t="s">
        <v>152</v>
      </c>
      <c r="Z89" s="262"/>
      <c r="AA89" s="300">
        <v>8</v>
      </c>
      <c r="AB89" s="245"/>
      <c r="AC89" s="206" t="s">
        <v>154</v>
      </c>
      <c r="AD89" s="206" t="s">
        <v>158</v>
      </c>
      <c r="AE89" s="242" t="s">
        <v>152</v>
      </c>
      <c r="AF89" s="262"/>
      <c r="AG89" s="305">
        <f>IF(COUNT(N90:N98,T90:T98,Z90:Z98,AF90:AF98) &gt;0, COUNT(N90:N98,T90:T98,Z90:Z98,AF90:AF98) /2,"")</f>
        <v>1</v>
      </c>
      <c r="AH89" s="244"/>
      <c r="AI89" s="306">
        <v>8</v>
      </c>
      <c r="AJ89" s="245"/>
      <c r="AK89" s="206" t="s">
        <v>154</v>
      </c>
      <c r="AL89" s="206" t="s">
        <v>158</v>
      </c>
      <c r="AM89" s="242" t="s">
        <v>152</v>
      </c>
      <c r="AN89" s="262"/>
      <c r="AO89" s="300">
        <v>8</v>
      </c>
      <c r="AP89" s="245"/>
      <c r="AQ89" s="206" t="s">
        <v>154</v>
      </c>
      <c r="AR89" s="206" t="s">
        <v>158</v>
      </c>
      <c r="AS89" s="242" t="s">
        <v>152</v>
      </c>
      <c r="AT89" s="262"/>
      <c r="AU89" s="300">
        <v>8</v>
      </c>
      <c r="AV89" s="245"/>
      <c r="AW89" s="206" t="s">
        <v>154</v>
      </c>
      <c r="AX89" s="206" t="s">
        <v>158</v>
      </c>
      <c r="AY89" s="242" t="s">
        <v>152</v>
      </c>
      <c r="AZ89" s="262"/>
      <c r="BA89" s="305">
        <f>IF(COUNT(AN90:AN98,AT90:AT98,AZ90:AZ98) &gt;0, COUNT(AN90:AN98,AT90:AT98,AZ90:AZ98) /2,"")</f>
        <v>1</v>
      </c>
      <c r="BB89" s="244"/>
      <c r="BC89" s="306">
        <v>8</v>
      </c>
      <c r="BD89" s="245"/>
      <c r="BE89" s="206" t="s">
        <v>154</v>
      </c>
      <c r="BF89" s="206" t="s">
        <v>158</v>
      </c>
      <c r="BG89" s="242" t="s">
        <v>152</v>
      </c>
      <c r="BH89" s="262"/>
      <c r="BI89" s="300">
        <v>8</v>
      </c>
      <c r="BJ89" s="245"/>
      <c r="BK89" s="206" t="s">
        <v>154</v>
      </c>
      <c r="BL89" s="206" t="s">
        <v>158</v>
      </c>
      <c r="BM89" s="242" t="s">
        <v>152</v>
      </c>
      <c r="BN89" s="262"/>
      <c r="BO89" s="300">
        <v>8</v>
      </c>
      <c r="BP89" s="245"/>
      <c r="BQ89" s="206" t="s">
        <v>154</v>
      </c>
      <c r="BR89" s="206" t="s">
        <v>158</v>
      </c>
      <c r="BS89" s="242" t="s">
        <v>152</v>
      </c>
      <c r="BT89" s="262"/>
      <c r="BU89" s="305">
        <f>IF(COUNT(BH90:BH98,BN90:BN98,BT90:BT98) &gt;0, COUNT(BH90:BH98,BN90:BN98,BT90:BT98) /2,"")</f>
        <v>2</v>
      </c>
      <c r="BV89" s="244"/>
      <c r="BW89" s="306">
        <v>8</v>
      </c>
      <c r="BX89" s="245"/>
      <c r="BY89" s="206" t="s">
        <v>154</v>
      </c>
      <c r="BZ89" s="206" t="s">
        <v>158</v>
      </c>
      <c r="CA89" s="242" t="s">
        <v>152</v>
      </c>
      <c r="CB89" s="262"/>
      <c r="CC89" s="300">
        <v>8</v>
      </c>
      <c r="CD89" s="245"/>
      <c r="CE89" s="206" t="s">
        <v>154</v>
      </c>
      <c r="CF89" s="206" t="s">
        <v>158</v>
      </c>
      <c r="CG89" s="242" t="s">
        <v>152</v>
      </c>
      <c r="CH89" s="262"/>
      <c r="CI89" s="300">
        <v>8</v>
      </c>
      <c r="CJ89" s="245"/>
      <c r="CK89" s="206" t="s">
        <v>154</v>
      </c>
      <c r="CL89" s="206" t="s">
        <v>158</v>
      </c>
      <c r="CM89" s="242" t="s">
        <v>152</v>
      </c>
      <c r="CN89" s="262"/>
      <c r="CO89" s="300">
        <v>8</v>
      </c>
      <c r="CP89" s="245"/>
      <c r="CQ89" s="206" t="s">
        <v>154</v>
      </c>
      <c r="CR89" s="206" t="s">
        <v>158</v>
      </c>
      <c r="CS89" s="242" t="s">
        <v>152</v>
      </c>
      <c r="CT89" s="262"/>
      <c r="CU89" s="305" t="str">
        <f>IF(COUNT(CB90:CB98,CH90:CH98,CN90:CN98,CT90:CT98) &gt;0, COUNT(CB90:CB98,CH90:CH98,CN90:CN98,CT90:CT98) /2,"")</f>
        <v/>
      </c>
      <c r="CV89" s="244"/>
      <c r="CW89" s="306">
        <v>8</v>
      </c>
      <c r="CX89" s="245"/>
      <c r="CY89" s="206" t="s">
        <v>154</v>
      </c>
      <c r="CZ89" s="206" t="s">
        <v>158</v>
      </c>
      <c r="DA89" s="242" t="s">
        <v>152</v>
      </c>
      <c r="DB89" s="262"/>
      <c r="DC89" s="300">
        <v>8</v>
      </c>
      <c r="DD89" s="245"/>
      <c r="DE89" s="206" t="s">
        <v>154</v>
      </c>
      <c r="DF89" s="206" t="s">
        <v>158</v>
      </c>
      <c r="DG89" s="242" t="s">
        <v>152</v>
      </c>
      <c r="DH89" s="262"/>
      <c r="DI89" s="300">
        <v>8</v>
      </c>
      <c r="DJ89" s="245"/>
      <c r="DK89" s="206" t="s">
        <v>154</v>
      </c>
      <c r="DL89" s="206" t="s">
        <v>158</v>
      </c>
      <c r="DM89" s="242" t="s">
        <v>152</v>
      </c>
      <c r="DN89" s="262"/>
      <c r="DO89" s="300">
        <v>8</v>
      </c>
      <c r="DP89" s="245"/>
      <c r="DQ89" s="206" t="s">
        <v>154</v>
      </c>
      <c r="DR89" s="206" t="s">
        <v>158</v>
      </c>
      <c r="DS89" s="242" t="s">
        <v>152</v>
      </c>
      <c r="DT89" s="262"/>
      <c r="DU89" s="305" t="str">
        <f>IF(COUNT(DB90:DB98,DH90:DH98,DN90:DN98,DT90:DT98) &gt;0, COUNT(DB90:DB98,DH90:DH98,DN90:DN98,DT90:DT98) /2,"")</f>
        <v/>
      </c>
      <c r="DV89" s="244"/>
      <c r="DW89" s="306">
        <v>8</v>
      </c>
      <c r="DX89" s="245"/>
      <c r="DY89" s="206" t="s">
        <v>154</v>
      </c>
      <c r="DZ89" s="206" t="s">
        <v>158</v>
      </c>
      <c r="EA89" s="242" t="s">
        <v>152</v>
      </c>
      <c r="EB89" s="262"/>
      <c r="EC89" s="300">
        <v>8</v>
      </c>
      <c r="ED89" s="245"/>
      <c r="EE89" s="206" t="s">
        <v>154</v>
      </c>
      <c r="EF89" s="206" t="s">
        <v>158</v>
      </c>
      <c r="EG89" s="242" t="s">
        <v>152</v>
      </c>
      <c r="EH89" s="262"/>
      <c r="EI89" s="300">
        <v>8</v>
      </c>
      <c r="EJ89" s="245"/>
      <c r="EK89" s="206" t="s">
        <v>154</v>
      </c>
      <c r="EL89" s="206" t="s">
        <v>158</v>
      </c>
      <c r="EM89" s="242" t="s">
        <v>152</v>
      </c>
      <c r="EN89" s="262"/>
      <c r="EO89" s="305" t="str">
        <f>IF(COUNT(EB90:EB98,EH90:EH98,EN90:EN98) &gt;0, COUNT(EB90:EB98,EH90:EH98,EN90:EN98) /2,"")</f>
        <v/>
      </c>
      <c r="EP89" s="244"/>
      <c r="EQ89" s="306">
        <v>8</v>
      </c>
      <c r="ER89" s="245"/>
      <c r="ES89" s="206" t="s">
        <v>154</v>
      </c>
      <c r="ET89" s="206" t="s">
        <v>158</v>
      </c>
      <c r="EU89" s="242" t="s">
        <v>152</v>
      </c>
      <c r="EV89" s="262"/>
      <c r="EW89" s="300">
        <v>8</v>
      </c>
      <c r="EX89" s="245"/>
      <c r="EY89" s="206" t="s">
        <v>154</v>
      </c>
      <c r="EZ89" s="206" t="s">
        <v>158</v>
      </c>
      <c r="FA89" s="242" t="s">
        <v>152</v>
      </c>
      <c r="FB89" s="262"/>
      <c r="FC89" s="300">
        <v>8</v>
      </c>
      <c r="FD89" s="245"/>
      <c r="FE89" s="206" t="s">
        <v>154</v>
      </c>
      <c r="FF89" s="206" t="s">
        <v>158</v>
      </c>
      <c r="FG89" s="242" t="s">
        <v>152</v>
      </c>
      <c r="FH89" s="262"/>
      <c r="FI89" s="300">
        <v>8</v>
      </c>
      <c r="FJ89" s="245"/>
      <c r="FK89" s="206" t="s">
        <v>154</v>
      </c>
      <c r="FL89" s="206" t="s">
        <v>158</v>
      </c>
      <c r="FM89" s="242" t="s">
        <v>152</v>
      </c>
      <c r="FN89" s="262"/>
      <c r="FO89" s="305" t="str">
        <f>IF(COUNT(EV90:EV98,FB90:FB98,FH90:FH98,FN90:FN98) &gt;0, COUNT(EV90:EV98,FB90:FB98,FH90:FH98,FN90:FN98) /2,"")</f>
        <v/>
      </c>
      <c r="FP89" s="244"/>
    </row>
    <row r="90" spans="1:172" ht="27.75" customHeight="1" x14ac:dyDescent="0.45">
      <c r="A90" s="307"/>
      <c r="B90" s="249" t="s">
        <v>162</v>
      </c>
      <c r="C90" s="41" t="s">
        <v>156</v>
      </c>
      <c r="D90" s="41" t="s">
        <v>175</v>
      </c>
      <c r="E90" s="249" t="s">
        <v>174</v>
      </c>
      <c r="F90" s="250"/>
      <c r="G90" s="301"/>
      <c r="H90" s="249" t="s">
        <v>162</v>
      </c>
      <c r="I90" s="59" t="s">
        <v>155</v>
      </c>
      <c r="J90" s="41" t="s">
        <v>175</v>
      </c>
      <c r="K90" s="249" t="s">
        <v>174</v>
      </c>
      <c r="L90" s="250"/>
      <c r="M90" s="305"/>
      <c r="N90" s="244"/>
      <c r="O90" s="307"/>
      <c r="P90" s="249" t="s">
        <v>162</v>
      </c>
      <c r="Q90" s="59" t="s">
        <v>155</v>
      </c>
      <c r="R90" s="41" t="s">
        <v>175</v>
      </c>
      <c r="S90" s="249" t="s">
        <v>174</v>
      </c>
      <c r="T90" s="250"/>
      <c r="U90" s="301"/>
      <c r="V90" s="249" t="s">
        <v>162</v>
      </c>
      <c r="W90" s="59" t="s">
        <v>155</v>
      </c>
      <c r="X90" s="41" t="s">
        <v>175</v>
      </c>
      <c r="Y90" s="249" t="s">
        <v>174</v>
      </c>
      <c r="Z90" s="250"/>
      <c r="AA90" s="301"/>
      <c r="AB90" s="249" t="s">
        <v>162</v>
      </c>
      <c r="AC90" s="59" t="s">
        <v>155</v>
      </c>
      <c r="AD90" s="41" t="s">
        <v>175</v>
      </c>
      <c r="AE90" s="249" t="s">
        <v>174</v>
      </c>
      <c r="AF90" s="250"/>
      <c r="AG90" s="305"/>
      <c r="AH90" s="244"/>
      <c r="AI90" s="307"/>
      <c r="AJ90" s="249" t="s">
        <v>162</v>
      </c>
      <c r="AK90" s="59" t="s">
        <v>155</v>
      </c>
      <c r="AL90" s="41" t="s">
        <v>175</v>
      </c>
      <c r="AM90" s="249" t="s">
        <v>174</v>
      </c>
      <c r="AN90" s="250"/>
      <c r="AO90" s="301"/>
      <c r="AP90" s="249" t="s">
        <v>162</v>
      </c>
      <c r="AQ90" s="59" t="s">
        <v>155</v>
      </c>
      <c r="AR90" s="41" t="s">
        <v>175</v>
      </c>
      <c r="AS90" s="249" t="s">
        <v>174</v>
      </c>
      <c r="AT90" s="250"/>
      <c r="AU90" s="301"/>
      <c r="AV90" s="249" t="s">
        <v>162</v>
      </c>
      <c r="AW90" s="59" t="s">
        <v>155</v>
      </c>
      <c r="AX90" s="41" t="s">
        <v>175</v>
      </c>
      <c r="AY90" s="249" t="s">
        <v>174</v>
      </c>
      <c r="AZ90" s="250"/>
      <c r="BA90" s="305"/>
      <c r="BB90" s="244"/>
      <c r="BC90" s="307"/>
      <c r="BD90" s="249" t="s">
        <v>162</v>
      </c>
      <c r="BE90" s="59" t="s">
        <v>155</v>
      </c>
      <c r="BF90" s="41" t="s">
        <v>175</v>
      </c>
      <c r="BG90" s="249" t="s">
        <v>174</v>
      </c>
      <c r="BH90" s="250"/>
      <c r="BI90" s="301"/>
      <c r="BJ90" s="249" t="s">
        <v>162</v>
      </c>
      <c r="BK90" s="59" t="s">
        <v>155</v>
      </c>
      <c r="BL90" s="41" t="s">
        <v>175</v>
      </c>
      <c r="BM90" s="249" t="s">
        <v>174</v>
      </c>
      <c r="BN90" s="250"/>
      <c r="BO90" s="301"/>
      <c r="BP90" s="249" t="s">
        <v>162</v>
      </c>
      <c r="BQ90" s="59" t="s">
        <v>155</v>
      </c>
      <c r="BR90" s="41" t="s">
        <v>175</v>
      </c>
      <c r="BS90" s="249" t="s">
        <v>174</v>
      </c>
      <c r="BT90" s="250"/>
      <c r="BU90" s="305"/>
      <c r="BV90" s="244"/>
      <c r="BW90" s="307"/>
      <c r="BX90" s="249" t="s">
        <v>162</v>
      </c>
      <c r="BY90" s="59" t="s">
        <v>155</v>
      </c>
      <c r="BZ90" s="41" t="s">
        <v>175</v>
      </c>
      <c r="CA90" s="249" t="s">
        <v>174</v>
      </c>
      <c r="CB90" s="250"/>
      <c r="CC90" s="301"/>
      <c r="CD90" s="249" t="s">
        <v>162</v>
      </c>
      <c r="CE90" s="59" t="s">
        <v>155</v>
      </c>
      <c r="CF90" s="41" t="s">
        <v>175</v>
      </c>
      <c r="CG90" s="249" t="s">
        <v>174</v>
      </c>
      <c r="CH90" s="250"/>
      <c r="CI90" s="301"/>
      <c r="CJ90" s="249" t="s">
        <v>162</v>
      </c>
      <c r="CK90" s="59" t="s">
        <v>155</v>
      </c>
      <c r="CL90" s="41" t="s">
        <v>175</v>
      </c>
      <c r="CM90" s="249" t="s">
        <v>174</v>
      </c>
      <c r="CN90" s="250"/>
      <c r="CO90" s="301"/>
      <c r="CP90" s="249" t="s">
        <v>162</v>
      </c>
      <c r="CQ90" s="59" t="s">
        <v>155</v>
      </c>
      <c r="CR90" s="41" t="s">
        <v>175</v>
      </c>
      <c r="CS90" s="249" t="s">
        <v>174</v>
      </c>
      <c r="CT90" s="250"/>
      <c r="CU90" s="305"/>
      <c r="CV90" s="244"/>
      <c r="CW90" s="307"/>
      <c r="CX90" s="249" t="s">
        <v>162</v>
      </c>
      <c r="CY90" s="59" t="s">
        <v>155</v>
      </c>
      <c r="CZ90" s="41" t="s">
        <v>175</v>
      </c>
      <c r="DA90" s="249" t="s">
        <v>174</v>
      </c>
      <c r="DB90" s="250"/>
      <c r="DC90" s="301"/>
      <c r="DD90" s="249" t="s">
        <v>162</v>
      </c>
      <c r="DE90" s="59" t="s">
        <v>155</v>
      </c>
      <c r="DF90" s="41" t="s">
        <v>175</v>
      </c>
      <c r="DG90" s="249" t="s">
        <v>174</v>
      </c>
      <c r="DH90" s="250"/>
      <c r="DI90" s="301"/>
      <c r="DJ90" s="249" t="s">
        <v>162</v>
      </c>
      <c r="DK90" s="59" t="s">
        <v>155</v>
      </c>
      <c r="DL90" s="41" t="s">
        <v>175</v>
      </c>
      <c r="DM90" s="249" t="s">
        <v>174</v>
      </c>
      <c r="DN90" s="250"/>
      <c r="DO90" s="301"/>
      <c r="DP90" s="249" t="s">
        <v>162</v>
      </c>
      <c r="DQ90" s="59" t="s">
        <v>155</v>
      </c>
      <c r="DR90" s="41" t="s">
        <v>175</v>
      </c>
      <c r="DS90" s="249" t="s">
        <v>174</v>
      </c>
      <c r="DT90" s="250"/>
      <c r="DU90" s="305"/>
      <c r="DV90" s="244"/>
      <c r="DW90" s="307"/>
      <c r="DX90" s="249" t="s">
        <v>162</v>
      </c>
      <c r="DY90" s="59" t="s">
        <v>155</v>
      </c>
      <c r="DZ90" s="41" t="s">
        <v>175</v>
      </c>
      <c r="EA90" s="249" t="s">
        <v>174</v>
      </c>
      <c r="EB90" s="250"/>
      <c r="EC90" s="301"/>
      <c r="ED90" s="249" t="s">
        <v>162</v>
      </c>
      <c r="EE90" s="59" t="s">
        <v>155</v>
      </c>
      <c r="EF90" s="41" t="s">
        <v>175</v>
      </c>
      <c r="EG90" s="249" t="s">
        <v>174</v>
      </c>
      <c r="EH90" s="250"/>
      <c r="EI90" s="301"/>
      <c r="EJ90" s="249" t="s">
        <v>162</v>
      </c>
      <c r="EK90" s="59" t="s">
        <v>155</v>
      </c>
      <c r="EL90" s="41" t="s">
        <v>175</v>
      </c>
      <c r="EM90" s="249" t="s">
        <v>174</v>
      </c>
      <c r="EN90" s="250"/>
      <c r="EO90" s="305"/>
      <c r="EP90" s="244"/>
      <c r="EQ90" s="307"/>
      <c r="ER90" s="249" t="s">
        <v>162</v>
      </c>
      <c r="ES90" s="59" t="s">
        <v>155</v>
      </c>
      <c r="ET90" s="41" t="s">
        <v>175</v>
      </c>
      <c r="EU90" s="249" t="s">
        <v>174</v>
      </c>
      <c r="EV90" s="250"/>
      <c r="EW90" s="301"/>
      <c r="EX90" s="249" t="s">
        <v>162</v>
      </c>
      <c r="EY90" s="59" t="s">
        <v>155</v>
      </c>
      <c r="EZ90" s="41" t="s">
        <v>175</v>
      </c>
      <c r="FA90" s="249" t="s">
        <v>174</v>
      </c>
      <c r="FB90" s="250"/>
      <c r="FC90" s="301"/>
      <c r="FD90" s="249" t="s">
        <v>162</v>
      </c>
      <c r="FE90" s="59" t="s">
        <v>155</v>
      </c>
      <c r="FF90" s="41" t="s">
        <v>175</v>
      </c>
      <c r="FG90" s="249" t="s">
        <v>174</v>
      </c>
      <c r="FH90" s="250"/>
      <c r="FI90" s="301"/>
      <c r="FJ90" s="249" t="s">
        <v>162</v>
      </c>
      <c r="FK90" s="59" t="s">
        <v>155</v>
      </c>
      <c r="FL90" s="41" t="s">
        <v>175</v>
      </c>
      <c r="FM90" s="249" t="s">
        <v>174</v>
      </c>
      <c r="FN90" s="250"/>
      <c r="FO90" s="305"/>
      <c r="FP90" s="244"/>
    </row>
    <row r="91" spans="1:172" ht="17" x14ac:dyDescent="0.45">
      <c r="A91" s="307"/>
      <c r="B91" s="226">
        <v>1</v>
      </c>
      <c r="C91" s="59">
        <v>0</v>
      </c>
      <c r="D91" s="254">
        <f t="shared" ref="D91:D98" si="543">(C91+$B$89)*$H$3</f>
        <v>120</v>
      </c>
      <c r="E91" s="263">
        <f t="shared" ref="E91:E98" si="544">MOD($F6+D91,$H$2)</f>
        <v>31</v>
      </c>
      <c r="F91" s="264"/>
      <c r="G91" s="301"/>
      <c r="H91" s="226">
        <v>1</v>
      </c>
      <c r="I91" s="59">
        <f t="shared" ref="I91:I98" si="545">IF(F91="", C91,IF(F91=MAX(F$91:F$98),C91+1,0))</f>
        <v>0</v>
      </c>
      <c r="J91" s="254">
        <f t="shared" ref="J91:J98" si="546">(I91+$B$89)*$H$3</f>
        <v>120</v>
      </c>
      <c r="K91" s="263">
        <f t="shared" ref="K91:K98" si="547">MOD($F6+J91,$H$2)</f>
        <v>31</v>
      </c>
      <c r="L91" s="264"/>
      <c r="M91" s="305"/>
      <c r="N91" s="244"/>
      <c r="O91" s="307"/>
      <c r="P91" s="226">
        <v>1</v>
      </c>
      <c r="Q91" s="59">
        <f t="shared" ref="Q91:Q98" si="548">IF(F91="", C91,IF(F91=MAX(F$91:F$98),C91+1,0))</f>
        <v>0</v>
      </c>
      <c r="R91" s="254">
        <f t="shared" ref="R91:R98" si="549">(Q91+$B$89)*$H$3</f>
        <v>120</v>
      </c>
      <c r="S91" s="263">
        <f t="shared" ref="S91:S98" si="550">MOD($F6+R91,$H$2)</f>
        <v>31</v>
      </c>
      <c r="T91" s="264"/>
      <c r="U91" s="301"/>
      <c r="V91" s="226">
        <v>1</v>
      </c>
      <c r="W91" s="59">
        <f t="shared" ref="W91:W98" si="551">IF(T91="", Q91,IF(T91=MAX(T$91:T$98),Q91+1,0))</f>
        <v>0</v>
      </c>
      <c r="X91" s="254">
        <f t="shared" ref="X91:X98" si="552">(W91+$B$89)*$H$3</f>
        <v>120</v>
      </c>
      <c r="Y91" s="263">
        <f t="shared" ref="Y91:Y98" si="553">MOD($F6+X91,$H$2)</f>
        <v>31</v>
      </c>
      <c r="Z91" s="264"/>
      <c r="AA91" s="301"/>
      <c r="AB91" s="226">
        <v>1</v>
      </c>
      <c r="AC91" s="59">
        <f t="shared" ref="AC91:AC98" si="554">IF(Z91="", W91,IF(Z91=MAX(Z$91:Z$98),W91+1,0))</f>
        <v>0</v>
      </c>
      <c r="AD91" s="254">
        <f t="shared" ref="AD91:AD98" si="555">(AC91+$B$89)*$H$3</f>
        <v>120</v>
      </c>
      <c r="AE91" s="263">
        <f t="shared" ref="AE91:AE98" si="556">MOD($F6+AD91,$H$2)</f>
        <v>31</v>
      </c>
      <c r="AF91" s="264"/>
      <c r="AG91" s="305"/>
      <c r="AH91" s="244"/>
      <c r="AI91" s="307"/>
      <c r="AJ91" s="226">
        <v>1</v>
      </c>
      <c r="AK91" s="59">
        <f t="shared" ref="AK91:AK98" si="557">IF(AF91="", AC91,IF(AF91=MAX(AF$91:AF$98),AC91+1,0))</f>
        <v>0</v>
      </c>
      <c r="AL91" s="254">
        <f t="shared" ref="AL91:AL98" si="558">(AK91+$B$89)*$H$3</f>
        <v>120</v>
      </c>
      <c r="AM91" s="263">
        <f t="shared" ref="AM91:AM98" si="559">MOD($F6+AL91,$H$2)</f>
        <v>31</v>
      </c>
      <c r="AN91" s="264"/>
      <c r="AO91" s="301"/>
      <c r="AP91" s="226">
        <v>1</v>
      </c>
      <c r="AQ91" s="59">
        <f t="shared" ref="AQ91:AQ98" si="560">IF(AN91="", AK91,IF(AN91=MAX(AN$91:AN$98),AK91+1,0))</f>
        <v>0</v>
      </c>
      <c r="AR91" s="254">
        <f t="shared" ref="AR91:AR98" si="561">(AQ91+$B$89)*$H$3</f>
        <v>120</v>
      </c>
      <c r="AS91" s="263">
        <f t="shared" ref="AS91:AS98" si="562">MOD($F6+AR91,$H$2)</f>
        <v>31</v>
      </c>
      <c r="AT91" s="264"/>
      <c r="AU91" s="301"/>
      <c r="AV91" s="226">
        <v>1</v>
      </c>
      <c r="AW91" s="59">
        <f t="shared" ref="AW91:AW98" si="563">IF(AT91="", AQ91,IF(AT91=MAX(AT$91:AT$98),AQ91+1,0))</f>
        <v>0</v>
      </c>
      <c r="AX91" s="254">
        <f t="shared" ref="AX91:AX98" si="564">(AW91+$B$89)*$H$3</f>
        <v>120</v>
      </c>
      <c r="AY91" s="263">
        <f t="shared" ref="AY91:AY98" si="565">MOD($F6+AX91,$H$2)</f>
        <v>31</v>
      </c>
      <c r="AZ91" s="264"/>
      <c r="BA91" s="305"/>
      <c r="BB91" s="244"/>
      <c r="BC91" s="307"/>
      <c r="BD91" s="226">
        <v>1</v>
      </c>
      <c r="BE91" s="59">
        <f t="shared" ref="BE91:BE98" si="566">IF(AZ91="", AW91,IF(AZ91=MAX(AZ$91:AZ$98),AW91+1,0))</f>
        <v>0</v>
      </c>
      <c r="BF91" s="254">
        <f t="shared" ref="BF91:BF98" si="567">(BE91+$B$89)*$H$3</f>
        <v>120</v>
      </c>
      <c r="BG91" s="263">
        <f t="shared" ref="BG91:BG98" si="568">MOD($F6+BF91,$H$2)</f>
        <v>31</v>
      </c>
      <c r="BH91" s="264">
        <v>6</v>
      </c>
      <c r="BI91" s="301"/>
      <c r="BJ91" s="226">
        <v>1</v>
      </c>
      <c r="BK91" s="59">
        <f t="shared" ref="BK91:BK98" si="569">IF(BH91="", BE91,IF(BH91=MAX(BH$91:BH$98),BE91+1,0))</f>
        <v>1</v>
      </c>
      <c r="BL91" s="254">
        <f t="shared" ref="BL91:BL98" si="570">(BK91+$B$89)*$H$3</f>
        <v>128</v>
      </c>
      <c r="BM91" s="263">
        <f t="shared" ref="BM91:BM98" si="571">MOD($F6+BL91,$H$2)</f>
        <v>7</v>
      </c>
      <c r="BN91" s="264"/>
      <c r="BO91" s="301"/>
      <c r="BP91" s="226">
        <v>1</v>
      </c>
      <c r="BQ91" s="59">
        <f t="shared" ref="BQ91:BQ98" si="572">IF(BN91="", BK91,IF(BN91=MAX(BN$91:BN$98),BK91+1,0))</f>
        <v>1</v>
      </c>
      <c r="BR91" s="254">
        <f t="shared" ref="BR91:BR98" si="573">(BQ91+$B$89)*$H$3</f>
        <v>128</v>
      </c>
      <c r="BS91" s="263">
        <f t="shared" ref="BS91:BS98" si="574">MOD($F6+BR91,$H$2)</f>
        <v>7</v>
      </c>
      <c r="BT91" s="264"/>
      <c r="BU91" s="305"/>
      <c r="BV91" s="244"/>
      <c r="BW91" s="307"/>
      <c r="BX91" s="226">
        <v>1</v>
      </c>
      <c r="BY91" s="59">
        <f t="shared" ref="BY91:BY98" si="575">IF(BT91="", BQ91,IF(BT91=MAX(BT$91:BT$98),BQ91+1,0))</f>
        <v>1</v>
      </c>
      <c r="BZ91" s="254">
        <f t="shared" ref="BZ91:BZ98" si="576">(BY91+$B$89)*$H$3</f>
        <v>128</v>
      </c>
      <c r="CA91" s="263">
        <f t="shared" ref="CA91:CA98" si="577">MOD($F6+BZ91,$H$2)</f>
        <v>7</v>
      </c>
      <c r="CB91" s="264"/>
      <c r="CC91" s="301"/>
      <c r="CD91" s="226">
        <v>1</v>
      </c>
      <c r="CE91" s="59">
        <f t="shared" ref="CE91:CE98" si="578">IF(CB91="", BY91,IF(CB91=MAX(CB$91:CB$98),BY91+1,0))</f>
        <v>1</v>
      </c>
      <c r="CF91" s="254">
        <f t="shared" ref="CF91:CF98" si="579">(CE91+$B$89)*$H$3</f>
        <v>128</v>
      </c>
      <c r="CG91" s="263">
        <f t="shared" ref="CG91:CG98" si="580">MOD($F6+CF91,$H$2)</f>
        <v>7</v>
      </c>
      <c r="CH91" s="264"/>
      <c r="CI91" s="301"/>
      <c r="CJ91" s="226">
        <v>1</v>
      </c>
      <c r="CK91" s="59">
        <f t="shared" ref="CK91:CK98" si="581">IF(CH91="", CE91,IF(CH91=MAX(CH$91:CH$98),CE91+1,0))</f>
        <v>1</v>
      </c>
      <c r="CL91" s="254">
        <f t="shared" ref="CL91:CL98" si="582">(CK91+$B$89)*$H$3</f>
        <v>128</v>
      </c>
      <c r="CM91" s="263">
        <f t="shared" ref="CM91:CM98" si="583">MOD($F6+CL91,$H$2)</f>
        <v>7</v>
      </c>
      <c r="CN91" s="264"/>
      <c r="CO91" s="301"/>
      <c r="CP91" s="226">
        <v>1</v>
      </c>
      <c r="CQ91" s="59">
        <f t="shared" ref="CQ91:CQ98" si="584">IF(CN91="", CK91,IF(CN91=MAX(CN$91:CN$98),CK91+1,0))</f>
        <v>1</v>
      </c>
      <c r="CR91" s="254">
        <f t="shared" ref="CR91:CR98" si="585">(CQ91+$B$89)*$H$3</f>
        <v>128</v>
      </c>
      <c r="CS91" s="263">
        <f t="shared" ref="CS91:CS98" si="586">MOD($F6+CR91,$H$2)</f>
        <v>7</v>
      </c>
      <c r="CT91" s="264"/>
      <c r="CU91" s="305"/>
      <c r="CV91" s="244"/>
      <c r="CW91" s="307"/>
      <c r="CX91" s="226">
        <v>1</v>
      </c>
      <c r="CY91" s="59">
        <f t="shared" ref="CY91:CY98" si="587">IF(CT91="", CQ91,IF(CT91=MAX(CT$91:CT$98),CQ91+1,0))</f>
        <v>1</v>
      </c>
      <c r="CZ91" s="254">
        <f t="shared" ref="CZ91:CZ98" si="588">(CY91+$B$89)*$H$3</f>
        <v>128</v>
      </c>
      <c r="DA91" s="263">
        <f t="shared" ref="DA91:DA98" si="589">MOD($F6+CZ91,$H$2)</f>
        <v>7</v>
      </c>
      <c r="DB91" s="264"/>
      <c r="DC91" s="301"/>
      <c r="DD91" s="226">
        <v>1</v>
      </c>
      <c r="DE91" s="59">
        <f t="shared" ref="DE91:DE98" si="590">IF(DB91="", CY91,IF(DB91=MAX(DB$91:DB$98),CY91+1,0))</f>
        <v>1</v>
      </c>
      <c r="DF91" s="254">
        <f t="shared" ref="DF91:DF98" si="591">(DE91+$B$89)*$H$3</f>
        <v>128</v>
      </c>
      <c r="DG91" s="263">
        <f t="shared" ref="DG91:DG98" si="592">MOD($F6+DF91,$H$2)</f>
        <v>7</v>
      </c>
      <c r="DH91" s="264"/>
      <c r="DI91" s="301"/>
      <c r="DJ91" s="226">
        <v>1</v>
      </c>
      <c r="DK91" s="59">
        <f t="shared" ref="DK91:DK98" si="593">IF(DH91="", DE91,IF(DH91=MAX(DH$91:DH$98),DE91+1,0))</f>
        <v>1</v>
      </c>
      <c r="DL91" s="254">
        <f t="shared" ref="DL91:DL98" si="594">(DK91+$B$89)*$H$3</f>
        <v>128</v>
      </c>
      <c r="DM91" s="263">
        <f t="shared" ref="DM91:DM98" si="595">MOD($F6+DL91,$H$2)</f>
        <v>7</v>
      </c>
      <c r="DN91" s="264"/>
      <c r="DO91" s="301"/>
      <c r="DP91" s="226">
        <v>1</v>
      </c>
      <c r="DQ91" s="59">
        <f t="shared" ref="DQ91:DQ98" si="596">IF(DN91="", DK91,IF(DN91=MAX(DN$91:DN$98),DK91+1,0))</f>
        <v>1</v>
      </c>
      <c r="DR91" s="254">
        <f t="shared" ref="DR91:DR98" si="597">(DQ91+$B$89)*$H$3</f>
        <v>128</v>
      </c>
      <c r="DS91" s="263">
        <f t="shared" ref="DS91:DS98" si="598">MOD($F6+DR91,$H$2)</f>
        <v>7</v>
      </c>
      <c r="DT91" s="264"/>
      <c r="DU91" s="305"/>
      <c r="DV91" s="244"/>
      <c r="DW91" s="307"/>
      <c r="DX91" s="226">
        <v>1</v>
      </c>
      <c r="DY91" s="59">
        <f t="shared" ref="DY91:DY98" si="599">IF(DN91="", DK91,IF(DN91=MAX(DN$91:DN$98),DK91+1,0))</f>
        <v>1</v>
      </c>
      <c r="DZ91" s="254">
        <f t="shared" ref="DZ91:DZ98" si="600">(DY91+$B$89)*$H$3</f>
        <v>128</v>
      </c>
      <c r="EA91" s="263">
        <f t="shared" ref="EA91:EA98" si="601">MOD($F6+DZ91,$H$2)</f>
        <v>7</v>
      </c>
      <c r="EB91" s="264"/>
      <c r="EC91" s="301"/>
      <c r="ED91" s="226">
        <v>1</v>
      </c>
      <c r="EE91" s="59">
        <f t="shared" ref="EE91:EE98" si="602">IF(EB91="", DY91,IF(EB91=MAX(EB$91:EB$98),DY91+1,0))</f>
        <v>1</v>
      </c>
      <c r="EF91" s="254">
        <f t="shared" ref="EF91:EF98" si="603">(EE91+$B$89)*$H$3</f>
        <v>128</v>
      </c>
      <c r="EG91" s="263">
        <f t="shared" ref="EG91:EG98" si="604">MOD($F6+EF91,$H$2)</f>
        <v>7</v>
      </c>
      <c r="EH91" s="264"/>
      <c r="EI91" s="301"/>
      <c r="EJ91" s="226">
        <v>1</v>
      </c>
      <c r="EK91" s="59">
        <f t="shared" ref="EK91:EK98" si="605">IF(EH91="", EE91,IF(EH91=MAX(EH$91:EH$98),EE91+1,0))</f>
        <v>1</v>
      </c>
      <c r="EL91" s="254">
        <f t="shared" ref="EL91:EL98" si="606">(EK91+$B$89)*$H$3</f>
        <v>128</v>
      </c>
      <c r="EM91" s="263">
        <f t="shared" ref="EM91:EM98" si="607">MOD($F6+EL91,$H$2)</f>
        <v>7</v>
      </c>
      <c r="EN91" s="264"/>
      <c r="EO91" s="305"/>
      <c r="EP91" s="244"/>
      <c r="EQ91" s="307"/>
      <c r="ER91" s="226">
        <v>1</v>
      </c>
      <c r="ES91" s="59">
        <f t="shared" ref="ES91:ES98" si="608">IF(EN91="", EK91,IF(EN91=MAX(EN$91:EN$98),EK91+1,0))</f>
        <v>1</v>
      </c>
      <c r="ET91" s="254">
        <f t="shared" ref="ET91:ET98" si="609">(ES91+$B$89)*$H$3</f>
        <v>128</v>
      </c>
      <c r="EU91" s="263">
        <f t="shared" ref="EU91:EU98" si="610">MOD($F6+ET91,$H$2)</f>
        <v>7</v>
      </c>
      <c r="EV91" s="264"/>
      <c r="EW91" s="301"/>
      <c r="EX91" s="226">
        <v>1</v>
      </c>
      <c r="EY91" s="59">
        <f t="shared" ref="EY91:EY98" si="611">IF(EV91="", ES91,IF(EV91=MAX(EV$91:EV$98),ES91+1,0))</f>
        <v>1</v>
      </c>
      <c r="EZ91" s="254">
        <f t="shared" ref="EZ91:EZ98" si="612">(EY91+$B$89)*$H$3</f>
        <v>128</v>
      </c>
      <c r="FA91" s="263">
        <f t="shared" ref="FA91:FA98" si="613">MOD($F6+EZ91,$H$2)</f>
        <v>7</v>
      </c>
      <c r="FB91" s="264"/>
      <c r="FC91" s="301"/>
      <c r="FD91" s="226">
        <v>1</v>
      </c>
      <c r="FE91" s="59">
        <f t="shared" ref="FE91:FE98" si="614">IF(FB91="", EY91,IF(FB91=MAX(FB$91:FB$98),EY91+1,0))</f>
        <v>1</v>
      </c>
      <c r="FF91" s="254">
        <f t="shared" ref="FF91:FF98" si="615">(FE91+$B$89)*$H$3</f>
        <v>128</v>
      </c>
      <c r="FG91" s="263">
        <f t="shared" ref="FG91:FG98" si="616">MOD($F6+FF91,$H$2)</f>
        <v>7</v>
      </c>
      <c r="FH91" s="264"/>
      <c r="FI91" s="301"/>
      <c r="FJ91" s="226">
        <v>1</v>
      </c>
      <c r="FK91" s="59">
        <f t="shared" ref="FK91:FK98" si="617">IF(FH91="", FE91,IF(FH91=MAX(FH$91:FH$98),FE91+1,0))</f>
        <v>1</v>
      </c>
      <c r="FL91" s="254">
        <f t="shared" ref="FL91:FL98" si="618">(FK91+$B$89)*$H$3</f>
        <v>128</v>
      </c>
      <c r="FM91" s="263">
        <f t="shared" ref="FM91:FM98" si="619">MOD($F6+FL91,$H$2)</f>
        <v>7</v>
      </c>
      <c r="FN91" s="264"/>
      <c r="FO91" s="305"/>
      <c r="FP91" s="244"/>
    </row>
    <row r="92" spans="1:172" ht="17" x14ac:dyDescent="0.45">
      <c r="A92" s="307"/>
      <c r="B92" s="226">
        <v>2</v>
      </c>
      <c r="C92" s="59">
        <v>0</v>
      </c>
      <c r="D92" s="254">
        <f t="shared" si="543"/>
        <v>120</v>
      </c>
      <c r="E92" s="263">
        <f t="shared" si="544"/>
        <v>27</v>
      </c>
      <c r="F92" s="248"/>
      <c r="G92" s="301"/>
      <c r="H92" s="226">
        <v>2</v>
      </c>
      <c r="I92" s="59">
        <f t="shared" si="545"/>
        <v>0</v>
      </c>
      <c r="J92" s="254">
        <f t="shared" si="546"/>
        <v>120</v>
      </c>
      <c r="K92" s="263">
        <f t="shared" si="547"/>
        <v>27</v>
      </c>
      <c r="L92" s="248"/>
      <c r="M92" s="305"/>
      <c r="N92" s="244"/>
      <c r="O92" s="307"/>
      <c r="P92" s="226">
        <v>2</v>
      </c>
      <c r="Q92" s="59">
        <f t="shared" si="548"/>
        <v>0</v>
      </c>
      <c r="R92" s="254">
        <f t="shared" si="549"/>
        <v>120</v>
      </c>
      <c r="S92" s="263">
        <f t="shared" si="550"/>
        <v>27</v>
      </c>
      <c r="T92" s="248"/>
      <c r="U92" s="301"/>
      <c r="V92" s="226">
        <v>2</v>
      </c>
      <c r="W92" s="59">
        <f t="shared" si="551"/>
        <v>0</v>
      </c>
      <c r="X92" s="254">
        <f t="shared" si="552"/>
        <v>120</v>
      </c>
      <c r="Y92" s="263">
        <f t="shared" si="553"/>
        <v>27</v>
      </c>
      <c r="Z92" s="248"/>
      <c r="AA92" s="301"/>
      <c r="AB92" s="226">
        <v>2</v>
      </c>
      <c r="AC92" s="59">
        <f t="shared" si="554"/>
        <v>0</v>
      </c>
      <c r="AD92" s="254">
        <f t="shared" si="555"/>
        <v>120</v>
      </c>
      <c r="AE92" s="263">
        <f t="shared" si="556"/>
        <v>27</v>
      </c>
      <c r="AF92" s="248"/>
      <c r="AG92" s="305"/>
      <c r="AH92" s="244"/>
      <c r="AI92" s="307"/>
      <c r="AJ92" s="226">
        <v>2</v>
      </c>
      <c r="AK92" s="59">
        <f t="shared" si="557"/>
        <v>0</v>
      </c>
      <c r="AL92" s="254">
        <f t="shared" si="558"/>
        <v>120</v>
      </c>
      <c r="AM92" s="263">
        <f t="shared" si="559"/>
        <v>27</v>
      </c>
      <c r="AN92" s="248">
        <v>8</v>
      </c>
      <c r="AO92" s="301"/>
      <c r="AP92" s="226">
        <v>2</v>
      </c>
      <c r="AQ92" s="59">
        <f t="shared" si="560"/>
        <v>1</v>
      </c>
      <c r="AR92" s="254">
        <f t="shared" si="561"/>
        <v>128</v>
      </c>
      <c r="AS92" s="263">
        <f t="shared" si="562"/>
        <v>3</v>
      </c>
      <c r="AT92" s="248"/>
      <c r="AU92" s="301"/>
      <c r="AV92" s="226">
        <v>2</v>
      </c>
      <c r="AW92" s="59">
        <f t="shared" si="563"/>
        <v>1</v>
      </c>
      <c r="AX92" s="254">
        <f t="shared" si="564"/>
        <v>128</v>
      </c>
      <c r="AY92" s="263">
        <f t="shared" si="565"/>
        <v>3</v>
      </c>
      <c r="AZ92" s="248"/>
      <c r="BA92" s="305"/>
      <c r="BB92" s="244"/>
      <c r="BC92" s="307"/>
      <c r="BD92" s="226">
        <v>2</v>
      </c>
      <c r="BE92" s="59">
        <f t="shared" si="566"/>
        <v>1</v>
      </c>
      <c r="BF92" s="254">
        <f t="shared" si="567"/>
        <v>128</v>
      </c>
      <c r="BG92" s="263">
        <f t="shared" si="568"/>
        <v>3</v>
      </c>
      <c r="BH92" s="248"/>
      <c r="BI92" s="301"/>
      <c r="BJ92" s="226">
        <v>2</v>
      </c>
      <c r="BK92" s="59">
        <f t="shared" si="569"/>
        <v>1</v>
      </c>
      <c r="BL92" s="254">
        <f t="shared" si="570"/>
        <v>128</v>
      </c>
      <c r="BM92" s="263">
        <f t="shared" si="571"/>
        <v>3</v>
      </c>
      <c r="BN92" s="248"/>
      <c r="BO92" s="301"/>
      <c r="BP92" s="226">
        <v>2</v>
      </c>
      <c r="BQ92" s="59">
        <f t="shared" si="572"/>
        <v>1</v>
      </c>
      <c r="BR92" s="254">
        <f t="shared" si="573"/>
        <v>128</v>
      </c>
      <c r="BS92" s="263">
        <f t="shared" si="574"/>
        <v>3</v>
      </c>
      <c r="BT92" s="248"/>
      <c r="BU92" s="305"/>
      <c r="BV92" s="244"/>
      <c r="BW92" s="307"/>
      <c r="BX92" s="226">
        <v>2</v>
      </c>
      <c r="BY92" s="59">
        <f t="shared" si="575"/>
        <v>1</v>
      </c>
      <c r="BZ92" s="254">
        <f t="shared" si="576"/>
        <v>128</v>
      </c>
      <c r="CA92" s="263">
        <f t="shared" si="577"/>
        <v>3</v>
      </c>
      <c r="CB92" s="248"/>
      <c r="CC92" s="301"/>
      <c r="CD92" s="226">
        <v>2</v>
      </c>
      <c r="CE92" s="59">
        <f t="shared" si="578"/>
        <v>1</v>
      </c>
      <c r="CF92" s="254">
        <f t="shared" si="579"/>
        <v>128</v>
      </c>
      <c r="CG92" s="263">
        <f t="shared" si="580"/>
        <v>3</v>
      </c>
      <c r="CH92" s="248"/>
      <c r="CI92" s="301"/>
      <c r="CJ92" s="226">
        <v>2</v>
      </c>
      <c r="CK92" s="59">
        <f t="shared" si="581"/>
        <v>1</v>
      </c>
      <c r="CL92" s="254">
        <f t="shared" si="582"/>
        <v>128</v>
      </c>
      <c r="CM92" s="263">
        <f t="shared" si="583"/>
        <v>3</v>
      </c>
      <c r="CN92" s="248"/>
      <c r="CO92" s="301"/>
      <c r="CP92" s="226">
        <v>2</v>
      </c>
      <c r="CQ92" s="59">
        <f t="shared" si="584"/>
        <v>1</v>
      </c>
      <c r="CR92" s="254">
        <f t="shared" si="585"/>
        <v>128</v>
      </c>
      <c r="CS92" s="263">
        <f t="shared" si="586"/>
        <v>3</v>
      </c>
      <c r="CT92" s="248"/>
      <c r="CU92" s="305"/>
      <c r="CV92" s="244"/>
      <c r="CW92" s="307"/>
      <c r="CX92" s="226">
        <v>2</v>
      </c>
      <c r="CY92" s="59">
        <f t="shared" si="587"/>
        <v>1</v>
      </c>
      <c r="CZ92" s="254">
        <f t="shared" si="588"/>
        <v>128</v>
      </c>
      <c r="DA92" s="263">
        <f t="shared" si="589"/>
        <v>3</v>
      </c>
      <c r="DB92" s="248"/>
      <c r="DC92" s="301"/>
      <c r="DD92" s="226">
        <v>2</v>
      </c>
      <c r="DE92" s="59">
        <f t="shared" si="590"/>
        <v>1</v>
      </c>
      <c r="DF92" s="254">
        <f t="shared" si="591"/>
        <v>128</v>
      </c>
      <c r="DG92" s="263">
        <f t="shared" si="592"/>
        <v>3</v>
      </c>
      <c r="DH92" s="248"/>
      <c r="DI92" s="301"/>
      <c r="DJ92" s="226">
        <v>2</v>
      </c>
      <c r="DK92" s="59">
        <f t="shared" si="593"/>
        <v>1</v>
      </c>
      <c r="DL92" s="254">
        <f t="shared" si="594"/>
        <v>128</v>
      </c>
      <c r="DM92" s="263">
        <f t="shared" si="595"/>
        <v>3</v>
      </c>
      <c r="DN92" s="248"/>
      <c r="DO92" s="301"/>
      <c r="DP92" s="226">
        <v>2</v>
      </c>
      <c r="DQ92" s="59">
        <f t="shared" si="596"/>
        <v>1</v>
      </c>
      <c r="DR92" s="254">
        <f t="shared" si="597"/>
        <v>128</v>
      </c>
      <c r="DS92" s="263">
        <f t="shared" si="598"/>
        <v>3</v>
      </c>
      <c r="DT92" s="248"/>
      <c r="DU92" s="305"/>
      <c r="DV92" s="244"/>
      <c r="DW92" s="307"/>
      <c r="DX92" s="226">
        <v>2</v>
      </c>
      <c r="DY92" s="59">
        <f t="shared" si="599"/>
        <v>1</v>
      </c>
      <c r="DZ92" s="254">
        <f t="shared" si="600"/>
        <v>128</v>
      </c>
      <c r="EA92" s="263">
        <f t="shared" si="601"/>
        <v>3</v>
      </c>
      <c r="EB92" s="248"/>
      <c r="EC92" s="301"/>
      <c r="ED92" s="226">
        <v>2</v>
      </c>
      <c r="EE92" s="59">
        <f t="shared" si="602"/>
        <v>1</v>
      </c>
      <c r="EF92" s="254">
        <f t="shared" si="603"/>
        <v>128</v>
      </c>
      <c r="EG92" s="263">
        <f t="shared" si="604"/>
        <v>3</v>
      </c>
      <c r="EH92" s="248"/>
      <c r="EI92" s="301"/>
      <c r="EJ92" s="226">
        <v>2</v>
      </c>
      <c r="EK92" s="59">
        <f t="shared" si="605"/>
        <v>1</v>
      </c>
      <c r="EL92" s="254">
        <f t="shared" si="606"/>
        <v>128</v>
      </c>
      <c r="EM92" s="263">
        <f t="shared" si="607"/>
        <v>3</v>
      </c>
      <c r="EN92" s="248"/>
      <c r="EO92" s="305"/>
      <c r="EP92" s="244"/>
      <c r="EQ92" s="307"/>
      <c r="ER92" s="226">
        <v>2</v>
      </c>
      <c r="ES92" s="59">
        <f t="shared" si="608"/>
        <v>1</v>
      </c>
      <c r="ET92" s="254">
        <f t="shared" si="609"/>
        <v>128</v>
      </c>
      <c r="EU92" s="263">
        <f t="shared" si="610"/>
        <v>3</v>
      </c>
      <c r="EV92" s="248"/>
      <c r="EW92" s="301"/>
      <c r="EX92" s="226">
        <v>2</v>
      </c>
      <c r="EY92" s="59">
        <f t="shared" si="611"/>
        <v>1</v>
      </c>
      <c r="EZ92" s="254">
        <f t="shared" si="612"/>
        <v>128</v>
      </c>
      <c r="FA92" s="263">
        <f t="shared" si="613"/>
        <v>3</v>
      </c>
      <c r="FB92" s="248"/>
      <c r="FC92" s="301"/>
      <c r="FD92" s="226">
        <v>2</v>
      </c>
      <c r="FE92" s="59">
        <f t="shared" si="614"/>
        <v>1</v>
      </c>
      <c r="FF92" s="254">
        <f t="shared" si="615"/>
        <v>128</v>
      </c>
      <c r="FG92" s="263">
        <f t="shared" si="616"/>
        <v>3</v>
      </c>
      <c r="FH92" s="248"/>
      <c r="FI92" s="301"/>
      <c r="FJ92" s="226">
        <v>2</v>
      </c>
      <c r="FK92" s="59">
        <f t="shared" si="617"/>
        <v>1</v>
      </c>
      <c r="FL92" s="254">
        <f t="shared" si="618"/>
        <v>128</v>
      </c>
      <c r="FM92" s="263">
        <f t="shared" si="619"/>
        <v>3</v>
      </c>
      <c r="FN92" s="248"/>
      <c r="FO92" s="305"/>
      <c r="FP92" s="244"/>
    </row>
    <row r="93" spans="1:172" ht="17" x14ac:dyDescent="0.45">
      <c r="A93" s="307"/>
      <c r="B93" s="226">
        <v>3</v>
      </c>
      <c r="C93" s="59">
        <v>0</v>
      </c>
      <c r="D93" s="254">
        <f t="shared" si="543"/>
        <v>120</v>
      </c>
      <c r="E93" s="263">
        <f t="shared" si="544"/>
        <v>6</v>
      </c>
      <c r="F93" s="248"/>
      <c r="G93" s="301"/>
      <c r="H93" s="226">
        <v>3</v>
      </c>
      <c r="I93" s="59">
        <f t="shared" si="545"/>
        <v>0</v>
      </c>
      <c r="J93" s="254">
        <f t="shared" si="546"/>
        <v>120</v>
      </c>
      <c r="K93" s="263">
        <f t="shared" si="547"/>
        <v>6</v>
      </c>
      <c r="L93" s="248"/>
      <c r="M93" s="305"/>
      <c r="N93" s="244"/>
      <c r="O93" s="307"/>
      <c r="P93" s="226">
        <v>3</v>
      </c>
      <c r="Q93" s="59">
        <f t="shared" si="548"/>
        <v>0</v>
      </c>
      <c r="R93" s="254">
        <f t="shared" si="549"/>
        <v>120</v>
      </c>
      <c r="S93" s="263">
        <f t="shared" si="550"/>
        <v>6</v>
      </c>
      <c r="T93" s="248"/>
      <c r="U93" s="301"/>
      <c r="V93" s="226">
        <v>3</v>
      </c>
      <c r="W93" s="59">
        <f t="shared" si="551"/>
        <v>0</v>
      </c>
      <c r="X93" s="254">
        <f t="shared" si="552"/>
        <v>120</v>
      </c>
      <c r="Y93" s="263">
        <f t="shared" si="553"/>
        <v>6</v>
      </c>
      <c r="Z93" s="248"/>
      <c r="AA93" s="301"/>
      <c r="AB93" s="226">
        <v>3</v>
      </c>
      <c r="AC93" s="59">
        <f t="shared" si="554"/>
        <v>0</v>
      </c>
      <c r="AD93" s="254">
        <f t="shared" si="555"/>
        <v>120</v>
      </c>
      <c r="AE93" s="263">
        <f t="shared" si="556"/>
        <v>6</v>
      </c>
      <c r="AF93" s="248"/>
      <c r="AG93" s="305"/>
      <c r="AH93" s="244"/>
      <c r="AI93" s="307"/>
      <c r="AJ93" s="226">
        <v>3</v>
      </c>
      <c r="AK93" s="59">
        <f t="shared" si="557"/>
        <v>0</v>
      </c>
      <c r="AL93" s="254">
        <f t="shared" si="558"/>
        <v>120</v>
      </c>
      <c r="AM93" s="263">
        <f t="shared" si="559"/>
        <v>6</v>
      </c>
      <c r="AN93" s="248"/>
      <c r="AO93" s="301"/>
      <c r="AP93" s="226">
        <v>3</v>
      </c>
      <c r="AQ93" s="59">
        <f t="shared" si="560"/>
        <v>0</v>
      </c>
      <c r="AR93" s="254">
        <f t="shared" si="561"/>
        <v>120</v>
      </c>
      <c r="AS93" s="263">
        <f t="shared" si="562"/>
        <v>6</v>
      </c>
      <c r="AT93" s="248"/>
      <c r="AU93" s="301"/>
      <c r="AV93" s="226">
        <v>3</v>
      </c>
      <c r="AW93" s="59">
        <f t="shared" si="563"/>
        <v>0</v>
      </c>
      <c r="AX93" s="254">
        <f t="shared" si="564"/>
        <v>120</v>
      </c>
      <c r="AY93" s="263">
        <f t="shared" si="565"/>
        <v>6</v>
      </c>
      <c r="AZ93" s="248"/>
      <c r="BA93" s="305"/>
      <c r="BB93" s="244"/>
      <c r="BC93" s="307"/>
      <c r="BD93" s="226">
        <v>3</v>
      </c>
      <c r="BE93" s="59">
        <f t="shared" si="566"/>
        <v>0</v>
      </c>
      <c r="BF93" s="254">
        <f t="shared" si="567"/>
        <v>120</v>
      </c>
      <c r="BG93" s="263">
        <f t="shared" si="568"/>
        <v>6</v>
      </c>
      <c r="BH93" s="248"/>
      <c r="BI93" s="301"/>
      <c r="BJ93" s="226">
        <v>3</v>
      </c>
      <c r="BK93" s="59">
        <f t="shared" si="569"/>
        <v>0</v>
      </c>
      <c r="BL93" s="254">
        <f t="shared" si="570"/>
        <v>120</v>
      </c>
      <c r="BM93" s="263">
        <f t="shared" si="571"/>
        <v>6</v>
      </c>
      <c r="BN93" s="248"/>
      <c r="BO93" s="301"/>
      <c r="BP93" s="226">
        <v>3</v>
      </c>
      <c r="BQ93" s="59">
        <f t="shared" si="572"/>
        <v>0</v>
      </c>
      <c r="BR93" s="254">
        <f t="shared" si="573"/>
        <v>120</v>
      </c>
      <c r="BS93" s="263">
        <f t="shared" si="574"/>
        <v>6</v>
      </c>
      <c r="BT93" s="248"/>
      <c r="BU93" s="305"/>
      <c r="BV93" s="244"/>
      <c r="BW93" s="307"/>
      <c r="BX93" s="226">
        <v>3</v>
      </c>
      <c r="BY93" s="59">
        <f t="shared" si="575"/>
        <v>0</v>
      </c>
      <c r="BZ93" s="254">
        <f t="shared" si="576"/>
        <v>120</v>
      </c>
      <c r="CA93" s="263">
        <f t="shared" si="577"/>
        <v>6</v>
      </c>
      <c r="CB93" s="248"/>
      <c r="CC93" s="301"/>
      <c r="CD93" s="226">
        <v>3</v>
      </c>
      <c r="CE93" s="59">
        <f t="shared" si="578"/>
        <v>0</v>
      </c>
      <c r="CF93" s="254">
        <f t="shared" si="579"/>
        <v>120</v>
      </c>
      <c r="CG93" s="263">
        <f t="shared" si="580"/>
        <v>6</v>
      </c>
      <c r="CH93" s="248"/>
      <c r="CI93" s="301"/>
      <c r="CJ93" s="226">
        <v>3</v>
      </c>
      <c r="CK93" s="59">
        <f t="shared" si="581"/>
        <v>0</v>
      </c>
      <c r="CL93" s="254">
        <f t="shared" si="582"/>
        <v>120</v>
      </c>
      <c r="CM93" s="263">
        <f t="shared" si="583"/>
        <v>6</v>
      </c>
      <c r="CN93" s="248"/>
      <c r="CO93" s="301"/>
      <c r="CP93" s="226">
        <v>3</v>
      </c>
      <c r="CQ93" s="59">
        <f t="shared" si="584"/>
        <v>0</v>
      </c>
      <c r="CR93" s="254">
        <f t="shared" si="585"/>
        <v>120</v>
      </c>
      <c r="CS93" s="263">
        <f t="shared" si="586"/>
        <v>6</v>
      </c>
      <c r="CT93" s="248"/>
      <c r="CU93" s="305"/>
      <c r="CV93" s="244"/>
      <c r="CW93" s="307"/>
      <c r="CX93" s="226">
        <v>3</v>
      </c>
      <c r="CY93" s="59">
        <f t="shared" si="587"/>
        <v>0</v>
      </c>
      <c r="CZ93" s="254">
        <f t="shared" si="588"/>
        <v>120</v>
      </c>
      <c r="DA93" s="263">
        <f t="shared" si="589"/>
        <v>6</v>
      </c>
      <c r="DB93" s="248"/>
      <c r="DC93" s="301"/>
      <c r="DD93" s="226">
        <v>3</v>
      </c>
      <c r="DE93" s="59">
        <f t="shared" si="590"/>
        <v>0</v>
      </c>
      <c r="DF93" s="254">
        <f t="shared" si="591"/>
        <v>120</v>
      </c>
      <c r="DG93" s="263">
        <f t="shared" si="592"/>
        <v>6</v>
      </c>
      <c r="DH93" s="248"/>
      <c r="DI93" s="301"/>
      <c r="DJ93" s="226">
        <v>3</v>
      </c>
      <c r="DK93" s="59">
        <f t="shared" si="593"/>
        <v>0</v>
      </c>
      <c r="DL93" s="254">
        <f t="shared" si="594"/>
        <v>120</v>
      </c>
      <c r="DM93" s="263">
        <f t="shared" si="595"/>
        <v>6</v>
      </c>
      <c r="DN93" s="248"/>
      <c r="DO93" s="301"/>
      <c r="DP93" s="226">
        <v>3</v>
      </c>
      <c r="DQ93" s="59">
        <f t="shared" si="596"/>
        <v>0</v>
      </c>
      <c r="DR93" s="254">
        <f t="shared" si="597"/>
        <v>120</v>
      </c>
      <c r="DS93" s="263">
        <f t="shared" si="598"/>
        <v>6</v>
      </c>
      <c r="DT93" s="248"/>
      <c r="DU93" s="305"/>
      <c r="DV93" s="244"/>
      <c r="DW93" s="307"/>
      <c r="DX93" s="226">
        <v>3</v>
      </c>
      <c r="DY93" s="59">
        <f t="shared" si="599"/>
        <v>0</v>
      </c>
      <c r="DZ93" s="254">
        <f t="shared" si="600"/>
        <v>120</v>
      </c>
      <c r="EA93" s="263">
        <f t="shared" si="601"/>
        <v>6</v>
      </c>
      <c r="EB93" s="248"/>
      <c r="EC93" s="301"/>
      <c r="ED93" s="226">
        <v>3</v>
      </c>
      <c r="EE93" s="59">
        <f t="shared" si="602"/>
        <v>0</v>
      </c>
      <c r="EF93" s="254">
        <f t="shared" si="603"/>
        <v>120</v>
      </c>
      <c r="EG93" s="263">
        <f t="shared" si="604"/>
        <v>6</v>
      </c>
      <c r="EH93" s="248"/>
      <c r="EI93" s="301"/>
      <c r="EJ93" s="226">
        <v>3</v>
      </c>
      <c r="EK93" s="59">
        <f t="shared" si="605"/>
        <v>0</v>
      </c>
      <c r="EL93" s="254">
        <f t="shared" si="606"/>
        <v>120</v>
      </c>
      <c r="EM93" s="263">
        <f t="shared" si="607"/>
        <v>6</v>
      </c>
      <c r="EN93" s="248"/>
      <c r="EO93" s="305"/>
      <c r="EP93" s="244"/>
      <c r="EQ93" s="307"/>
      <c r="ER93" s="226">
        <v>3</v>
      </c>
      <c r="ES93" s="59">
        <f t="shared" si="608"/>
        <v>0</v>
      </c>
      <c r="ET93" s="254">
        <f t="shared" si="609"/>
        <v>120</v>
      </c>
      <c r="EU93" s="263">
        <f t="shared" si="610"/>
        <v>6</v>
      </c>
      <c r="EV93" s="248"/>
      <c r="EW93" s="301"/>
      <c r="EX93" s="226">
        <v>3</v>
      </c>
      <c r="EY93" s="59">
        <f t="shared" si="611"/>
        <v>0</v>
      </c>
      <c r="EZ93" s="254">
        <f t="shared" si="612"/>
        <v>120</v>
      </c>
      <c r="FA93" s="263">
        <f t="shared" si="613"/>
        <v>6</v>
      </c>
      <c r="FB93" s="248"/>
      <c r="FC93" s="301"/>
      <c r="FD93" s="226">
        <v>3</v>
      </c>
      <c r="FE93" s="59">
        <f t="shared" si="614"/>
        <v>0</v>
      </c>
      <c r="FF93" s="254">
        <f t="shared" si="615"/>
        <v>120</v>
      </c>
      <c r="FG93" s="263">
        <f t="shared" si="616"/>
        <v>6</v>
      </c>
      <c r="FH93" s="248"/>
      <c r="FI93" s="301"/>
      <c r="FJ93" s="226">
        <v>3</v>
      </c>
      <c r="FK93" s="59">
        <f t="shared" si="617"/>
        <v>0</v>
      </c>
      <c r="FL93" s="254">
        <f t="shared" si="618"/>
        <v>120</v>
      </c>
      <c r="FM93" s="263">
        <f t="shared" si="619"/>
        <v>6</v>
      </c>
      <c r="FN93" s="248"/>
      <c r="FO93" s="305"/>
      <c r="FP93" s="244"/>
    </row>
    <row r="94" spans="1:172" ht="17" x14ac:dyDescent="0.45">
      <c r="A94" s="307"/>
      <c r="B94" s="226">
        <v>4</v>
      </c>
      <c r="C94" s="59">
        <v>0</v>
      </c>
      <c r="D94" s="254">
        <f t="shared" si="543"/>
        <v>120</v>
      </c>
      <c r="E94" s="263">
        <f t="shared" si="544"/>
        <v>2</v>
      </c>
      <c r="F94" s="248"/>
      <c r="G94" s="301"/>
      <c r="H94" s="226">
        <v>4</v>
      </c>
      <c r="I94" s="59">
        <f t="shared" si="545"/>
        <v>0</v>
      </c>
      <c r="J94" s="254">
        <f t="shared" si="546"/>
        <v>120</v>
      </c>
      <c r="K94" s="263">
        <f t="shared" si="547"/>
        <v>2</v>
      </c>
      <c r="L94" s="248"/>
      <c r="M94" s="305"/>
      <c r="N94" s="244"/>
      <c r="O94" s="307"/>
      <c r="P94" s="226">
        <v>4</v>
      </c>
      <c r="Q94" s="59">
        <f t="shared" si="548"/>
        <v>0</v>
      </c>
      <c r="R94" s="254">
        <f t="shared" si="549"/>
        <v>120</v>
      </c>
      <c r="S94" s="263">
        <f t="shared" si="550"/>
        <v>2</v>
      </c>
      <c r="T94" s="248"/>
      <c r="U94" s="301"/>
      <c r="V94" s="226">
        <v>4</v>
      </c>
      <c r="W94" s="59">
        <f t="shared" si="551"/>
        <v>0</v>
      </c>
      <c r="X94" s="254">
        <f t="shared" si="552"/>
        <v>120</v>
      </c>
      <c r="Y94" s="263">
        <f t="shared" si="553"/>
        <v>2</v>
      </c>
      <c r="Z94" s="248"/>
      <c r="AA94" s="301"/>
      <c r="AB94" s="226">
        <v>4</v>
      </c>
      <c r="AC94" s="59">
        <f t="shared" si="554"/>
        <v>0</v>
      </c>
      <c r="AD94" s="254">
        <f t="shared" si="555"/>
        <v>120</v>
      </c>
      <c r="AE94" s="263">
        <f t="shared" si="556"/>
        <v>2</v>
      </c>
      <c r="AF94" s="248"/>
      <c r="AG94" s="305"/>
      <c r="AH94" s="244"/>
      <c r="AI94" s="307"/>
      <c r="AJ94" s="226">
        <v>4</v>
      </c>
      <c r="AK94" s="59">
        <f t="shared" si="557"/>
        <v>0</v>
      </c>
      <c r="AL94" s="254">
        <f t="shared" si="558"/>
        <v>120</v>
      </c>
      <c r="AM94" s="263">
        <f t="shared" si="559"/>
        <v>2</v>
      </c>
      <c r="AN94" s="248"/>
      <c r="AO94" s="301"/>
      <c r="AP94" s="226">
        <v>4</v>
      </c>
      <c r="AQ94" s="59">
        <f t="shared" si="560"/>
        <v>0</v>
      </c>
      <c r="AR94" s="254">
        <f t="shared" si="561"/>
        <v>120</v>
      </c>
      <c r="AS94" s="263">
        <f t="shared" si="562"/>
        <v>2</v>
      </c>
      <c r="AT94" s="248"/>
      <c r="AU94" s="301"/>
      <c r="AV94" s="226">
        <v>4</v>
      </c>
      <c r="AW94" s="59">
        <f t="shared" si="563"/>
        <v>0</v>
      </c>
      <c r="AX94" s="254">
        <f t="shared" si="564"/>
        <v>120</v>
      </c>
      <c r="AY94" s="263">
        <f t="shared" si="565"/>
        <v>2</v>
      </c>
      <c r="AZ94" s="248"/>
      <c r="BA94" s="305"/>
      <c r="BB94" s="244"/>
      <c r="BC94" s="307"/>
      <c r="BD94" s="226">
        <v>4</v>
      </c>
      <c r="BE94" s="59">
        <f t="shared" si="566"/>
        <v>0</v>
      </c>
      <c r="BF94" s="254">
        <f t="shared" si="567"/>
        <v>120</v>
      </c>
      <c r="BG94" s="263">
        <f t="shared" si="568"/>
        <v>2</v>
      </c>
      <c r="BH94" s="248"/>
      <c r="BI94" s="301"/>
      <c r="BJ94" s="226">
        <v>4</v>
      </c>
      <c r="BK94" s="59">
        <f t="shared" si="569"/>
        <v>0</v>
      </c>
      <c r="BL94" s="254">
        <f t="shared" si="570"/>
        <v>120</v>
      </c>
      <c r="BM94" s="263">
        <f t="shared" si="571"/>
        <v>2</v>
      </c>
      <c r="BN94" s="248">
        <v>12</v>
      </c>
      <c r="BO94" s="301"/>
      <c r="BP94" s="226">
        <v>4</v>
      </c>
      <c r="BQ94" s="59">
        <f t="shared" si="572"/>
        <v>1</v>
      </c>
      <c r="BR94" s="254">
        <f t="shared" si="573"/>
        <v>128</v>
      </c>
      <c r="BS94" s="263">
        <f t="shared" si="574"/>
        <v>10</v>
      </c>
      <c r="BT94" s="248"/>
      <c r="BU94" s="305"/>
      <c r="BV94" s="244"/>
      <c r="BW94" s="307"/>
      <c r="BX94" s="226">
        <v>4</v>
      </c>
      <c r="BY94" s="59">
        <f t="shared" si="575"/>
        <v>1</v>
      </c>
      <c r="BZ94" s="254">
        <f t="shared" si="576"/>
        <v>128</v>
      </c>
      <c r="CA94" s="263">
        <f t="shared" si="577"/>
        <v>10</v>
      </c>
      <c r="CB94" s="248"/>
      <c r="CC94" s="301"/>
      <c r="CD94" s="226">
        <v>4</v>
      </c>
      <c r="CE94" s="59">
        <f t="shared" si="578"/>
        <v>1</v>
      </c>
      <c r="CF94" s="254">
        <f t="shared" si="579"/>
        <v>128</v>
      </c>
      <c r="CG94" s="263">
        <f t="shared" si="580"/>
        <v>10</v>
      </c>
      <c r="CH94" s="248"/>
      <c r="CI94" s="301"/>
      <c r="CJ94" s="226">
        <v>4</v>
      </c>
      <c r="CK94" s="59">
        <f t="shared" si="581"/>
        <v>1</v>
      </c>
      <c r="CL94" s="254">
        <f t="shared" si="582"/>
        <v>128</v>
      </c>
      <c r="CM94" s="263">
        <f t="shared" si="583"/>
        <v>10</v>
      </c>
      <c r="CN94" s="248"/>
      <c r="CO94" s="301"/>
      <c r="CP94" s="226">
        <v>4</v>
      </c>
      <c r="CQ94" s="59">
        <f t="shared" si="584"/>
        <v>1</v>
      </c>
      <c r="CR94" s="254">
        <f t="shared" si="585"/>
        <v>128</v>
      </c>
      <c r="CS94" s="263">
        <f t="shared" si="586"/>
        <v>10</v>
      </c>
      <c r="CT94" s="248"/>
      <c r="CU94" s="305"/>
      <c r="CV94" s="244"/>
      <c r="CW94" s="307"/>
      <c r="CX94" s="226">
        <v>4</v>
      </c>
      <c r="CY94" s="59">
        <f t="shared" si="587"/>
        <v>1</v>
      </c>
      <c r="CZ94" s="254">
        <f t="shared" si="588"/>
        <v>128</v>
      </c>
      <c r="DA94" s="263">
        <f t="shared" si="589"/>
        <v>10</v>
      </c>
      <c r="DB94" s="248"/>
      <c r="DC94" s="301"/>
      <c r="DD94" s="226">
        <v>4</v>
      </c>
      <c r="DE94" s="59">
        <f t="shared" si="590"/>
        <v>1</v>
      </c>
      <c r="DF94" s="254">
        <f t="shared" si="591"/>
        <v>128</v>
      </c>
      <c r="DG94" s="263">
        <f t="shared" si="592"/>
        <v>10</v>
      </c>
      <c r="DH94" s="248"/>
      <c r="DI94" s="301"/>
      <c r="DJ94" s="226">
        <v>4</v>
      </c>
      <c r="DK94" s="59">
        <f t="shared" si="593"/>
        <v>1</v>
      </c>
      <c r="DL94" s="254">
        <f t="shared" si="594"/>
        <v>128</v>
      </c>
      <c r="DM94" s="263">
        <f t="shared" si="595"/>
        <v>10</v>
      </c>
      <c r="DN94" s="248"/>
      <c r="DO94" s="301"/>
      <c r="DP94" s="226">
        <v>4</v>
      </c>
      <c r="DQ94" s="59">
        <f t="shared" si="596"/>
        <v>1</v>
      </c>
      <c r="DR94" s="254">
        <f t="shared" si="597"/>
        <v>128</v>
      </c>
      <c r="DS94" s="263">
        <f t="shared" si="598"/>
        <v>10</v>
      </c>
      <c r="DT94" s="248"/>
      <c r="DU94" s="305"/>
      <c r="DV94" s="244"/>
      <c r="DW94" s="307"/>
      <c r="DX94" s="226">
        <v>4</v>
      </c>
      <c r="DY94" s="59">
        <f t="shared" si="599"/>
        <v>1</v>
      </c>
      <c r="DZ94" s="254">
        <f t="shared" si="600"/>
        <v>128</v>
      </c>
      <c r="EA94" s="263">
        <f t="shared" si="601"/>
        <v>10</v>
      </c>
      <c r="EB94" s="248"/>
      <c r="EC94" s="301"/>
      <c r="ED94" s="226">
        <v>4</v>
      </c>
      <c r="EE94" s="59">
        <f t="shared" si="602"/>
        <v>1</v>
      </c>
      <c r="EF94" s="254">
        <f t="shared" si="603"/>
        <v>128</v>
      </c>
      <c r="EG94" s="263">
        <f t="shared" si="604"/>
        <v>10</v>
      </c>
      <c r="EH94" s="248"/>
      <c r="EI94" s="301"/>
      <c r="EJ94" s="226">
        <v>4</v>
      </c>
      <c r="EK94" s="59">
        <f t="shared" si="605"/>
        <v>1</v>
      </c>
      <c r="EL94" s="254">
        <f t="shared" si="606"/>
        <v>128</v>
      </c>
      <c r="EM94" s="263">
        <f t="shared" si="607"/>
        <v>10</v>
      </c>
      <c r="EN94" s="248"/>
      <c r="EO94" s="305"/>
      <c r="EP94" s="244"/>
      <c r="EQ94" s="307"/>
      <c r="ER94" s="226">
        <v>4</v>
      </c>
      <c r="ES94" s="59">
        <f t="shared" si="608"/>
        <v>1</v>
      </c>
      <c r="ET94" s="254">
        <f t="shared" si="609"/>
        <v>128</v>
      </c>
      <c r="EU94" s="263">
        <f t="shared" si="610"/>
        <v>10</v>
      </c>
      <c r="EV94" s="248"/>
      <c r="EW94" s="301"/>
      <c r="EX94" s="226">
        <v>4</v>
      </c>
      <c r="EY94" s="59">
        <f t="shared" si="611"/>
        <v>1</v>
      </c>
      <c r="EZ94" s="254">
        <f t="shared" si="612"/>
        <v>128</v>
      </c>
      <c r="FA94" s="263">
        <f t="shared" si="613"/>
        <v>10</v>
      </c>
      <c r="FB94" s="248"/>
      <c r="FC94" s="301"/>
      <c r="FD94" s="226">
        <v>4</v>
      </c>
      <c r="FE94" s="59">
        <f t="shared" si="614"/>
        <v>1</v>
      </c>
      <c r="FF94" s="254">
        <f t="shared" si="615"/>
        <v>128</v>
      </c>
      <c r="FG94" s="263">
        <f t="shared" si="616"/>
        <v>10</v>
      </c>
      <c r="FH94" s="248"/>
      <c r="FI94" s="301"/>
      <c r="FJ94" s="226">
        <v>4</v>
      </c>
      <c r="FK94" s="59">
        <f t="shared" si="617"/>
        <v>1</v>
      </c>
      <c r="FL94" s="254">
        <f t="shared" si="618"/>
        <v>128</v>
      </c>
      <c r="FM94" s="263">
        <f t="shared" si="619"/>
        <v>10</v>
      </c>
      <c r="FN94" s="248"/>
      <c r="FO94" s="305"/>
      <c r="FP94" s="244"/>
    </row>
    <row r="95" spans="1:172" ht="17" x14ac:dyDescent="0.45">
      <c r="A95" s="307"/>
      <c r="B95" s="226">
        <v>5</v>
      </c>
      <c r="C95" s="59">
        <v>0</v>
      </c>
      <c r="D95" s="254">
        <f t="shared" si="543"/>
        <v>120</v>
      </c>
      <c r="E95" s="263">
        <f t="shared" si="544"/>
        <v>12</v>
      </c>
      <c r="F95" s="248"/>
      <c r="G95" s="301"/>
      <c r="H95" s="226">
        <v>5</v>
      </c>
      <c r="I95" s="59">
        <f t="shared" si="545"/>
        <v>0</v>
      </c>
      <c r="J95" s="254">
        <f t="shared" si="546"/>
        <v>120</v>
      </c>
      <c r="K95" s="263">
        <f t="shared" si="547"/>
        <v>12</v>
      </c>
      <c r="L95" s="248"/>
      <c r="M95" s="305"/>
      <c r="N95" s="244"/>
      <c r="O95" s="307"/>
      <c r="P95" s="226">
        <v>5</v>
      </c>
      <c r="Q95" s="59">
        <f t="shared" si="548"/>
        <v>0</v>
      </c>
      <c r="R95" s="254">
        <f t="shared" si="549"/>
        <v>120</v>
      </c>
      <c r="S95" s="263">
        <f t="shared" si="550"/>
        <v>12</v>
      </c>
      <c r="T95" s="248"/>
      <c r="U95" s="301"/>
      <c r="V95" s="226">
        <v>5</v>
      </c>
      <c r="W95" s="59">
        <f t="shared" si="551"/>
        <v>0</v>
      </c>
      <c r="X95" s="254">
        <f t="shared" si="552"/>
        <v>120</v>
      </c>
      <c r="Y95" s="263">
        <f t="shared" si="553"/>
        <v>12</v>
      </c>
      <c r="Z95" s="248"/>
      <c r="AA95" s="301"/>
      <c r="AB95" s="226">
        <v>5</v>
      </c>
      <c r="AC95" s="59">
        <f t="shared" si="554"/>
        <v>0</v>
      </c>
      <c r="AD95" s="254">
        <f t="shared" si="555"/>
        <v>120</v>
      </c>
      <c r="AE95" s="263">
        <f t="shared" si="556"/>
        <v>12</v>
      </c>
      <c r="AF95" s="248"/>
      <c r="AG95" s="305"/>
      <c r="AH95" s="244"/>
      <c r="AI95" s="307"/>
      <c r="AJ95" s="226">
        <v>5</v>
      </c>
      <c r="AK95" s="59">
        <f t="shared" si="557"/>
        <v>0</v>
      </c>
      <c r="AL95" s="254">
        <f t="shared" si="558"/>
        <v>120</v>
      </c>
      <c r="AM95" s="263">
        <f t="shared" si="559"/>
        <v>12</v>
      </c>
      <c r="AN95" s="248"/>
      <c r="AO95" s="301"/>
      <c r="AP95" s="226">
        <v>5</v>
      </c>
      <c r="AQ95" s="59">
        <f t="shared" si="560"/>
        <v>0</v>
      </c>
      <c r="AR95" s="254">
        <f t="shared" si="561"/>
        <v>120</v>
      </c>
      <c r="AS95" s="263">
        <f t="shared" si="562"/>
        <v>12</v>
      </c>
      <c r="AT95" s="248"/>
      <c r="AU95" s="301"/>
      <c r="AV95" s="226">
        <v>5</v>
      </c>
      <c r="AW95" s="59">
        <f t="shared" si="563"/>
        <v>0</v>
      </c>
      <c r="AX95" s="254">
        <f t="shared" si="564"/>
        <v>120</v>
      </c>
      <c r="AY95" s="263">
        <f t="shared" si="565"/>
        <v>12</v>
      </c>
      <c r="AZ95" s="248"/>
      <c r="BA95" s="305"/>
      <c r="BB95" s="244"/>
      <c r="BC95" s="307"/>
      <c r="BD95" s="226">
        <v>5</v>
      </c>
      <c r="BE95" s="59">
        <f t="shared" si="566"/>
        <v>0</v>
      </c>
      <c r="BF95" s="254">
        <f t="shared" si="567"/>
        <v>120</v>
      </c>
      <c r="BG95" s="263">
        <f t="shared" si="568"/>
        <v>12</v>
      </c>
      <c r="BH95" s="248"/>
      <c r="BI95" s="301"/>
      <c r="BJ95" s="226">
        <v>5</v>
      </c>
      <c r="BK95" s="59">
        <f t="shared" si="569"/>
        <v>0</v>
      </c>
      <c r="BL95" s="254">
        <f t="shared" si="570"/>
        <v>120</v>
      </c>
      <c r="BM95" s="263">
        <f t="shared" si="571"/>
        <v>12</v>
      </c>
      <c r="BN95" s="248"/>
      <c r="BO95" s="301"/>
      <c r="BP95" s="226">
        <v>5</v>
      </c>
      <c r="BQ95" s="59">
        <f t="shared" si="572"/>
        <v>0</v>
      </c>
      <c r="BR95" s="254">
        <f t="shared" si="573"/>
        <v>120</v>
      </c>
      <c r="BS95" s="263">
        <f t="shared" si="574"/>
        <v>12</v>
      </c>
      <c r="BT95" s="248"/>
      <c r="BU95" s="305"/>
      <c r="BV95" s="244"/>
      <c r="BW95" s="307"/>
      <c r="BX95" s="226">
        <v>5</v>
      </c>
      <c r="BY95" s="59">
        <f t="shared" si="575"/>
        <v>0</v>
      </c>
      <c r="BZ95" s="254">
        <f t="shared" si="576"/>
        <v>120</v>
      </c>
      <c r="CA95" s="263">
        <f t="shared" si="577"/>
        <v>12</v>
      </c>
      <c r="CB95" s="248"/>
      <c r="CC95" s="301"/>
      <c r="CD95" s="226">
        <v>5</v>
      </c>
      <c r="CE95" s="59">
        <f t="shared" si="578"/>
        <v>0</v>
      </c>
      <c r="CF95" s="254">
        <f t="shared" si="579"/>
        <v>120</v>
      </c>
      <c r="CG95" s="263">
        <f t="shared" si="580"/>
        <v>12</v>
      </c>
      <c r="CH95" s="248"/>
      <c r="CI95" s="301"/>
      <c r="CJ95" s="226">
        <v>5</v>
      </c>
      <c r="CK95" s="59">
        <f t="shared" si="581"/>
        <v>0</v>
      </c>
      <c r="CL95" s="254">
        <f t="shared" si="582"/>
        <v>120</v>
      </c>
      <c r="CM95" s="263">
        <f t="shared" si="583"/>
        <v>12</v>
      </c>
      <c r="CN95" s="248"/>
      <c r="CO95" s="301"/>
      <c r="CP95" s="226">
        <v>5</v>
      </c>
      <c r="CQ95" s="59">
        <f t="shared" si="584"/>
        <v>0</v>
      </c>
      <c r="CR95" s="254">
        <f t="shared" si="585"/>
        <v>120</v>
      </c>
      <c r="CS95" s="263">
        <f t="shared" si="586"/>
        <v>12</v>
      </c>
      <c r="CT95" s="248"/>
      <c r="CU95" s="305"/>
      <c r="CV95" s="244"/>
      <c r="CW95" s="307"/>
      <c r="CX95" s="226">
        <v>5</v>
      </c>
      <c r="CY95" s="59">
        <f t="shared" si="587"/>
        <v>0</v>
      </c>
      <c r="CZ95" s="254">
        <f t="shared" si="588"/>
        <v>120</v>
      </c>
      <c r="DA95" s="263">
        <f t="shared" si="589"/>
        <v>12</v>
      </c>
      <c r="DB95" s="248"/>
      <c r="DC95" s="301"/>
      <c r="DD95" s="226">
        <v>5</v>
      </c>
      <c r="DE95" s="59">
        <f t="shared" si="590"/>
        <v>0</v>
      </c>
      <c r="DF95" s="254">
        <f t="shared" si="591"/>
        <v>120</v>
      </c>
      <c r="DG95" s="263">
        <f t="shared" si="592"/>
        <v>12</v>
      </c>
      <c r="DH95" s="248"/>
      <c r="DI95" s="301"/>
      <c r="DJ95" s="226">
        <v>5</v>
      </c>
      <c r="DK95" s="59">
        <f t="shared" si="593"/>
        <v>0</v>
      </c>
      <c r="DL95" s="254">
        <f t="shared" si="594"/>
        <v>120</v>
      </c>
      <c r="DM95" s="263">
        <f t="shared" si="595"/>
        <v>12</v>
      </c>
      <c r="DN95" s="248"/>
      <c r="DO95" s="301"/>
      <c r="DP95" s="226">
        <v>5</v>
      </c>
      <c r="DQ95" s="59">
        <f t="shared" si="596"/>
        <v>0</v>
      </c>
      <c r="DR95" s="254">
        <f t="shared" si="597"/>
        <v>120</v>
      </c>
      <c r="DS95" s="263">
        <f t="shared" si="598"/>
        <v>12</v>
      </c>
      <c r="DT95" s="248"/>
      <c r="DU95" s="305"/>
      <c r="DV95" s="244"/>
      <c r="DW95" s="307"/>
      <c r="DX95" s="226">
        <v>5</v>
      </c>
      <c r="DY95" s="59">
        <f t="shared" si="599"/>
        <v>0</v>
      </c>
      <c r="DZ95" s="254">
        <f t="shared" si="600"/>
        <v>120</v>
      </c>
      <c r="EA95" s="263">
        <f t="shared" si="601"/>
        <v>12</v>
      </c>
      <c r="EB95" s="248"/>
      <c r="EC95" s="301"/>
      <c r="ED95" s="226">
        <v>5</v>
      </c>
      <c r="EE95" s="59">
        <f t="shared" si="602"/>
        <v>0</v>
      </c>
      <c r="EF95" s="254">
        <f t="shared" si="603"/>
        <v>120</v>
      </c>
      <c r="EG95" s="263">
        <f t="shared" si="604"/>
        <v>12</v>
      </c>
      <c r="EH95" s="248"/>
      <c r="EI95" s="301"/>
      <c r="EJ95" s="226">
        <v>5</v>
      </c>
      <c r="EK95" s="59">
        <f t="shared" si="605"/>
        <v>0</v>
      </c>
      <c r="EL95" s="254">
        <f t="shared" si="606"/>
        <v>120</v>
      </c>
      <c r="EM95" s="263">
        <f t="shared" si="607"/>
        <v>12</v>
      </c>
      <c r="EN95" s="248"/>
      <c r="EO95" s="305"/>
      <c r="EP95" s="244"/>
      <c r="EQ95" s="307"/>
      <c r="ER95" s="226">
        <v>5</v>
      </c>
      <c r="ES95" s="59">
        <f t="shared" si="608"/>
        <v>0</v>
      </c>
      <c r="ET95" s="254">
        <f t="shared" si="609"/>
        <v>120</v>
      </c>
      <c r="EU95" s="263">
        <f t="shared" si="610"/>
        <v>12</v>
      </c>
      <c r="EV95" s="248"/>
      <c r="EW95" s="301"/>
      <c r="EX95" s="226">
        <v>5</v>
      </c>
      <c r="EY95" s="59">
        <f t="shared" si="611"/>
        <v>0</v>
      </c>
      <c r="EZ95" s="254">
        <f t="shared" si="612"/>
        <v>120</v>
      </c>
      <c r="FA95" s="263">
        <f t="shared" si="613"/>
        <v>12</v>
      </c>
      <c r="FB95" s="248"/>
      <c r="FC95" s="301"/>
      <c r="FD95" s="226">
        <v>5</v>
      </c>
      <c r="FE95" s="59">
        <f t="shared" si="614"/>
        <v>0</v>
      </c>
      <c r="FF95" s="254">
        <f t="shared" si="615"/>
        <v>120</v>
      </c>
      <c r="FG95" s="263">
        <f t="shared" si="616"/>
        <v>12</v>
      </c>
      <c r="FH95" s="248"/>
      <c r="FI95" s="301"/>
      <c r="FJ95" s="226">
        <v>5</v>
      </c>
      <c r="FK95" s="59">
        <f t="shared" si="617"/>
        <v>0</v>
      </c>
      <c r="FL95" s="254">
        <f t="shared" si="618"/>
        <v>120</v>
      </c>
      <c r="FM95" s="263">
        <f t="shared" si="619"/>
        <v>12</v>
      </c>
      <c r="FN95" s="248"/>
      <c r="FO95" s="305"/>
      <c r="FP95" s="244"/>
    </row>
    <row r="96" spans="1:172" ht="17" x14ac:dyDescent="0.45">
      <c r="A96" s="307"/>
      <c r="B96" s="226">
        <v>6</v>
      </c>
      <c r="C96" s="59">
        <v>0</v>
      </c>
      <c r="D96" s="254">
        <f t="shared" si="543"/>
        <v>120</v>
      </c>
      <c r="E96" s="263">
        <f t="shared" si="544"/>
        <v>8</v>
      </c>
      <c r="F96" s="248"/>
      <c r="G96" s="301"/>
      <c r="H96" s="226">
        <v>6</v>
      </c>
      <c r="I96" s="59">
        <f t="shared" si="545"/>
        <v>0</v>
      </c>
      <c r="J96" s="254">
        <f t="shared" si="546"/>
        <v>120</v>
      </c>
      <c r="K96" s="263">
        <f t="shared" si="547"/>
        <v>8</v>
      </c>
      <c r="L96" s="248"/>
      <c r="M96" s="305"/>
      <c r="N96" s="244"/>
      <c r="O96" s="307"/>
      <c r="P96" s="226">
        <v>6</v>
      </c>
      <c r="Q96" s="59">
        <f t="shared" si="548"/>
        <v>0</v>
      </c>
      <c r="R96" s="254">
        <f t="shared" si="549"/>
        <v>120</v>
      </c>
      <c r="S96" s="263">
        <f t="shared" si="550"/>
        <v>8</v>
      </c>
      <c r="T96" s="248"/>
      <c r="U96" s="301"/>
      <c r="V96" s="226">
        <v>6</v>
      </c>
      <c r="W96" s="59">
        <f t="shared" si="551"/>
        <v>0</v>
      </c>
      <c r="X96" s="254">
        <f t="shared" si="552"/>
        <v>120</v>
      </c>
      <c r="Y96" s="263">
        <f t="shared" si="553"/>
        <v>8</v>
      </c>
      <c r="Z96" s="248"/>
      <c r="AA96" s="301"/>
      <c r="AB96" s="226">
        <v>6</v>
      </c>
      <c r="AC96" s="59">
        <f t="shared" si="554"/>
        <v>0</v>
      </c>
      <c r="AD96" s="254">
        <f t="shared" si="555"/>
        <v>120</v>
      </c>
      <c r="AE96" s="263">
        <f t="shared" si="556"/>
        <v>8</v>
      </c>
      <c r="AF96" s="248"/>
      <c r="AG96" s="305"/>
      <c r="AH96" s="244"/>
      <c r="AI96" s="307"/>
      <c r="AJ96" s="226">
        <v>6</v>
      </c>
      <c r="AK96" s="59">
        <f t="shared" si="557"/>
        <v>0</v>
      </c>
      <c r="AL96" s="254">
        <f t="shared" si="558"/>
        <v>120</v>
      </c>
      <c r="AM96" s="263">
        <f t="shared" si="559"/>
        <v>8</v>
      </c>
      <c r="AN96" s="248"/>
      <c r="AO96" s="301"/>
      <c r="AP96" s="226">
        <v>6</v>
      </c>
      <c r="AQ96" s="59">
        <f t="shared" si="560"/>
        <v>0</v>
      </c>
      <c r="AR96" s="254">
        <f t="shared" si="561"/>
        <v>120</v>
      </c>
      <c r="AS96" s="263">
        <f t="shared" si="562"/>
        <v>8</v>
      </c>
      <c r="AT96" s="248"/>
      <c r="AU96" s="301"/>
      <c r="AV96" s="226">
        <v>6</v>
      </c>
      <c r="AW96" s="59">
        <f t="shared" si="563"/>
        <v>0</v>
      </c>
      <c r="AX96" s="254">
        <f t="shared" si="564"/>
        <v>120</v>
      </c>
      <c r="AY96" s="263">
        <f t="shared" si="565"/>
        <v>8</v>
      </c>
      <c r="AZ96" s="248"/>
      <c r="BA96" s="305"/>
      <c r="BB96" s="244"/>
      <c r="BC96" s="307"/>
      <c r="BD96" s="226">
        <v>6</v>
      </c>
      <c r="BE96" s="59">
        <f t="shared" si="566"/>
        <v>0</v>
      </c>
      <c r="BF96" s="254">
        <f t="shared" si="567"/>
        <v>120</v>
      </c>
      <c r="BG96" s="263">
        <f t="shared" si="568"/>
        <v>8</v>
      </c>
      <c r="BH96" s="248"/>
      <c r="BI96" s="301"/>
      <c r="BJ96" s="226">
        <v>6</v>
      </c>
      <c r="BK96" s="59">
        <f t="shared" si="569"/>
        <v>0</v>
      </c>
      <c r="BL96" s="254">
        <f t="shared" si="570"/>
        <v>120</v>
      </c>
      <c r="BM96" s="263">
        <f t="shared" si="571"/>
        <v>8</v>
      </c>
      <c r="BN96" s="248"/>
      <c r="BO96" s="301"/>
      <c r="BP96" s="226">
        <v>6</v>
      </c>
      <c r="BQ96" s="59">
        <f t="shared" si="572"/>
        <v>0</v>
      </c>
      <c r="BR96" s="254">
        <f t="shared" si="573"/>
        <v>120</v>
      </c>
      <c r="BS96" s="263">
        <f t="shared" si="574"/>
        <v>8</v>
      </c>
      <c r="BT96" s="248"/>
      <c r="BU96" s="305"/>
      <c r="BV96" s="244"/>
      <c r="BW96" s="307"/>
      <c r="BX96" s="226">
        <v>6</v>
      </c>
      <c r="BY96" s="59">
        <f t="shared" si="575"/>
        <v>0</v>
      </c>
      <c r="BZ96" s="254">
        <f t="shared" si="576"/>
        <v>120</v>
      </c>
      <c r="CA96" s="263">
        <f t="shared" si="577"/>
        <v>8</v>
      </c>
      <c r="CB96" s="248"/>
      <c r="CC96" s="301"/>
      <c r="CD96" s="226">
        <v>6</v>
      </c>
      <c r="CE96" s="59">
        <f t="shared" si="578"/>
        <v>0</v>
      </c>
      <c r="CF96" s="254">
        <f t="shared" si="579"/>
        <v>120</v>
      </c>
      <c r="CG96" s="263">
        <f t="shared" si="580"/>
        <v>8</v>
      </c>
      <c r="CH96" s="248"/>
      <c r="CI96" s="301"/>
      <c r="CJ96" s="226">
        <v>6</v>
      </c>
      <c r="CK96" s="59">
        <f t="shared" si="581"/>
        <v>0</v>
      </c>
      <c r="CL96" s="254">
        <f t="shared" si="582"/>
        <v>120</v>
      </c>
      <c r="CM96" s="263">
        <f t="shared" si="583"/>
        <v>8</v>
      </c>
      <c r="CN96" s="248"/>
      <c r="CO96" s="301"/>
      <c r="CP96" s="226">
        <v>6</v>
      </c>
      <c r="CQ96" s="59">
        <f t="shared" si="584"/>
        <v>0</v>
      </c>
      <c r="CR96" s="254">
        <f t="shared" si="585"/>
        <v>120</v>
      </c>
      <c r="CS96" s="263">
        <f t="shared" si="586"/>
        <v>8</v>
      </c>
      <c r="CT96" s="248"/>
      <c r="CU96" s="305"/>
      <c r="CV96" s="244"/>
      <c r="CW96" s="307"/>
      <c r="CX96" s="226">
        <v>6</v>
      </c>
      <c r="CY96" s="59">
        <f t="shared" si="587"/>
        <v>0</v>
      </c>
      <c r="CZ96" s="254">
        <f t="shared" si="588"/>
        <v>120</v>
      </c>
      <c r="DA96" s="263">
        <f t="shared" si="589"/>
        <v>8</v>
      </c>
      <c r="DB96" s="248"/>
      <c r="DC96" s="301"/>
      <c r="DD96" s="226">
        <v>6</v>
      </c>
      <c r="DE96" s="59">
        <f t="shared" si="590"/>
        <v>0</v>
      </c>
      <c r="DF96" s="254">
        <f t="shared" si="591"/>
        <v>120</v>
      </c>
      <c r="DG96" s="263">
        <f t="shared" si="592"/>
        <v>8</v>
      </c>
      <c r="DH96" s="248"/>
      <c r="DI96" s="301"/>
      <c r="DJ96" s="226">
        <v>6</v>
      </c>
      <c r="DK96" s="59">
        <f t="shared" si="593"/>
        <v>0</v>
      </c>
      <c r="DL96" s="254">
        <f t="shared" si="594"/>
        <v>120</v>
      </c>
      <c r="DM96" s="263">
        <f t="shared" si="595"/>
        <v>8</v>
      </c>
      <c r="DN96" s="248"/>
      <c r="DO96" s="301"/>
      <c r="DP96" s="226">
        <v>6</v>
      </c>
      <c r="DQ96" s="59">
        <f t="shared" si="596"/>
        <v>0</v>
      </c>
      <c r="DR96" s="254">
        <f t="shared" si="597"/>
        <v>120</v>
      </c>
      <c r="DS96" s="263">
        <f t="shared" si="598"/>
        <v>8</v>
      </c>
      <c r="DT96" s="248"/>
      <c r="DU96" s="305"/>
      <c r="DV96" s="244"/>
      <c r="DW96" s="307"/>
      <c r="DX96" s="226">
        <v>6</v>
      </c>
      <c r="DY96" s="59">
        <f t="shared" si="599"/>
        <v>0</v>
      </c>
      <c r="DZ96" s="254">
        <f t="shared" si="600"/>
        <v>120</v>
      </c>
      <c r="EA96" s="263">
        <f t="shared" si="601"/>
        <v>8</v>
      </c>
      <c r="EB96" s="248"/>
      <c r="EC96" s="301"/>
      <c r="ED96" s="226">
        <v>6</v>
      </c>
      <c r="EE96" s="59">
        <f t="shared" si="602"/>
        <v>0</v>
      </c>
      <c r="EF96" s="254">
        <f t="shared" si="603"/>
        <v>120</v>
      </c>
      <c r="EG96" s="263">
        <f t="shared" si="604"/>
        <v>8</v>
      </c>
      <c r="EH96" s="248"/>
      <c r="EI96" s="301"/>
      <c r="EJ96" s="226">
        <v>6</v>
      </c>
      <c r="EK96" s="59">
        <f t="shared" si="605"/>
        <v>0</v>
      </c>
      <c r="EL96" s="254">
        <f t="shared" si="606"/>
        <v>120</v>
      </c>
      <c r="EM96" s="263">
        <f t="shared" si="607"/>
        <v>8</v>
      </c>
      <c r="EN96" s="248"/>
      <c r="EO96" s="305"/>
      <c r="EP96" s="244"/>
      <c r="EQ96" s="307"/>
      <c r="ER96" s="226">
        <v>6</v>
      </c>
      <c r="ES96" s="59">
        <f t="shared" si="608"/>
        <v>0</v>
      </c>
      <c r="ET96" s="254">
        <f t="shared" si="609"/>
        <v>120</v>
      </c>
      <c r="EU96" s="263">
        <f t="shared" si="610"/>
        <v>8</v>
      </c>
      <c r="EV96" s="248"/>
      <c r="EW96" s="301"/>
      <c r="EX96" s="226">
        <v>6</v>
      </c>
      <c r="EY96" s="59">
        <f t="shared" si="611"/>
        <v>0</v>
      </c>
      <c r="EZ96" s="254">
        <f t="shared" si="612"/>
        <v>120</v>
      </c>
      <c r="FA96" s="263">
        <f t="shared" si="613"/>
        <v>8</v>
      </c>
      <c r="FB96" s="248"/>
      <c r="FC96" s="301"/>
      <c r="FD96" s="226">
        <v>6</v>
      </c>
      <c r="FE96" s="59">
        <f t="shared" si="614"/>
        <v>0</v>
      </c>
      <c r="FF96" s="254">
        <f t="shared" si="615"/>
        <v>120</v>
      </c>
      <c r="FG96" s="263">
        <f t="shared" si="616"/>
        <v>8</v>
      </c>
      <c r="FH96" s="248"/>
      <c r="FI96" s="301"/>
      <c r="FJ96" s="226">
        <v>6</v>
      </c>
      <c r="FK96" s="59">
        <f t="shared" si="617"/>
        <v>0</v>
      </c>
      <c r="FL96" s="254">
        <f t="shared" si="618"/>
        <v>120</v>
      </c>
      <c r="FM96" s="263">
        <f t="shared" si="619"/>
        <v>8</v>
      </c>
      <c r="FN96" s="248"/>
      <c r="FO96" s="305"/>
      <c r="FP96" s="244"/>
    </row>
    <row r="97" spans="1:172" ht="17" x14ac:dyDescent="0.45">
      <c r="A97" s="307"/>
      <c r="B97" s="226">
        <v>7</v>
      </c>
      <c r="C97" s="59">
        <v>0</v>
      </c>
      <c r="D97" s="254">
        <f t="shared" si="543"/>
        <v>120</v>
      </c>
      <c r="E97" s="263">
        <f t="shared" si="544"/>
        <v>21</v>
      </c>
      <c r="F97" s="248">
        <v>12</v>
      </c>
      <c r="G97" s="301"/>
      <c r="H97" s="226">
        <v>7</v>
      </c>
      <c r="I97" s="59">
        <f t="shared" si="545"/>
        <v>1</v>
      </c>
      <c r="J97" s="254">
        <f t="shared" si="546"/>
        <v>128</v>
      </c>
      <c r="K97" s="263">
        <f t="shared" si="547"/>
        <v>29</v>
      </c>
      <c r="L97" s="248"/>
      <c r="M97" s="305"/>
      <c r="N97" s="244"/>
      <c r="O97" s="307"/>
      <c r="P97" s="226">
        <v>7</v>
      </c>
      <c r="Q97" s="59">
        <f t="shared" si="548"/>
        <v>1</v>
      </c>
      <c r="R97" s="254">
        <f t="shared" si="549"/>
        <v>128</v>
      </c>
      <c r="S97" s="263">
        <f t="shared" si="550"/>
        <v>29</v>
      </c>
      <c r="T97" s="248"/>
      <c r="U97" s="301"/>
      <c r="V97" s="226">
        <v>7</v>
      </c>
      <c r="W97" s="59">
        <f t="shared" si="551"/>
        <v>1</v>
      </c>
      <c r="X97" s="254">
        <f t="shared" si="552"/>
        <v>128</v>
      </c>
      <c r="Y97" s="263">
        <f t="shared" si="553"/>
        <v>29</v>
      </c>
      <c r="Z97" s="248">
        <v>14</v>
      </c>
      <c r="AA97" s="301"/>
      <c r="AB97" s="226">
        <v>7</v>
      </c>
      <c r="AC97" s="59">
        <f t="shared" si="554"/>
        <v>2</v>
      </c>
      <c r="AD97" s="254">
        <f t="shared" si="555"/>
        <v>136</v>
      </c>
      <c r="AE97" s="263">
        <f t="shared" si="556"/>
        <v>5</v>
      </c>
      <c r="AF97" s="248"/>
      <c r="AG97" s="305"/>
      <c r="AH97" s="244"/>
      <c r="AI97" s="307"/>
      <c r="AJ97" s="226">
        <v>7</v>
      </c>
      <c r="AK97" s="59">
        <f t="shared" si="557"/>
        <v>2</v>
      </c>
      <c r="AL97" s="254">
        <f t="shared" si="558"/>
        <v>136</v>
      </c>
      <c r="AM97" s="263">
        <f t="shared" si="559"/>
        <v>5</v>
      </c>
      <c r="AN97" s="248"/>
      <c r="AO97" s="301"/>
      <c r="AP97" s="226">
        <v>7</v>
      </c>
      <c r="AQ97" s="59">
        <f t="shared" si="560"/>
        <v>2</v>
      </c>
      <c r="AR97" s="254">
        <f t="shared" si="561"/>
        <v>136</v>
      </c>
      <c r="AS97" s="263">
        <f t="shared" si="562"/>
        <v>5</v>
      </c>
      <c r="AT97" s="248"/>
      <c r="AU97" s="301"/>
      <c r="AV97" s="226">
        <v>7</v>
      </c>
      <c r="AW97" s="59">
        <f t="shared" si="563"/>
        <v>2</v>
      </c>
      <c r="AX97" s="254">
        <f t="shared" si="564"/>
        <v>136</v>
      </c>
      <c r="AY97" s="263">
        <f t="shared" si="565"/>
        <v>5</v>
      </c>
      <c r="AZ97" s="248"/>
      <c r="BA97" s="305"/>
      <c r="BB97" s="244"/>
      <c r="BC97" s="307"/>
      <c r="BD97" s="226">
        <v>7</v>
      </c>
      <c r="BE97" s="59">
        <f t="shared" si="566"/>
        <v>2</v>
      </c>
      <c r="BF97" s="254">
        <f t="shared" si="567"/>
        <v>136</v>
      </c>
      <c r="BG97" s="263">
        <f t="shared" si="568"/>
        <v>5</v>
      </c>
      <c r="BH97" s="248"/>
      <c r="BI97" s="301"/>
      <c r="BJ97" s="226">
        <v>7</v>
      </c>
      <c r="BK97" s="59">
        <f t="shared" si="569"/>
        <v>2</v>
      </c>
      <c r="BL97" s="254">
        <f t="shared" si="570"/>
        <v>136</v>
      </c>
      <c r="BM97" s="263">
        <f t="shared" si="571"/>
        <v>5</v>
      </c>
      <c r="BN97" s="248"/>
      <c r="BO97" s="301"/>
      <c r="BP97" s="226">
        <v>7</v>
      </c>
      <c r="BQ97" s="59">
        <f t="shared" si="572"/>
        <v>2</v>
      </c>
      <c r="BR97" s="254">
        <f t="shared" si="573"/>
        <v>136</v>
      </c>
      <c r="BS97" s="263">
        <f t="shared" si="574"/>
        <v>5</v>
      </c>
      <c r="BT97" s="248"/>
      <c r="BU97" s="305"/>
      <c r="BV97" s="244"/>
      <c r="BW97" s="307"/>
      <c r="BX97" s="226">
        <v>7</v>
      </c>
      <c r="BY97" s="59">
        <f t="shared" si="575"/>
        <v>2</v>
      </c>
      <c r="BZ97" s="254">
        <f t="shared" si="576"/>
        <v>136</v>
      </c>
      <c r="CA97" s="263">
        <f t="shared" si="577"/>
        <v>5</v>
      </c>
      <c r="CB97" s="248"/>
      <c r="CC97" s="301"/>
      <c r="CD97" s="226">
        <v>7</v>
      </c>
      <c r="CE97" s="59">
        <f t="shared" si="578"/>
        <v>2</v>
      </c>
      <c r="CF97" s="254">
        <f t="shared" si="579"/>
        <v>136</v>
      </c>
      <c r="CG97" s="263">
        <f t="shared" si="580"/>
        <v>5</v>
      </c>
      <c r="CH97" s="248"/>
      <c r="CI97" s="301"/>
      <c r="CJ97" s="226">
        <v>7</v>
      </c>
      <c r="CK97" s="59">
        <f t="shared" si="581"/>
        <v>2</v>
      </c>
      <c r="CL97" s="254">
        <f t="shared" si="582"/>
        <v>136</v>
      </c>
      <c r="CM97" s="263">
        <f t="shared" si="583"/>
        <v>5</v>
      </c>
      <c r="CN97" s="248"/>
      <c r="CO97" s="301"/>
      <c r="CP97" s="226">
        <v>7</v>
      </c>
      <c r="CQ97" s="59">
        <f t="shared" si="584"/>
        <v>2</v>
      </c>
      <c r="CR97" s="254">
        <f t="shared" si="585"/>
        <v>136</v>
      </c>
      <c r="CS97" s="263">
        <f t="shared" si="586"/>
        <v>5</v>
      </c>
      <c r="CT97" s="248"/>
      <c r="CU97" s="305"/>
      <c r="CV97" s="244"/>
      <c r="CW97" s="307"/>
      <c r="CX97" s="226">
        <v>7</v>
      </c>
      <c r="CY97" s="59">
        <f t="shared" si="587"/>
        <v>2</v>
      </c>
      <c r="CZ97" s="254">
        <f t="shared" si="588"/>
        <v>136</v>
      </c>
      <c r="DA97" s="263">
        <f t="shared" si="589"/>
        <v>5</v>
      </c>
      <c r="DB97" s="248"/>
      <c r="DC97" s="301"/>
      <c r="DD97" s="226">
        <v>7</v>
      </c>
      <c r="DE97" s="59">
        <f t="shared" si="590"/>
        <v>2</v>
      </c>
      <c r="DF97" s="254">
        <f t="shared" si="591"/>
        <v>136</v>
      </c>
      <c r="DG97" s="263">
        <f t="shared" si="592"/>
        <v>5</v>
      </c>
      <c r="DH97" s="248"/>
      <c r="DI97" s="301"/>
      <c r="DJ97" s="226">
        <v>7</v>
      </c>
      <c r="DK97" s="59">
        <f t="shared" si="593"/>
        <v>2</v>
      </c>
      <c r="DL97" s="254">
        <f t="shared" si="594"/>
        <v>136</v>
      </c>
      <c r="DM97" s="263">
        <f t="shared" si="595"/>
        <v>5</v>
      </c>
      <c r="DN97" s="248"/>
      <c r="DO97" s="301"/>
      <c r="DP97" s="226">
        <v>7</v>
      </c>
      <c r="DQ97" s="59">
        <f t="shared" si="596"/>
        <v>2</v>
      </c>
      <c r="DR97" s="254">
        <f t="shared" si="597"/>
        <v>136</v>
      </c>
      <c r="DS97" s="263">
        <f t="shared" si="598"/>
        <v>5</v>
      </c>
      <c r="DT97" s="248"/>
      <c r="DU97" s="305"/>
      <c r="DV97" s="244"/>
      <c r="DW97" s="307"/>
      <c r="DX97" s="226">
        <v>7</v>
      </c>
      <c r="DY97" s="59">
        <f t="shared" si="599"/>
        <v>2</v>
      </c>
      <c r="DZ97" s="254">
        <f t="shared" si="600"/>
        <v>136</v>
      </c>
      <c r="EA97" s="263">
        <f t="shared" si="601"/>
        <v>5</v>
      </c>
      <c r="EB97" s="248"/>
      <c r="EC97" s="301"/>
      <c r="ED97" s="226">
        <v>7</v>
      </c>
      <c r="EE97" s="59">
        <f t="shared" si="602"/>
        <v>2</v>
      </c>
      <c r="EF97" s="254">
        <f t="shared" si="603"/>
        <v>136</v>
      </c>
      <c r="EG97" s="263">
        <f t="shared" si="604"/>
        <v>5</v>
      </c>
      <c r="EH97" s="248"/>
      <c r="EI97" s="301"/>
      <c r="EJ97" s="226">
        <v>7</v>
      </c>
      <c r="EK97" s="59">
        <f t="shared" si="605"/>
        <v>2</v>
      </c>
      <c r="EL97" s="254">
        <f t="shared" si="606"/>
        <v>136</v>
      </c>
      <c r="EM97" s="263">
        <f t="shared" si="607"/>
        <v>5</v>
      </c>
      <c r="EN97" s="248"/>
      <c r="EO97" s="305"/>
      <c r="EP97" s="244"/>
      <c r="EQ97" s="307"/>
      <c r="ER97" s="226">
        <v>7</v>
      </c>
      <c r="ES97" s="59">
        <f t="shared" si="608"/>
        <v>2</v>
      </c>
      <c r="ET97" s="254">
        <f t="shared" si="609"/>
        <v>136</v>
      </c>
      <c r="EU97" s="263">
        <f t="shared" si="610"/>
        <v>5</v>
      </c>
      <c r="EV97" s="248"/>
      <c r="EW97" s="301"/>
      <c r="EX97" s="226">
        <v>7</v>
      </c>
      <c r="EY97" s="59">
        <f t="shared" si="611"/>
        <v>2</v>
      </c>
      <c r="EZ97" s="254">
        <f t="shared" si="612"/>
        <v>136</v>
      </c>
      <c r="FA97" s="263">
        <f t="shared" si="613"/>
        <v>5</v>
      </c>
      <c r="FB97" s="248"/>
      <c r="FC97" s="301"/>
      <c r="FD97" s="226">
        <v>7</v>
      </c>
      <c r="FE97" s="59">
        <f t="shared" si="614"/>
        <v>2</v>
      </c>
      <c r="FF97" s="254">
        <f t="shared" si="615"/>
        <v>136</v>
      </c>
      <c r="FG97" s="263">
        <f t="shared" si="616"/>
        <v>5</v>
      </c>
      <c r="FH97" s="248"/>
      <c r="FI97" s="301"/>
      <c r="FJ97" s="226">
        <v>7</v>
      </c>
      <c r="FK97" s="59">
        <f t="shared" si="617"/>
        <v>2</v>
      </c>
      <c r="FL97" s="254">
        <f t="shared" si="618"/>
        <v>136</v>
      </c>
      <c r="FM97" s="263">
        <f t="shared" si="619"/>
        <v>5</v>
      </c>
      <c r="FN97" s="248"/>
      <c r="FO97" s="305"/>
      <c r="FP97" s="244"/>
    </row>
    <row r="98" spans="1:172" s="181" customFormat="1" ht="17.5" thickBot="1" x14ac:dyDescent="0.5">
      <c r="A98" s="308"/>
      <c r="B98" s="267">
        <v>8</v>
      </c>
      <c r="C98" s="59">
        <v>0</v>
      </c>
      <c r="D98" s="254">
        <f t="shared" si="543"/>
        <v>120</v>
      </c>
      <c r="E98" s="263">
        <f t="shared" si="544"/>
        <v>17</v>
      </c>
      <c r="F98" s="267">
        <v>11</v>
      </c>
      <c r="G98" s="303"/>
      <c r="H98" s="267">
        <v>8</v>
      </c>
      <c r="I98" s="253">
        <f t="shared" si="545"/>
        <v>0</v>
      </c>
      <c r="J98" s="254">
        <f t="shared" si="546"/>
        <v>120</v>
      </c>
      <c r="K98" s="263">
        <f t="shared" si="547"/>
        <v>17</v>
      </c>
      <c r="L98" s="267"/>
      <c r="M98" s="305"/>
      <c r="N98" s="244"/>
      <c r="O98" s="308"/>
      <c r="P98" s="267">
        <v>8</v>
      </c>
      <c r="Q98" s="268">
        <f t="shared" si="548"/>
        <v>0</v>
      </c>
      <c r="R98" s="254">
        <f t="shared" si="549"/>
        <v>120</v>
      </c>
      <c r="S98" s="263">
        <f t="shared" si="550"/>
        <v>17</v>
      </c>
      <c r="T98" s="267"/>
      <c r="U98" s="303"/>
      <c r="V98" s="267">
        <v>8</v>
      </c>
      <c r="W98" s="253">
        <f t="shared" si="551"/>
        <v>0</v>
      </c>
      <c r="X98" s="254">
        <f t="shared" si="552"/>
        <v>120</v>
      </c>
      <c r="Y98" s="263">
        <f t="shared" si="553"/>
        <v>17</v>
      </c>
      <c r="Z98" s="267">
        <v>13</v>
      </c>
      <c r="AA98" s="303"/>
      <c r="AB98" s="267">
        <v>8</v>
      </c>
      <c r="AC98" s="253">
        <f t="shared" si="554"/>
        <v>0</v>
      </c>
      <c r="AD98" s="254">
        <f t="shared" si="555"/>
        <v>120</v>
      </c>
      <c r="AE98" s="263">
        <f t="shared" si="556"/>
        <v>17</v>
      </c>
      <c r="AF98" s="267"/>
      <c r="AG98" s="305"/>
      <c r="AH98" s="244"/>
      <c r="AI98" s="308"/>
      <c r="AJ98" s="267">
        <v>8</v>
      </c>
      <c r="AK98" s="268">
        <f t="shared" si="557"/>
        <v>0</v>
      </c>
      <c r="AL98" s="254">
        <f t="shared" si="558"/>
        <v>120</v>
      </c>
      <c r="AM98" s="263">
        <f t="shared" si="559"/>
        <v>17</v>
      </c>
      <c r="AN98" s="267">
        <v>7</v>
      </c>
      <c r="AO98" s="303"/>
      <c r="AP98" s="267">
        <v>8</v>
      </c>
      <c r="AQ98" s="253">
        <f t="shared" si="560"/>
        <v>0</v>
      </c>
      <c r="AR98" s="254">
        <f t="shared" si="561"/>
        <v>120</v>
      </c>
      <c r="AS98" s="263">
        <f t="shared" si="562"/>
        <v>17</v>
      </c>
      <c r="AT98" s="267"/>
      <c r="AU98" s="303"/>
      <c r="AV98" s="267">
        <v>8</v>
      </c>
      <c r="AW98" s="253">
        <f t="shared" si="563"/>
        <v>0</v>
      </c>
      <c r="AX98" s="254">
        <f t="shared" si="564"/>
        <v>120</v>
      </c>
      <c r="AY98" s="263">
        <f t="shared" si="565"/>
        <v>17</v>
      </c>
      <c r="AZ98" s="267"/>
      <c r="BA98" s="305"/>
      <c r="BB98" s="244"/>
      <c r="BC98" s="308"/>
      <c r="BD98" s="267">
        <v>8</v>
      </c>
      <c r="BE98" s="268">
        <f t="shared" si="566"/>
        <v>0</v>
      </c>
      <c r="BF98" s="254">
        <f t="shared" si="567"/>
        <v>120</v>
      </c>
      <c r="BG98" s="263">
        <f t="shared" si="568"/>
        <v>17</v>
      </c>
      <c r="BH98" s="267">
        <v>5</v>
      </c>
      <c r="BI98" s="303"/>
      <c r="BJ98" s="267">
        <v>8</v>
      </c>
      <c r="BK98" s="253">
        <f t="shared" si="569"/>
        <v>0</v>
      </c>
      <c r="BL98" s="254">
        <f t="shared" si="570"/>
        <v>120</v>
      </c>
      <c r="BM98" s="263">
        <f t="shared" si="571"/>
        <v>17</v>
      </c>
      <c r="BN98" s="267">
        <v>11</v>
      </c>
      <c r="BO98" s="303"/>
      <c r="BP98" s="267">
        <v>8</v>
      </c>
      <c r="BQ98" s="253">
        <f t="shared" si="572"/>
        <v>0</v>
      </c>
      <c r="BR98" s="254">
        <f t="shared" si="573"/>
        <v>120</v>
      </c>
      <c r="BS98" s="263">
        <f t="shared" si="574"/>
        <v>17</v>
      </c>
      <c r="BT98" s="267"/>
      <c r="BU98" s="305"/>
      <c r="BV98" s="244"/>
      <c r="BW98" s="308"/>
      <c r="BX98" s="267">
        <v>8</v>
      </c>
      <c r="BY98" s="268">
        <f t="shared" si="575"/>
        <v>0</v>
      </c>
      <c r="BZ98" s="254">
        <f t="shared" si="576"/>
        <v>120</v>
      </c>
      <c r="CA98" s="263">
        <f t="shared" si="577"/>
        <v>17</v>
      </c>
      <c r="CB98" s="267"/>
      <c r="CC98" s="303"/>
      <c r="CD98" s="267">
        <v>8</v>
      </c>
      <c r="CE98" s="253">
        <f t="shared" si="578"/>
        <v>0</v>
      </c>
      <c r="CF98" s="254">
        <f t="shared" si="579"/>
        <v>120</v>
      </c>
      <c r="CG98" s="263">
        <f t="shared" si="580"/>
        <v>17</v>
      </c>
      <c r="CH98" s="267"/>
      <c r="CI98" s="303"/>
      <c r="CJ98" s="267">
        <v>8</v>
      </c>
      <c r="CK98" s="253">
        <f t="shared" si="581"/>
        <v>0</v>
      </c>
      <c r="CL98" s="254">
        <f t="shared" si="582"/>
        <v>120</v>
      </c>
      <c r="CM98" s="263">
        <f t="shared" si="583"/>
        <v>17</v>
      </c>
      <c r="CN98" s="267"/>
      <c r="CO98" s="303"/>
      <c r="CP98" s="267">
        <v>8</v>
      </c>
      <c r="CQ98" s="253">
        <f t="shared" si="584"/>
        <v>0</v>
      </c>
      <c r="CR98" s="254">
        <f t="shared" si="585"/>
        <v>120</v>
      </c>
      <c r="CS98" s="263">
        <f t="shared" si="586"/>
        <v>17</v>
      </c>
      <c r="CT98" s="267"/>
      <c r="CU98" s="305"/>
      <c r="CV98" s="244"/>
      <c r="CW98" s="308"/>
      <c r="CX98" s="267">
        <v>8</v>
      </c>
      <c r="CY98" s="253">
        <f t="shared" si="587"/>
        <v>0</v>
      </c>
      <c r="CZ98" s="254">
        <f t="shared" si="588"/>
        <v>120</v>
      </c>
      <c r="DA98" s="263">
        <f t="shared" si="589"/>
        <v>17</v>
      </c>
      <c r="DB98" s="267"/>
      <c r="DC98" s="303"/>
      <c r="DD98" s="267">
        <v>8</v>
      </c>
      <c r="DE98" s="253">
        <f t="shared" si="590"/>
        <v>0</v>
      </c>
      <c r="DF98" s="254">
        <f t="shared" si="591"/>
        <v>120</v>
      </c>
      <c r="DG98" s="263">
        <f t="shared" si="592"/>
        <v>17</v>
      </c>
      <c r="DH98" s="267"/>
      <c r="DI98" s="303"/>
      <c r="DJ98" s="267">
        <v>8</v>
      </c>
      <c r="DK98" s="253">
        <f t="shared" si="593"/>
        <v>0</v>
      </c>
      <c r="DL98" s="254">
        <f t="shared" si="594"/>
        <v>120</v>
      </c>
      <c r="DM98" s="263">
        <f t="shared" si="595"/>
        <v>17</v>
      </c>
      <c r="DN98" s="267"/>
      <c r="DO98" s="303"/>
      <c r="DP98" s="267">
        <v>8</v>
      </c>
      <c r="DQ98" s="253">
        <f t="shared" si="596"/>
        <v>0</v>
      </c>
      <c r="DR98" s="254">
        <f t="shared" si="597"/>
        <v>120</v>
      </c>
      <c r="DS98" s="263">
        <f t="shared" si="598"/>
        <v>17</v>
      </c>
      <c r="DT98" s="267"/>
      <c r="DU98" s="305"/>
      <c r="DV98" s="244"/>
      <c r="DW98" s="308"/>
      <c r="DX98" s="267">
        <v>8</v>
      </c>
      <c r="DY98" s="253">
        <f t="shared" si="599"/>
        <v>0</v>
      </c>
      <c r="DZ98" s="254">
        <f t="shared" si="600"/>
        <v>120</v>
      </c>
      <c r="EA98" s="263">
        <f t="shared" si="601"/>
        <v>17</v>
      </c>
      <c r="EB98" s="267"/>
      <c r="EC98" s="303"/>
      <c r="ED98" s="267">
        <v>8</v>
      </c>
      <c r="EE98" s="253">
        <f t="shared" si="602"/>
        <v>0</v>
      </c>
      <c r="EF98" s="254">
        <f t="shared" si="603"/>
        <v>120</v>
      </c>
      <c r="EG98" s="263">
        <f t="shared" si="604"/>
        <v>17</v>
      </c>
      <c r="EH98" s="267"/>
      <c r="EI98" s="303"/>
      <c r="EJ98" s="267">
        <v>8</v>
      </c>
      <c r="EK98" s="253">
        <f t="shared" si="605"/>
        <v>0</v>
      </c>
      <c r="EL98" s="254">
        <f t="shared" si="606"/>
        <v>120</v>
      </c>
      <c r="EM98" s="263">
        <f t="shared" si="607"/>
        <v>17</v>
      </c>
      <c r="EN98" s="267"/>
      <c r="EO98" s="305"/>
      <c r="EP98" s="244"/>
      <c r="EQ98" s="308"/>
      <c r="ER98" s="267">
        <v>8</v>
      </c>
      <c r="ES98" s="253">
        <f t="shared" si="608"/>
        <v>0</v>
      </c>
      <c r="ET98" s="254">
        <f t="shared" si="609"/>
        <v>120</v>
      </c>
      <c r="EU98" s="263">
        <f t="shared" si="610"/>
        <v>17</v>
      </c>
      <c r="EV98" s="267"/>
      <c r="EW98" s="303"/>
      <c r="EX98" s="267">
        <v>8</v>
      </c>
      <c r="EY98" s="253">
        <f t="shared" si="611"/>
        <v>0</v>
      </c>
      <c r="EZ98" s="254">
        <f t="shared" si="612"/>
        <v>120</v>
      </c>
      <c r="FA98" s="263">
        <f t="shared" si="613"/>
        <v>17</v>
      </c>
      <c r="FB98" s="267"/>
      <c r="FC98" s="303"/>
      <c r="FD98" s="267">
        <v>8</v>
      </c>
      <c r="FE98" s="253">
        <f t="shared" si="614"/>
        <v>0</v>
      </c>
      <c r="FF98" s="254">
        <f t="shared" si="615"/>
        <v>120</v>
      </c>
      <c r="FG98" s="263">
        <f t="shared" si="616"/>
        <v>17</v>
      </c>
      <c r="FH98" s="267"/>
      <c r="FI98" s="303"/>
      <c r="FJ98" s="267">
        <v>8</v>
      </c>
      <c r="FK98" s="253">
        <f t="shared" si="617"/>
        <v>0</v>
      </c>
      <c r="FL98" s="254">
        <f t="shared" si="618"/>
        <v>120</v>
      </c>
      <c r="FM98" s="263">
        <f t="shared" si="619"/>
        <v>17</v>
      </c>
      <c r="FN98" s="267"/>
      <c r="FO98" s="305"/>
      <c r="FP98" s="244"/>
    </row>
    <row r="99" spans="1:172" ht="19.5" customHeight="1" x14ac:dyDescent="0.45">
      <c r="A99" s="272"/>
      <c r="B99" s="272"/>
      <c r="C99" s="272"/>
      <c r="D99" s="272"/>
      <c r="E99" s="272"/>
      <c r="H99" s="125"/>
      <c r="I99" s="135"/>
      <c r="J99" s="125"/>
      <c r="K99" s="125"/>
      <c r="L99" s="162"/>
      <c r="Q99" s="83"/>
      <c r="V99" s="125"/>
      <c r="W99" s="135"/>
      <c r="X99" s="125"/>
      <c r="Y99" s="125"/>
      <c r="Z99"/>
      <c r="AB99" s="125"/>
      <c r="AC99" s="135"/>
      <c r="AD99" s="125"/>
      <c r="AE99" s="125"/>
      <c r="AF99"/>
      <c r="CB99"/>
    </row>
    <row r="102" spans="1:172" x14ac:dyDescent="0.45">
      <c r="A102" t="s">
        <v>163</v>
      </c>
    </row>
  </sheetData>
  <mergeCells count="282">
    <mergeCell ref="DW16:EN16"/>
    <mergeCell ref="EQ16:FO16"/>
    <mergeCell ref="B18:E18"/>
    <mergeCell ref="A19:A28"/>
    <mergeCell ref="M19:M28"/>
    <mergeCell ref="O19:O28"/>
    <mergeCell ref="U19:U28"/>
    <mergeCell ref="AG19:AG28"/>
    <mergeCell ref="AI19:AI28"/>
    <mergeCell ref="AO19:AO28"/>
    <mergeCell ref="A16:F16"/>
    <mergeCell ref="O16:Z16"/>
    <mergeCell ref="AI16:AT16"/>
    <mergeCell ref="BC16:BN16"/>
    <mergeCell ref="BW16:CT16"/>
    <mergeCell ref="CW16:DT16"/>
    <mergeCell ref="FC19:FC28"/>
    <mergeCell ref="FI19:FI28"/>
    <mergeCell ref="FO19:FO28"/>
    <mergeCell ref="DI19:DI28"/>
    <mergeCell ref="DO19:DO28"/>
    <mergeCell ref="DU19:DU28"/>
    <mergeCell ref="DW19:DW28"/>
    <mergeCell ref="EC19:EC28"/>
    <mergeCell ref="A29:A38"/>
    <mergeCell ref="M29:M38"/>
    <mergeCell ref="O29:O38"/>
    <mergeCell ref="U29:U38"/>
    <mergeCell ref="AG29:AG38"/>
    <mergeCell ref="AI29:AI38"/>
    <mergeCell ref="EO19:EO28"/>
    <mergeCell ref="EQ19:EQ28"/>
    <mergeCell ref="DW29:DW38"/>
    <mergeCell ref="EC29:EC38"/>
    <mergeCell ref="BW29:BW38"/>
    <mergeCell ref="CC29:CC38"/>
    <mergeCell ref="CI29:CI38"/>
    <mergeCell ref="CO29:CO38"/>
    <mergeCell ref="CU29:CU38"/>
    <mergeCell ref="CW29:CW38"/>
    <mergeCell ref="AO29:AO38"/>
    <mergeCell ref="BA29:BA38"/>
    <mergeCell ref="BC29:BC38"/>
    <mergeCell ref="BI29:BI38"/>
    <mergeCell ref="BU29:BU38"/>
    <mergeCell ref="BO29:BO38"/>
    <mergeCell ref="EW19:EW28"/>
    <mergeCell ref="CC19:CC28"/>
    <mergeCell ref="CI19:CI28"/>
    <mergeCell ref="CO19:CO28"/>
    <mergeCell ref="CU19:CU28"/>
    <mergeCell ref="CW19:CW28"/>
    <mergeCell ref="DC19:DC28"/>
    <mergeCell ref="BA19:BA28"/>
    <mergeCell ref="BC19:BC28"/>
    <mergeCell ref="BI19:BI28"/>
    <mergeCell ref="BU19:BU28"/>
    <mergeCell ref="BW19:BW28"/>
    <mergeCell ref="BO19:BO28"/>
    <mergeCell ref="EI19:EI28"/>
    <mergeCell ref="BU39:BU48"/>
    <mergeCell ref="BW39:BW48"/>
    <mergeCell ref="CC39:CC48"/>
    <mergeCell ref="CI39:CI48"/>
    <mergeCell ref="BO39:BO48"/>
    <mergeCell ref="FO29:FO38"/>
    <mergeCell ref="A39:A48"/>
    <mergeCell ref="M39:M48"/>
    <mergeCell ref="O39:O48"/>
    <mergeCell ref="U39:U48"/>
    <mergeCell ref="AG39:AG48"/>
    <mergeCell ref="AI39:AI48"/>
    <mergeCell ref="AO39:AO48"/>
    <mergeCell ref="BA39:BA48"/>
    <mergeCell ref="EI29:EI38"/>
    <mergeCell ref="EO29:EO38"/>
    <mergeCell ref="EQ29:EQ38"/>
    <mergeCell ref="EW29:EW38"/>
    <mergeCell ref="FC29:FC38"/>
    <mergeCell ref="FI29:FI38"/>
    <mergeCell ref="DC29:DC38"/>
    <mergeCell ref="DI29:DI38"/>
    <mergeCell ref="DO29:DO38"/>
    <mergeCell ref="DU29:DU38"/>
    <mergeCell ref="EW39:EW48"/>
    <mergeCell ref="FC39:FC48"/>
    <mergeCell ref="FI39:FI48"/>
    <mergeCell ref="FO39:FO48"/>
    <mergeCell ref="A49:A58"/>
    <mergeCell ref="M49:M58"/>
    <mergeCell ref="O49:O58"/>
    <mergeCell ref="U49:U58"/>
    <mergeCell ref="AG49:AG58"/>
    <mergeCell ref="AI49:AI58"/>
    <mergeCell ref="DU39:DU48"/>
    <mergeCell ref="DW39:DW48"/>
    <mergeCell ref="EC39:EC48"/>
    <mergeCell ref="EI39:EI48"/>
    <mergeCell ref="EO39:EO48"/>
    <mergeCell ref="EQ39:EQ48"/>
    <mergeCell ref="CO39:CO48"/>
    <mergeCell ref="CU39:CU48"/>
    <mergeCell ref="CW39:CW48"/>
    <mergeCell ref="DC39:DC48"/>
    <mergeCell ref="DI39:DI48"/>
    <mergeCell ref="DO39:DO48"/>
    <mergeCell ref="BC39:BC48"/>
    <mergeCell ref="BI39:BI48"/>
    <mergeCell ref="DW49:DW58"/>
    <mergeCell ref="EC49:EC58"/>
    <mergeCell ref="BW49:BW58"/>
    <mergeCell ref="CC49:CC58"/>
    <mergeCell ref="CI49:CI58"/>
    <mergeCell ref="CO49:CO58"/>
    <mergeCell ref="CU49:CU58"/>
    <mergeCell ref="CW49:CW58"/>
    <mergeCell ref="AO49:AO58"/>
    <mergeCell ref="BA49:BA58"/>
    <mergeCell ref="BC49:BC58"/>
    <mergeCell ref="BI49:BI58"/>
    <mergeCell ref="BU49:BU58"/>
    <mergeCell ref="BO49:BO58"/>
    <mergeCell ref="BU59:BU68"/>
    <mergeCell ref="BW59:BW68"/>
    <mergeCell ref="CC59:CC68"/>
    <mergeCell ref="CI59:CI68"/>
    <mergeCell ref="BO59:BO68"/>
    <mergeCell ref="FO49:FO58"/>
    <mergeCell ref="A59:A68"/>
    <mergeCell ref="M59:M68"/>
    <mergeCell ref="O59:O68"/>
    <mergeCell ref="U59:U68"/>
    <mergeCell ref="AG59:AG68"/>
    <mergeCell ref="AI59:AI68"/>
    <mergeCell ref="AO59:AO68"/>
    <mergeCell ref="BA59:BA68"/>
    <mergeCell ref="EI49:EI58"/>
    <mergeCell ref="EO49:EO58"/>
    <mergeCell ref="EQ49:EQ58"/>
    <mergeCell ref="EW49:EW58"/>
    <mergeCell ref="FC49:FC58"/>
    <mergeCell ref="FI49:FI58"/>
    <mergeCell ref="DC49:DC58"/>
    <mergeCell ref="DI49:DI58"/>
    <mergeCell ref="DO49:DO58"/>
    <mergeCell ref="DU49:DU58"/>
    <mergeCell ref="EW59:EW68"/>
    <mergeCell ref="FC59:FC68"/>
    <mergeCell ref="FI59:FI68"/>
    <mergeCell ref="FO59:FO68"/>
    <mergeCell ref="A69:A78"/>
    <mergeCell ref="M69:M78"/>
    <mergeCell ref="O69:O78"/>
    <mergeCell ref="U69:U78"/>
    <mergeCell ref="AG69:AG78"/>
    <mergeCell ref="AI69:AI78"/>
    <mergeCell ref="DU59:DU68"/>
    <mergeCell ref="DW59:DW68"/>
    <mergeCell ref="EC59:EC68"/>
    <mergeCell ref="EI59:EI68"/>
    <mergeCell ref="EO59:EO68"/>
    <mergeCell ref="EQ59:EQ68"/>
    <mergeCell ref="CO59:CO68"/>
    <mergeCell ref="CU59:CU68"/>
    <mergeCell ref="CW59:CW68"/>
    <mergeCell ref="DC59:DC68"/>
    <mergeCell ref="DI59:DI68"/>
    <mergeCell ref="DO59:DO68"/>
    <mergeCell ref="BC59:BC68"/>
    <mergeCell ref="BI59:BI68"/>
    <mergeCell ref="DW69:DW78"/>
    <mergeCell ref="EC69:EC78"/>
    <mergeCell ref="BW69:BW78"/>
    <mergeCell ref="CC69:CC78"/>
    <mergeCell ref="CI69:CI78"/>
    <mergeCell ref="CO69:CO78"/>
    <mergeCell ref="CU69:CU78"/>
    <mergeCell ref="CW69:CW78"/>
    <mergeCell ref="AO69:AO78"/>
    <mergeCell ref="BA69:BA78"/>
    <mergeCell ref="BC69:BC78"/>
    <mergeCell ref="BI69:BI78"/>
    <mergeCell ref="BU69:BU78"/>
    <mergeCell ref="BO69:BO78"/>
    <mergeCell ref="BU79:BU88"/>
    <mergeCell ref="BW79:BW88"/>
    <mergeCell ref="CC79:CC88"/>
    <mergeCell ref="CI79:CI88"/>
    <mergeCell ref="BO79:BO88"/>
    <mergeCell ref="FO69:FO78"/>
    <mergeCell ref="A79:A88"/>
    <mergeCell ref="M79:M88"/>
    <mergeCell ref="O79:O88"/>
    <mergeCell ref="U79:U88"/>
    <mergeCell ref="AG79:AG88"/>
    <mergeCell ref="AI79:AI88"/>
    <mergeCell ref="AO79:AO88"/>
    <mergeCell ref="BA79:BA88"/>
    <mergeCell ref="EI69:EI78"/>
    <mergeCell ref="EO69:EO78"/>
    <mergeCell ref="EQ69:EQ78"/>
    <mergeCell ref="EW69:EW78"/>
    <mergeCell ref="FC69:FC78"/>
    <mergeCell ref="FI69:FI78"/>
    <mergeCell ref="DC69:DC78"/>
    <mergeCell ref="DI69:DI78"/>
    <mergeCell ref="DO69:DO78"/>
    <mergeCell ref="DU69:DU78"/>
    <mergeCell ref="EW79:EW88"/>
    <mergeCell ref="FC79:FC88"/>
    <mergeCell ref="FI79:FI88"/>
    <mergeCell ref="FO79:FO88"/>
    <mergeCell ref="A89:A98"/>
    <mergeCell ref="M89:M98"/>
    <mergeCell ref="O89:O98"/>
    <mergeCell ref="U89:U98"/>
    <mergeCell ref="AG89:AG98"/>
    <mergeCell ref="AI89:AI98"/>
    <mergeCell ref="DU79:DU88"/>
    <mergeCell ref="DW79:DW88"/>
    <mergeCell ref="EC79:EC88"/>
    <mergeCell ref="EI79:EI88"/>
    <mergeCell ref="EO79:EO88"/>
    <mergeCell ref="EQ79:EQ88"/>
    <mergeCell ref="CO79:CO88"/>
    <mergeCell ref="CU79:CU88"/>
    <mergeCell ref="CW79:CW88"/>
    <mergeCell ref="DC79:DC88"/>
    <mergeCell ref="DI79:DI88"/>
    <mergeCell ref="DO79:DO88"/>
    <mergeCell ref="BC79:BC88"/>
    <mergeCell ref="BI79:BI88"/>
    <mergeCell ref="CI89:CI98"/>
    <mergeCell ref="CO89:CO98"/>
    <mergeCell ref="CU89:CU98"/>
    <mergeCell ref="CW89:CW98"/>
    <mergeCell ref="AO89:AO98"/>
    <mergeCell ref="BA89:BA98"/>
    <mergeCell ref="BC89:BC98"/>
    <mergeCell ref="BI89:BI98"/>
    <mergeCell ref="BU89:BU98"/>
    <mergeCell ref="BO89:BO98"/>
    <mergeCell ref="FO89:FO98"/>
    <mergeCell ref="A99:E99"/>
    <mergeCell ref="G19:G28"/>
    <mergeCell ref="G29:G38"/>
    <mergeCell ref="G39:G48"/>
    <mergeCell ref="G49:G58"/>
    <mergeCell ref="G59:G68"/>
    <mergeCell ref="G69:G78"/>
    <mergeCell ref="G79:G88"/>
    <mergeCell ref="G89:G98"/>
    <mergeCell ref="EI89:EI98"/>
    <mergeCell ref="EO89:EO98"/>
    <mergeCell ref="EQ89:EQ98"/>
    <mergeCell ref="EW89:EW98"/>
    <mergeCell ref="FC89:FC98"/>
    <mergeCell ref="FI89:FI98"/>
    <mergeCell ref="DC89:DC98"/>
    <mergeCell ref="DI89:DI98"/>
    <mergeCell ref="DO89:DO98"/>
    <mergeCell ref="DU89:DU98"/>
    <mergeCell ref="DW89:DW98"/>
    <mergeCell ref="EC89:EC98"/>
    <mergeCell ref="BW89:BW98"/>
    <mergeCell ref="CC89:CC98"/>
    <mergeCell ref="AA79:AA88"/>
    <mergeCell ref="AA89:AA98"/>
    <mergeCell ref="AU19:AU28"/>
    <mergeCell ref="AU29:AU38"/>
    <mergeCell ref="AU39:AU48"/>
    <mergeCell ref="AU49:AU58"/>
    <mergeCell ref="AU59:AU68"/>
    <mergeCell ref="AU69:AU78"/>
    <mergeCell ref="AU79:AU88"/>
    <mergeCell ref="AU89:AU98"/>
    <mergeCell ref="AA19:AA28"/>
    <mergeCell ref="AA29:AA38"/>
    <mergeCell ref="AA39:AA48"/>
    <mergeCell ref="AA49:AA58"/>
    <mergeCell ref="AA59:AA68"/>
    <mergeCell ref="AA69:AA78"/>
  </mergeCells>
  <phoneticPr fontId="2" type="noConversion"/>
  <pageMargins left="0.7" right="0.7" top="0.75" bottom="0.75" header="0.3" footer="0.3"/>
  <pageSetup paperSize="9" scale="34" orientation="portrait" r:id="rId1"/>
  <rowBreaks count="1" manualBreakCount="1">
    <brk id="98" max="16383" man="1"/>
  </rowBreaks>
  <colBreaks count="4" manualBreakCount="4">
    <brk id="74" max="101" man="1"/>
    <brk id="99" max="1048575" man="1"/>
    <brk id="100" max="101" man="1"/>
    <brk id="1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</vt:i4>
      </vt:variant>
    </vt:vector>
  </HeadingPairs>
  <TitlesOfParts>
    <vt:vector size="12" baseType="lpstr">
      <vt:lpstr>1. 기본 정보</vt:lpstr>
      <vt:lpstr>2. Finger Table(Addr, Resource)</vt:lpstr>
      <vt:lpstr>3. 경로 탐색</vt:lpstr>
      <vt:lpstr>4. 암복호화</vt:lpstr>
      <vt:lpstr>5-1. Peer 경로(3개) </vt:lpstr>
      <vt:lpstr>5-2. Peer 경로(8개) </vt:lpstr>
      <vt:lpstr>5-2. Peer 경로(8개-ctr)  </vt:lpstr>
      <vt:lpstr>6. Peer 경로(개별 CTR, Peer 8)</vt:lpstr>
      <vt:lpstr>#. Peer 경로(개별 CTR, Peer 1) </vt:lpstr>
      <vt:lpstr>7. Peer 경로(개별 CTR, 송신자)</vt:lpstr>
      <vt:lpstr>8. Peer 경로(개별 CTR, 수신자) </vt:lpstr>
      <vt:lpstr>'3. 경로 탐색'!_Hlk145398200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서정철</dc:creator>
  <cp:lastModifiedBy>서정철부장</cp:lastModifiedBy>
  <dcterms:created xsi:type="dcterms:W3CDTF">2023-09-15T07:35:50Z</dcterms:created>
  <dcterms:modified xsi:type="dcterms:W3CDTF">2026-03-25T05:42:20Z</dcterms:modified>
</cp:coreProperties>
</file>