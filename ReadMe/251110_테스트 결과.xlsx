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ngik\Source\DHT_250630\8_ChordProtocol-master\ReadMe\"/>
    </mc:Choice>
  </mc:AlternateContent>
  <xr:revisionPtr revIDLastSave="0" documentId="13_ncr:1_{0A1AD02F-B4FA-4943-8243-71C8A36A7013}" xr6:coauthVersionLast="47" xr6:coauthVersionMax="47" xr10:uidLastSave="{00000000-0000-0000-0000-000000000000}"/>
  <bookViews>
    <workbookView xWindow="-28920" yWindow="6165" windowWidth="29040" windowHeight="15720" activeTab="3" xr2:uid="{D90F08EB-FC10-43B0-887A-698AECC70807}"/>
  </bookViews>
  <sheets>
    <sheet name="1. log2(N) 및 결과 정리" sheetId="4" r:id="rId1"/>
    <sheet name="Sheet1" sheetId="1" r:id="rId2"/>
    <sheet name="정상적인 것" sheetId="2" r:id="rId3"/>
    <sheet name="Node 7" sheetId="3" r:id="rId4"/>
    <sheet name="Node6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O5" i="3"/>
  <c r="M4" i="4"/>
  <c r="P9" i="4"/>
  <c r="P8" i="4"/>
  <c r="P7" i="4"/>
  <c r="P6" i="4"/>
  <c r="P5" i="4"/>
  <c r="P4" i="4"/>
  <c r="P3" i="4"/>
  <c r="P2" i="4"/>
  <c r="A32" i="4"/>
  <c r="B16" i="4"/>
  <c r="B15" i="4"/>
  <c r="B14" i="4"/>
  <c r="B13" i="4"/>
  <c r="B12" i="4"/>
  <c r="B9" i="4"/>
  <c r="B11" i="4"/>
  <c r="B10" i="4"/>
  <c r="B8" i="4"/>
  <c r="B7" i="4"/>
  <c r="B6" i="4"/>
  <c r="B5" i="4"/>
  <c r="B4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B3" i="4" l="1"/>
  <c r="B2" i="4"/>
  <c r="O54" i="3"/>
  <c r="N54" i="3"/>
  <c r="O47" i="3"/>
  <c r="O40" i="3"/>
  <c r="O33" i="3"/>
  <c r="O26" i="3"/>
  <c r="O19" i="3"/>
  <c r="O12" i="3"/>
  <c r="L3" i="2"/>
  <c r="K3" i="2"/>
  <c r="J3" i="2"/>
  <c r="I3" i="2"/>
  <c r="H3" i="2"/>
  <c r="G3" i="2"/>
  <c r="F3" i="2"/>
  <c r="E3" i="2"/>
  <c r="D3" i="2"/>
  <c r="C3" i="2"/>
  <c r="B3" i="2"/>
  <c r="L2" i="2"/>
  <c r="K2" i="2"/>
  <c r="J2" i="2"/>
  <c r="I2" i="2"/>
  <c r="H2" i="2"/>
  <c r="G2" i="2"/>
  <c r="F2" i="2"/>
  <c r="E2" i="2"/>
  <c r="D2" i="2"/>
  <c r="C2" i="2"/>
  <c r="B2" i="2"/>
  <c r="J12" i="2"/>
  <c r="P2" i="3"/>
  <c r="B19" i="2"/>
  <c r="F19" i="2" s="1"/>
  <c r="B17" i="2"/>
  <c r="F17" i="2" s="1"/>
  <c r="A16" i="2"/>
  <c r="A21" i="2"/>
  <c r="C21" i="2" s="1"/>
  <c r="A20" i="2"/>
  <c r="B20" i="2" s="1"/>
  <c r="F20" i="2" s="1"/>
  <c r="A18" i="2"/>
  <c r="B18" i="2" s="1"/>
  <c r="F18" i="2" s="1"/>
  <c r="R10" i="1"/>
  <c r="B16" i="2" l="1"/>
  <c r="F16" i="2" s="1"/>
  <c r="C18" i="2" s="1"/>
  <c r="B21" i="2"/>
  <c r="F21" i="2" s="1"/>
  <c r="C17" i="2" s="1"/>
  <c r="Q10" i="1"/>
  <c r="P10" i="1"/>
  <c r="O10" i="1"/>
  <c r="N10" i="1"/>
  <c r="M10" i="1"/>
  <c r="L10" i="1"/>
  <c r="C20" i="2" l="1"/>
  <c r="C16" i="2"/>
</calcChain>
</file>

<file path=xl/sharedStrings.xml><?xml version="1.0" encoding="utf-8"?>
<sst xmlns="http://schemas.openxmlformats.org/spreadsheetml/2006/main" count="425" uniqueCount="27">
  <si>
    <t>노드 수 (N)</t>
  </si>
  <si>
    <t>평균 Hop 수</t>
  </si>
  <si>
    <t>최대 Hop 수</t>
  </si>
  <si>
    <t>log2(N)</t>
  </si>
  <si>
    <t>127.0.0.1:5000</t>
  </si>
  <si>
    <t xml:space="preserve"> </t>
  </si>
  <si>
    <t>노드수(N)</t>
    <phoneticPr fontId="1" type="noConversion"/>
  </si>
  <si>
    <t>평균 Hop 수</t>
    <phoneticPr fontId="1" type="noConversion"/>
  </si>
  <si>
    <t>&gt;</t>
  </si>
  <si>
    <t>-&gt;</t>
  </si>
  <si>
    <t>127.0.0.1:5003</t>
  </si>
  <si>
    <t>)</t>
  </si>
  <si>
    <t>127.0.0.1:5006</t>
  </si>
  <si>
    <t>127.0.0.1:5004</t>
  </si>
  <si>
    <t>127.0.0.1:5001</t>
  </si>
  <si>
    <t>127.0.0.1:5002</t>
  </si>
  <si>
    <t>127.0.0.1:5005</t>
  </si>
  <si>
    <t>횟수</t>
    <phoneticPr fontId="1" type="noConversion"/>
  </si>
  <si>
    <t>노드수</t>
    <phoneticPr fontId="1" type="noConversion"/>
  </si>
  <si>
    <t>시작노드</t>
    <phoneticPr fontId="1" type="noConversion"/>
  </si>
  <si>
    <t>검색노드</t>
    <phoneticPr fontId="1" type="noConversion"/>
  </si>
  <si>
    <t>Hop Trace</t>
    <phoneticPr fontId="1" type="noConversion"/>
  </si>
  <si>
    <t>1. 데이터 정렬 (검색노드)</t>
    <phoneticPr fontId="1" type="noConversion"/>
  </si>
  <si>
    <t>log2(N)</t>
    <phoneticPr fontId="1" type="noConversion"/>
  </si>
  <si>
    <t>2^N</t>
    <phoneticPr fontId="1" type="noConversion"/>
  </si>
  <si>
    <t>전체
Hop 수</t>
    <phoneticPr fontId="1" type="noConversion"/>
  </si>
  <si>
    <t>127.0.0.1:5000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</si>
</sst>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0" xfId="0" applyAlignment="1"/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 log2(N) 및 결과 정리'!$B$1</c:f>
              <c:strCache>
                <c:ptCount val="1"/>
                <c:pt idx="0">
                  <c:v>log2(N)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 log2(N) 및 결과 정리'!$A$2:$A$36</c:f>
              <c:numCache>
                <c:formatCode>General</c:formatCode>
                <c:ptCount val="3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32</c:v>
                </c:pt>
                <c:pt idx="8">
                  <c:v>64</c:v>
                </c:pt>
                <c:pt idx="9">
                  <c:v>128</c:v>
                </c:pt>
                <c:pt idx="10">
                  <c:v>256</c:v>
                </c:pt>
                <c:pt idx="11">
                  <c:v>512</c:v>
                </c:pt>
                <c:pt idx="12">
                  <c:v>1024</c:v>
                </c:pt>
                <c:pt idx="13">
                  <c:v>2048</c:v>
                </c:pt>
                <c:pt idx="14">
                  <c:v>4096</c:v>
                </c:pt>
                <c:pt idx="30">
                  <c:v>4294967296</c:v>
                </c:pt>
              </c:numCache>
            </c:numRef>
          </c:xVal>
          <c:yVal>
            <c:numRef>
              <c:f>'1. log2(N) 및 결과 정리'!$B$2:$B$36</c:f>
              <c:numCache>
                <c:formatCode>General</c:formatCode>
                <c:ptCount val="35"/>
                <c:pt idx="0">
                  <c:v>2</c:v>
                </c:pt>
                <c:pt idx="1">
                  <c:v>2.5849625007211561</c:v>
                </c:pt>
                <c:pt idx="2">
                  <c:v>3</c:v>
                </c:pt>
                <c:pt idx="3">
                  <c:v>3.3219280948873626</c:v>
                </c:pt>
                <c:pt idx="4">
                  <c:v>3.5849625007211565</c:v>
                </c:pt>
                <c:pt idx="5">
                  <c:v>3.8073549220576037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5C-44D7-873C-72735609F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788399"/>
        <c:axId val="1326783599"/>
      </c:scatterChart>
      <c:valAx>
        <c:axId val="132678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노드수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6783599"/>
        <c:crossesAt val="0"/>
        <c:crossBetween val="midCat"/>
      </c:valAx>
      <c:valAx>
        <c:axId val="132678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log2(N)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0_);[Red]\(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6788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 log2(N) 및 결과 정리'!$E$16</c:f>
              <c:strCache>
                <c:ptCount val="1"/>
                <c:pt idx="0">
                  <c:v>log2(N)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 log2(N) 및 결과 정리'!$D$17:$D$33</c:f>
              <c:numCache>
                <c:formatCode>General</c:formatCode>
                <c:ptCount val="1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</c:numCache>
            </c:numRef>
          </c:xVal>
          <c:yVal>
            <c:numRef>
              <c:f>'1. log2(N) 및 결과 정리'!$E$17:$E$33</c:f>
              <c:numCache>
                <c:formatCode>General</c:formatCode>
                <c:ptCount val="17"/>
                <c:pt idx="0">
                  <c:v>2</c:v>
                </c:pt>
                <c:pt idx="1">
                  <c:v>2.3219280948873622</c:v>
                </c:pt>
                <c:pt idx="2">
                  <c:v>2.5849625007211561</c:v>
                </c:pt>
                <c:pt idx="3">
                  <c:v>2.8073549220576042</c:v>
                </c:pt>
                <c:pt idx="4">
                  <c:v>3</c:v>
                </c:pt>
                <c:pt idx="5">
                  <c:v>3.1699250014423126</c:v>
                </c:pt>
                <c:pt idx="6">
                  <c:v>3.3219280948873626</c:v>
                </c:pt>
                <c:pt idx="7">
                  <c:v>3.4594316186372978</c:v>
                </c:pt>
                <c:pt idx="8">
                  <c:v>3.5849625007211565</c:v>
                </c:pt>
                <c:pt idx="9">
                  <c:v>3.7004397181410922</c:v>
                </c:pt>
                <c:pt idx="10">
                  <c:v>3.8073549220576037</c:v>
                </c:pt>
                <c:pt idx="11">
                  <c:v>3.9068905956085187</c:v>
                </c:pt>
                <c:pt idx="12">
                  <c:v>4</c:v>
                </c:pt>
                <c:pt idx="13">
                  <c:v>4.08746284125034</c:v>
                </c:pt>
                <c:pt idx="14">
                  <c:v>4.1699250014423122</c:v>
                </c:pt>
                <c:pt idx="15">
                  <c:v>4.2479275134435852</c:v>
                </c:pt>
                <c:pt idx="16">
                  <c:v>4.3219280948873626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06-45E6-A6E7-F05694CB9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788399"/>
        <c:axId val="1326783599"/>
      </c:scatterChart>
      <c:valAx>
        <c:axId val="132678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노드수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6783599"/>
        <c:crossesAt val="0"/>
        <c:crossBetween val="midCat"/>
      </c:valAx>
      <c:valAx>
        <c:axId val="132678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log2(N)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0_);[Red]\(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6788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0</xdr:rowOff>
    </xdr:from>
    <xdr:to>
      <xdr:col>9</xdr:col>
      <xdr:colOff>123825</xdr:colOff>
      <xdr:row>12</xdr:row>
      <xdr:rowOff>117475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EDD3D060-FFA7-4D62-0786-F876931AA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495300</xdr:colOff>
      <xdr:row>14</xdr:row>
      <xdr:rowOff>19050</xdr:rowOff>
    </xdr:from>
    <xdr:to>
      <xdr:col>12</xdr:col>
      <xdr:colOff>463550</xdr:colOff>
      <xdr:row>27</xdr:row>
      <xdr:rowOff>130175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27773B8-0052-4DEF-B0A9-9B372B1AA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152400</xdr:colOff>
      <xdr:row>14</xdr:row>
      <xdr:rowOff>123825</xdr:rowOff>
    </xdr:to>
    <xdr:pic>
      <xdr:nvPicPr>
        <xdr:cNvPr id="2" name="그림 1" descr="라인, 그래프, 도표, 텍스트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7BBB8FA8-2A79-97B0-819A-DA49FC3AB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215900"/>
          <a:ext cx="4114800" cy="2924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8360-33A3-44B0-8B45-8CBA7815570E}">
  <dimension ref="A1:P92"/>
  <sheetViews>
    <sheetView zoomScaleNormal="100" workbookViewId="0">
      <selection activeCell="R15" sqref="R14:R15"/>
    </sheetView>
  </sheetViews>
  <sheetFormatPr defaultRowHeight="17" x14ac:dyDescent="0.45"/>
  <cols>
    <col min="1" max="1" width="11.58203125" bestFit="1" customWidth="1"/>
  </cols>
  <sheetData>
    <row r="1" spans="1:16" ht="34" x14ac:dyDescent="0.45">
      <c r="A1" t="s">
        <v>18</v>
      </c>
      <c r="B1" t="s">
        <v>23</v>
      </c>
      <c r="K1" t="s">
        <v>6</v>
      </c>
      <c r="L1" s="14" t="s">
        <v>25</v>
      </c>
      <c r="M1" s="1" t="s">
        <v>7</v>
      </c>
      <c r="N1" s="1"/>
      <c r="O1" s="1" t="s">
        <v>2</v>
      </c>
      <c r="P1" s="1" t="s">
        <v>3</v>
      </c>
    </row>
    <row r="2" spans="1:16" x14ac:dyDescent="0.45">
      <c r="A2" s="15">
        <v>4</v>
      </c>
      <c r="B2" s="15">
        <f t="shared" ref="B2" si="0">LOG(A2,2)</f>
        <v>2</v>
      </c>
      <c r="K2">
        <v>4</v>
      </c>
      <c r="P2">
        <f>VLOOKUP(K2,$A$2:$B$16,2,TRUE)</f>
        <v>2</v>
      </c>
    </row>
    <row r="3" spans="1:16" x14ac:dyDescent="0.45">
      <c r="A3" s="15">
        <v>6</v>
      </c>
      <c r="B3" s="15">
        <f>LOG(A3,2)</f>
        <v>2.5849625007211561</v>
      </c>
      <c r="K3">
        <v>6</v>
      </c>
      <c r="P3">
        <f>VLOOKUP(K3,$A$2:$B$16,2,TRUE)</f>
        <v>2.5849625007211561</v>
      </c>
    </row>
    <row r="4" spans="1:16" x14ac:dyDescent="0.45">
      <c r="A4" s="15">
        <v>8</v>
      </c>
      <c r="B4" s="15">
        <f t="shared" ref="B4:B16" si="1">LOG(A4,2)</f>
        <v>3</v>
      </c>
      <c r="K4">
        <v>8</v>
      </c>
      <c r="L4">
        <v>140</v>
      </c>
      <c r="M4">
        <f>L4/49</f>
        <v>2.8571428571428572</v>
      </c>
      <c r="P4">
        <f>VLOOKUP(K4,$A$2:$B$16,2,TRUE)</f>
        <v>3</v>
      </c>
    </row>
    <row r="5" spans="1:16" x14ac:dyDescent="0.45">
      <c r="A5" s="9">
        <v>10</v>
      </c>
      <c r="B5">
        <f t="shared" si="1"/>
        <v>3.3219280948873626</v>
      </c>
      <c r="K5" s="9">
        <v>10</v>
      </c>
      <c r="L5" s="9"/>
      <c r="M5" s="9"/>
      <c r="P5">
        <f>VLOOKUP(K5,$A$2:$B$16,2,TRUE)</f>
        <v>3.3219280948873626</v>
      </c>
    </row>
    <row r="6" spans="1:16" x14ac:dyDescent="0.45">
      <c r="A6" s="9">
        <v>12</v>
      </c>
      <c r="B6">
        <f t="shared" si="1"/>
        <v>3.5849625007211565</v>
      </c>
      <c r="K6" s="9">
        <v>12</v>
      </c>
      <c r="L6" s="9"/>
      <c r="M6" s="9"/>
      <c r="P6">
        <f>VLOOKUP(K6,$A$2:$B$16,2,TRUE)</f>
        <v>3.5849625007211565</v>
      </c>
    </row>
    <row r="7" spans="1:16" x14ac:dyDescent="0.45">
      <c r="A7" s="9">
        <v>14</v>
      </c>
      <c r="B7">
        <f t="shared" si="1"/>
        <v>3.8073549220576037</v>
      </c>
      <c r="K7" s="9">
        <v>14</v>
      </c>
      <c r="L7" s="9"/>
      <c r="M7" s="9"/>
      <c r="P7">
        <f>VLOOKUP(K7,$A$2:$B$16,2,TRUE)</f>
        <v>3.8073549220576037</v>
      </c>
    </row>
    <row r="8" spans="1:16" x14ac:dyDescent="0.45">
      <c r="A8" s="16">
        <v>16</v>
      </c>
      <c r="B8" s="15">
        <f t="shared" si="1"/>
        <v>4</v>
      </c>
      <c r="K8" s="9">
        <v>16</v>
      </c>
      <c r="L8" s="9"/>
      <c r="M8" s="9"/>
      <c r="P8">
        <f>VLOOKUP(K8,$A$2:$B$16,2,TRUE)</f>
        <v>4</v>
      </c>
    </row>
    <row r="9" spans="1:16" x14ac:dyDescent="0.45">
      <c r="A9" s="9">
        <v>32</v>
      </c>
      <c r="B9">
        <f t="shared" si="1"/>
        <v>5</v>
      </c>
      <c r="K9" s="9">
        <v>32</v>
      </c>
      <c r="L9" s="9"/>
      <c r="M9" s="9"/>
      <c r="P9">
        <f>VLOOKUP(K9,$A$2:$B$16,2,TRUE)</f>
        <v>5</v>
      </c>
    </row>
    <row r="10" spans="1:16" x14ac:dyDescent="0.45">
      <c r="A10" s="9">
        <v>64</v>
      </c>
      <c r="B10">
        <f t="shared" si="1"/>
        <v>6</v>
      </c>
      <c r="K10" s="9"/>
      <c r="L10" s="9"/>
      <c r="M10" s="9"/>
    </row>
    <row r="11" spans="1:16" x14ac:dyDescent="0.45">
      <c r="A11" s="9">
        <v>128</v>
      </c>
      <c r="B11">
        <f t="shared" si="1"/>
        <v>7</v>
      </c>
    </row>
    <row r="12" spans="1:16" x14ac:dyDescent="0.45">
      <c r="A12" s="9">
        <v>256</v>
      </c>
      <c r="B12">
        <f t="shared" si="1"/>
        <v>8</v>
      </c>
    </row>
    <row r="13" spans="1:16" x14ac:dyDescent="0.45">
      <c r="A13" s="9">
        <v>512</v>
      </c>
      <c r="B13">
        <f t="shared" si="1"/>
        <v>9</v>
      </c>
    </row>
    <row r="14" spans="1:16" x14ac:dyDescent="0.45">
      <c r="A14" s="9">
        <v>1024</v>
      </c>
      <c r="B14">
        <f t="shared" si="1"/>
        <v>10</v>
      </c>
    </row>
    <row r="15" spans="1:16" x14ac:dyDescent="0.45">
      <c r="A15" s="9">
        <v>2048</v>
      </c>
      <c r="B15">
        <f t="shared" si="1"/>
        <v>11</v>
      </c>
    </row>
    <row r="16" spans="1:16" x14ac:dyDescent="0.45">
      <c r="A16" s="9">
        <v>4096</v>
      </c>
      <c r="B16">
        <f t="shared" si="1"/>
        <v>12</v>
      </c>
      <c r="D16" t="s">
        <v>18</v>
      </c>
      <c r="E16" t="s">
        <v>23</v>
      </c>
    </row>
    <row r="17" spans="1:5" x14ac:dyDescent="0.45">
      <c r="D17">
        <v>4</v>
      </c>
      <c r="E17">
        <f t="shared" ref="E17:E80" si="2">LOG(D17,2)</f>
        <v>2</v>
      </c>
    </row>
    <row r="18" spans="1:5" x14ac:dyDescent="0.45">
      <c r="A18" s="9"/>
      <c r="D18">
        <v>5</v>
      </c>
      <c r="E18">
        <f t="shared" si="2"/>
        <v>2.3219280948873622</v>
      </c>
    </row>
    <row r="19" spans="1:5" x14ac:dyDescent="0.45">
      <c r="A19" s="9"/>
      <c r="D19">
        <v>6</v>
      </c>
      <c r="E19">
        <f t="shared" si="2"/>
        <v>2.5849625007211561</v>
      </c>
    </row>
    <row r="20" spans="1:5" x14ac:dyDescent="0.45">
      <c r="A20" s="9"/>
      <c r="D20">
        <v>7</v>
      </c>
      <c r="E20">
        <f t="shared" si="2"/>
        <v>2.8073549220576042</v>
      </c>
    </row>
    <row r="21" spans="1:5" x14ac:dyDescent="0.45">
      <c r="A21" s="9"/>
      <c r="D21" s="9">
        <v>8</v>
      </c>
      <c r="E21">
        <f t="shared" si="2"/>
        <v>3</v>
      </c>
    </row>
    <row r="22" spans="1:5" x14ac:dyDescent="0.45">
      <c r="D22" s="9">
        <v>9</v>
      </c>
      <c r="E22">
        <f t="shared" si="2"/>
        <v>3.1699250014423126</v>
      </c>
    </row>
    <row r="23" spans="1:5" x14ac:dyDescent="0.45">
      <c r="D23" s="9">
        <v>10</v>
      </c>
      <c r="E23">
        <f t="shared" si="2"/>
        <v>3.3219280948873626</v>
      </c>
    </row>
    <row r="24" spans="1:5" x14ac:dyDescent="0.45">
      <c r="D24" s="9">
        <v>11</v>
      </c>
      <c r="E24">
        <f t="shared" si="2"/>
        <v>3.4594316186372978</v>
      </c>
    </row>
    <row r="25" spans="1:5" x14ac:dyDescent="0.45">
      <c r="D25" s="9">
        <v>12</v>
      </c>
      <c r="E25">
        <f t="shared" si="2"/>
        <v>3.5849625007211565</v>
      </c>
    </row>
    <row r="26" spans="1:5" x14ac:dyDescent="0.45">
      <c r="D26" s="9">
        <v>13</v>
      </c>
      <c r="E26">
        <f t="shared" si="2"/>
        <v>3.7004397181410922</v>
      </c>
    </row>
    <row r="27" spans="1:5" x14ac:dyDescent="0.45">
      <c r="D27" s="9">
        <v>14</v>
      </c>
      <c r="E27">
        <f t="shared" si="2"/>
        <v>3.8073549220576037</v>
      </c>
    </row>
    <row r="28" spans="1:5" x14ac:dyDescent="0.45">
      <c r="D28" s="9">
        <v>15</v>
      </c>
      <c r="E28">
        <f t="shared" si="2"/>
        <v>3.9068905956085187</v>
      </c>
    </row>
    <row r="29" spans="1:5" x14ac:dyDescent="0.45">
      <c r="D29" s="9">
        <v>16</v>
      </c>
      <c r="E29">
        <f t="shared" si="2"/>
        <v>4</v>
      </c>
    </row>
    <row r="30" spans="1:5" x14ac:dyDescent="0.45">
      <c r="D30" s="9">
        <v>17</v>
      </c>
      <c r="E30">
        <f t="shared" si="2"/>
        <v>4.08746284125034</v>
      </c>
    </row>
    <row r="31" spans="1:5" x14ac:dyDescent="0.45">
      <c r="D31" s="9">
        <v>18</v>
      </c>
      <c r="E31">
        <f t="shared" si="2"/>
        <v>4.1699250014423122</v>
      </c>
    </row>
    <row r="32" spans="1:5" x14ac:dyDescent="0.45">
      <c r="A32">
        <f>POWER(2,32)</f>
        <v>4294967296</v>
      </c>
      <c r="D32" s="9">
        <v>19</v>
      </c>
      <c r="E32">
        <f t="shared" si="2"/>
        <v>4.2479275134435852</v>
      </c>
    </row>
    <row r="33" spans="4:5" x14ac:dyDescent="0.45">
      <c r="D33" s="9">
        <v>20</v>
      </c>
      <c r="E33">
        <f t="shared" si="2"/>
        <v>4.3219280948873626</v>
      </c>
    </row>
    <row r="34" spans="4:5" x14ac:dyDescent="0.45">
      <c r="D34" s="9">
        <v>21</v>
      </c>
      <c r="E34">
        <f t="shared" si="2"/>
        <v>4.3923174227787607</v>
      </c>
    </row>
    <row r="35" spans="4:5" x14ac:dyDescent="0.45">
      <c r="D35" s="9">
        <v>22</v>
      </c>
      <c r="E35">
        <f t="shared" si="2"/>
        <v>4.4594316186372973</v>
      </c>
    </row>
    <row r="36" spans="4:5" x14ac:dyDescent="0.45">
      <c r="D36" s="9">
        <v>23</v>
      </c>
      <c r="E36">
        <f t="shared" si="2"/>
        <v>4.5235619560570131</v>
      </c>
    </row>
    <row r="37" spans="4:5" x14ac:dyDescent="0.45">
      <c r="D37" s="9">
        <v>24</v>
      </c>
      <c r="E37">
        <f t="shared" si="2"/>
        <v>4.584962500721157</v>
      </c>
    </row>
    <row r="38" spans="4:5" x14ac:dyDescent="0.45">
      <c r="D38" s="9">
        <v>25</v>
      </c>
      <c r="E38">
        <f t="shared" si="2"/>
        <v>4.6438561897747244</v>
      </c>
    </row>
    <row r="39" spans="4:5" x14ac:dyDescent="0.45">
      <c r="D39" s="9">
        <v>26</v>
      </c>
      <c r="E39">
        <f t="shared" si="2"/>
        <v>4.7004397181410926</v>
      </c>
    </row>
    <row r="40" spans="4:5" x14ac:dyDescent="0.45">
      <c r="D40" s="9">
        <v>27</v>
      </c>
      <c r="E40">
        <f t="shared" si="2"/>
        <v>4.7548875021634691</v>
      </c>
    </row>
    <row r="41" spans="4:5" x14ac:dyDescent="0.45">
      <c r="D41" s="9">
        <v>28</v>
      </c>
      <c r="E41">
        <f t="shared" si="2"/>
        <v>4.8073549220576037</v>
      </c>
    </row>
    <row r="42" spans="4:5" x14ac:dyDescent="0.45">
      <c r="D42" s="9">
        <v>29</v>
      </c>
      <c r="E42">
        <f t="shared" si="2"/>
        <v>4.8579809951275728</v>
      </c>
    </row>
    <row r="43" spans="4:5" x14ac:dyDescent="0.45">
      <c r="D43" s="9">
        <v>30</v>
      </c>
      <c r="E43">
        <f t="shared" si="2"/>
        <v>4.9068905956085187</v>
      </c>
    </row>
    <row r="44" spans="4:5" x14ac:dyDescent="0.45">
      <c r="D44" s="9">
        <v>31</v>
      </c>
      <c r="E44">
        <f t="shared" si="2"/>
        <v>4.9541963103868758</v>
      </c>
    </row>
    <row r="45" spans="4:5" x14ac:dyDescent="0.45">
      <c r="D45" s="9">
        <v>32</v>
      </c>
      <c r="E45">
        <f t="shared" si="2"/>
        <v>5</v>
      </c>
    </row>
    <row r="46" spans="4:5" x14ac:dyDescent="0.45">
      <c r="D46" s="9">
        <v>33</v>
      </c>
      <c r="E46">
        <f t="shared" si="2"/>
        <v>5.0443941193584534</v>
      </c>
    </row>
    <row r="47" spans="4:5" x14ac:dyDescent="0.45">
      <c r="D47" s="9">
        <v>34</v>
      </c>
      <c r="E47">
        <f t="shared" si="2"/>
        <v>5.08746284125034</v>
      </c>
    </row>
    <row r="48" spans="4:5" x14ac:dyDescent="0.45">
      <c r="D48" s="9">
        <v>35</v>
      </c>
      <c r="E48">
        <f t="shared" si="2"/>
        <v>5.1292830169449664</v>
      </c>
    </row>
    <row r="49" spans="4:5" x14ac:dyDescent="0.45">
      <c r="D49" s="9">
        <v>36</v>
      </c>
      <c r="E49">
        <f t="shared" si="2"/>
        <v>5.1699250014423122</v>
      </c>
    </row>
    <row r="50" spans="4:5" x14ac:dyDescent="0.45">
      <c r="D50" s="9">
        <v>37</v>
      </c>
      <c r="E50">
        <f t="shared" si="2"/>
        <v>5.2094533656289501</v>
      </c>
    </row>
    <row r="51" spans="4:5" x14ac:dyDescent="0.45">
      <c r="D51" s="9">
        <v>38</v>
      </c>
      <c r="E51">
        <f t="shared" si="2"/>
        <v>5.2479275134435852</v>
      </c>
    </row>
    <row r="52" spans="4:5" x14ac:dyDescent="0.45">
      <c r="D52" s="9">
        <v>39</v>
      </c>
      <c r="E52">
        <f t="shared" si="2"/>
        <v>5.2854022188622487</v>
      </c>
    </row>
    <row r="53" spans="4:5" x14ac:dyDescent="0.45">
      <c r="D53" s="9">
        <v>40</v>
      </c>
      <c r="E53">
        <f t="shared" si="2"/>
        <v>5.3219280948873626</v>
      </c>
    </row>
    <row r="54" spans="4:5" x14ac:dyDescent="0.45">
      <c r="D54" s="9">
        <v>41</v>
      </c>
      <c r="E54">
        <f t="shared" si="2"/>
        <v>5.3575520046180838</v>
      </c>
    </row>
    <row r="55" spans="4:5" x14ac:dyDescent="0.45">
      <c r="D55" s="9">
        <v>42</v>
      </c>
      <c r="E55">
        <f t="shared" si="2"/>
        <v>5.3923174227787607</v>
      </c>
    </row>
    <row r="56" spans="4:5" x14ac:dyDescent="0.45">
      <c r="D56" s="9">
        <v>43</v>
      </c>
      <c r="E56">
        <f t="shared" si="2"/>
        <v>5.4262647547020979</v>
      </c>
    </row>
    <row r="57" spans="4:5" x14ac:dyDescent="0.45">
      <c r="D57" s="9">
        <v>44</v>
      </c>
      <c r="E57">
        <f t="shared" si="2"/>
        <v>5.4594316186372973</v>
      </c>
    </row>
    <row r="58" spans="4:5" x14ac:dyDescent="0.45">
      <c r="D58" s="9">
        <v>45</v>
      </c>
      <c r="E58">
        <f t="shared" si="2"/>
        <v>5.4918530963296748</v>
      </c>
    </row>
    <row r="59" spans="4:5" x14ac:dyDescent="0.45">
      <c r="D59" s="9">
        <v>46</v>
      </c>
      <c r="E59">
        <f t="shared" si="2"/>
        <v>5.5235619560570131</v>
      </c>
    </row>
    <row r="60" spans="4:5" x14ac:dyDescent="0.45">
      <c r="D60" s="9">
        <v>47</v>
      </c>
      <c r="E60">
        <f t="shared" si="2"/>
        <v>5.5545888516776376</v>
      </c>
    </row>
    <row r="61" spans="4:5" x14ac:dyDescent="0.45">
      <c r="D61" s="9">
        <v>48</v>
      </c>
      <c r="E61">
        <f t="shared" si="2"/>
        <v>5.584962500721157</v>
      </c>
    </row>
    <row r="62" spans="4:5" x14ac:dyDescent="0.45">
      <c r="D62" s="9">
        <v>49</v>
      </c>
      <c r="E62">
        <f t="shared" si="2"/>
        <v>5.6147098441152083</v>
      </c>
    </row>
    <row r="63" spans="4:5" x14ac:dyDescent="0.45">
      <c r="D63" s="9">
        <v>50</v>
      </c>
      <c r="E63">
        <f t="shared" si="2"/>
        <v>5.6438561897747244</v>
      </c>
    </row>
    <row r="64" spans="4:5" x14ac:dyDescent="0.45">
      <c r="D64" s="9">
        <v>51</v>
      </c>
      <c r="E64">
        <f t="shared" si="2"/>
        <v>5.6724253419714961</v>
      </c>
    </row>
    <row r="65" spans="4:5" x14ac:dyDescent="0.45">
      <c r="D65" s="9">
        <v>52</v>
      </c>
      <c r="E65">
        <f t="shared" si="2"/>
        <v>5.7004397181410926</v>
      </c>
    </row>
    <row r="66" spans="4:5" x14ac:dyDescent="0.45">
      <c r="D66" s="9">
        <v>53</v>
      </c>
      <c r="E66">
        <f t="shared" si="2"/>
        <v>5.7279204545631996</v>
      </c>
    </row>
    <row r="67" spans="4:5" x14ac:dyDescent="0.45">
      <c r="D67" s="9">
        <v>54</v>
      </c>
      <c r="E67">
        <f t="shared" si="2"/>
        <v>5.7548875021634691</v>
      </c>
    </row>
    <row r="68" spans="4:5" x14ac:dyDescent="0.45">
      <c r="D68" s="9">
        <v>55</v>
      </c>
      <c r="E68">
        <f t="shared" si="2"/>
        <v>5.7813597135246599</v>
      </c>
    </row>
    <row r="69" spans="4:5" x14ac:dyDescent="0.45">
      <c r="D69" s="9">
        <v>56</v>
      </c>
      <c r="E69">
        <f t="shared" si="2"/>
        <v>5.8073549220576046</v>
      </c>
    </row>
    <row r="70" spans="4:5" x14ac:dyDescent="0.45">
      <c r="D70" s="9">
        <v>57</v>
      </c>
      <c r="E70">
        <f t="shared" si="2"/>
        <v>5.8328900141647422</v>
      </c>
    </row>
    <row r="71" spans="4:5" x14ac:dyDescent="0.45">
      <c r="D71" s="9">
        <v>58</v>
      </c>
      <c r="E71">
        <f t="shared" si="2"/>
        <v>5.8579809951275719</v>
      </c>
    </row>
    <row r="72" spans="4:5" x14ac:dyDescent="0.45">
      <c r="D72" s="9">
        <v>59</v>
      </c>
      <c r="E72">
        <f t="shared" si="2"/>
        <v>5.8826430493618416</v>
      </c>
    </row>
    <row r="73" spans="4:5" x14ac:dyDescent="0.45">
      <c r="D73" s="9">
        <v>60</v>
      </c>
      <c r="E73">
        <f t="shared" si="2"/>
        <v>5.9068905956085187</v>
      </c>
    </row>
    <row r="74" spans="4:5" x14ac:dyDescent="0.45">
      <c r="D74" s="9">
        <v>61</v>
      </c>
      <c r="E74">
        <f t="shared" si="2"/>
        <v>5.9307373375628867</v>
      </c>
    </row>
    <row r="75" spans="4:5" x14ac:dyDescent="0.45">
      <c r="D75" s="9">
        <v>62</v>
      </c>
      <c r="E75">
        <f t="shared" si="2"/>
        <v>5.9541963103868758</v>
      </c>
    </row>
    <row r="76" spans="4:5" x14ac:dyDescent="0.45">
      <c r="D76" s="9">
        <v>63</v>
      </c>
      <c r="E76">
        <f t="shared" si="2"/>
        <v>5.9772799234999168</v>
      </c>
    </row>
    <row r="77" spans="4:5" x14ac:dyDescent="0.45">
      <c r="D77" s="9">
        <v>64</v>
      </c>
      <c r="E77">
        <f t="shared" si="2"/>
        <v>6</v>
      </c>
    </row>
    <row r="78" spans="4:5" x14ac:dyDescent="0.45">
      <c r="D78" s="9">
        <v>65</v>
      </c>
      <c r="E78">
        <f t="shared" si="2"/>
        <v>6.0223678130284544</v>
      </c>
    </row>
    <row r="79" spans="4:5" x14ac:dyDescent="0.45">
      <c r="D79" s="9">
        <v>66</v>
      </c>
      <c r="E79">
        <f t="shared" si="2"/>
        <v>6.0443941193584534</v>
      </c>
    </row>
    <row r="80" spans="4:5" x14ac:dyDescent="0.45">
      <c r="D80" s="9">
        <v>67</v>
      </c>
      <c r="E80">
        <f t="shared" si="2"/>
        <v>6.0660891904577721</v>
      </c>
    </row>
    <row r="81" spans="4:5" x14ac:dyDescent="0.45">
      <c r="D81" s="9">
        <v>68</v>
      </c>
      <c r="E81">
        <f t="shared" ref="E81:E92" si="3">LOG(D81,2)</f>
        <v>6.08746284125034</v>
      </c>
    </row>
    <row r="82" spans="4:5" x14ac:dyDescent="0.45">
      <c r="D82" s="9">
        <v>69</v>
      </c>
      <c r="E82">
        <f t="shared" si="3"/>
        <v>6.10852445677817</v>
      </c>
    </row>
    <row r="83" spans="4:5" x14ac:dyDescent="0.45">
      <c r="D83" s="9">
        <v>70</v>
      </c>
      <c r="E83">
        <f t="shared" si="3"/>
        <v>6.1292830169449672</v>
      </c>
    </row>
    <row r="84" spans="4:5" x14ac:dyDescent="0.45">
      <c r="D84" s="9">
        <v>71</v>
      </c>
      <c r="E84">
        <f t="shared" si="3"/>
        <v>6.1497471195046822</v>
      </c>
    </row>
    <row r="85" spans="4:5" x14ac:dyDescent="0.45">
      <c r="D85" s="9">
        <v>72</v>
      </c>
      <c r="E85">
        <f t="shared" si="3"/>
        <v>6.1699250014423122</v>
      </c>
    </row>
    <row r="86" spans="4:5" x14ac:dyDescent="0.45">
      <c r="D86" s="9">
        <v>73</v>
      </c>
      <c r="E86">
        <f t="shared" si="3"/>
        <v>6.1898245588800176</v>
      </c>
    </row>
    <row r="87" spans="4:5" x14ac:dyDescent="0.45">
      <c r="D87" s="9">
        <v>74</v>
      </c>
      <c r="E87">
        <f t="shared" si="3"/>
        <v>6.209453365628951</v>
      </c>
    </row>
    <row r="88" spans="4:5" x14ac:dyDescent="0.45">
      <c r="D88" s="9">
        <v>75</v>
      </c>
      <c r="E88">
        <f t="shared" si="3"/>
        <v>6.2288186904958804</v>
      </c>
    </row>
    <row r="89" spans="4:5" x14ac:dyDescent="0.45">
      <c r="D89" s="9">
        <v>76</v>
      </c>
      <c r="E89">
        <f t="shared" si="3"/>
        <v>6.2479275134435861</v>
      </c>
    </row>
    <row r="90" spans="4:5" x14ac:dyDescent="0.45">
      <c r="D90" s="9">
        <v>77</v>
      </c>
      <c r="E90">
        <f t="shared" si="3"/>
        <v>6.2667865406949019</v>
      </c>
    </row>
    <row r="91" spans="4:5" x14ac:dyDescent="0.45">
      <c r="D91" s="9">
        <v>78</v>
      </c>
      <c r="E91">
        <f t="shared" si="3"/>
        <v>6.2854022188622487</v>
      </c>
    </row>
    <row r="92" spans="4:5" x14ac:dyDescent="0.45">
      <c r="D92" s="9">
        <v>79</v>
      </c>
      <c r="E92">
        <f t="shared" si="3"/>
        <v>6.3037807481771031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11B86-C455-4A4C-BEC9-4ACBAB3A7C47}">
  <dimension ref="B9:R23"/>
  <sheetViews>
    <sheetView workbookViewId="0">
      <selection activeCell="H19" sqref="H19"/>
    </sheetView>
  </sheetViews>
  <sheetFormatPr defaultRowHeight="17" x14ac:dyDescent="0.45"/>
  <sheetData>
    <row r="9" spans="12:18" x14ac:dyDescent="0.45">
      <c r="L9">
        <v>2</v>
      </c>
      <c r="M9">
        <v>4</v>
      </c>
      <c r="N9">
        <v>6</v>
      </c>
      <c r="O9">
        <v>8</v>
      </c>
      <c r="P9">
        <v>10</v>
      </c>
      <c r="Q9">
        <v>12</v>
      </c>
      <c r="R9">
        <v>14</v>
      </c>
    </row>
    <row r="10" spans="12:18" x14ac:dyDescent="0.45">
      <c r="L10">
        <f>2^L9</f>
        <v>4</v>
      </c>
      <c r="M10">
        <f t="shared" ref="M10:R10" si="0">2^M9</f>
        <v>16</v>
      </c>
      <c r="N10">
        <f t="shared" si="0"/>
        <v>64</v>
      </c>
      <c r="O10">
        <f t="shared" si="0"/>
        <v>256</v>
      </c>
      <c r="P10">
        <f t="shared" si="0"/>
        <v>1024</v>
      </c>
      <c r="Q10">
        <f t="shared" si="0"/>
        <v>4096</v>
      </c>
      <c r="R10">
        <f t="shared" si="0"/>
        <v>16384</v>
      </c>
    </row>
    <row r="17" spans="2:5" ht="34" x14ac:dyDescent="0.45">
      <c r="B17" s="1" t="s">
        <v>0</v>
      </c>
      <c r="C17" s="1" t="s">
        <v>1</v>
      </c>
      <c r="D17" s="1" t="s">
        <v>2</v>
      </c>
      <c r="E17" s="1" t="s">
        <v>3</v>
      </c>
    </row>
    <row r="18" spans="2:5" x14ac:dyDescent="0.45">
      <c r="B18" s="2">
        <v>128</v>
      </c>
      <c r="C18" s="1">
        <v>7.14</v>
      </c>
      <c r="D18" s="2">
        <v>9.5</v>
      </c>
      <c r="E18" s="2">
        <v>7</v>
      </c>
    </row>
    <row r="19" spans="2:5" x14ac:dyDescent="0.45">
      <c r="B19" s="2">
        <v>256</v>
      </c>
      <c r="C19" s="1">
        <v>8.69</v>
      </c>
      <c r="D19" s="2">
        <v>12.75</v>
      </c>
      <c r="E19" s="2">
        <v>8</v>
      </c>
    </row>
    <row r="20" spans="2:5" x14ac:dyDescent="0.45">
      <c r="B20" s="2">
        <v>512</v>
      </c>
      <c r="C20" s="1">
        <v>9.3699999999999992</v>
      </c>
      <c r="D20" s="2">
        <v>13.95</v>
      </c>
      <c r="E20" s="2">
        <v>9</v>
      </c>
    </row>
    <row r="21" spans="2:5" x14ac:dyDescent="0.45">
      <c r="B21" s="2">
        <v>1024</v>
      </c>
      <c r="C21" s="1">
        <v>10.18</v>
      </c>
      <c r="D21" s="2">
        <v>13.39</v>
      </c>
      <c r="E21" s="2">
        <v>10</v>
      </c>
    </row>
    <row r="22" spans="2:5" x14ac:dyDescent="0.45">
      <c r="B22" s="2">
        <v>2048</v>
      </c>
      <c r="C22" s="1">
        <v>10.66</v>
      </c>
      <c r="D22" s="2">
        <v>15.33</v>
      </c>
      <c r="E22" s="2">
        <v>11</v>
      </c>
    </row>
    <row r="23" spans="2:5" x14ac:dyDescent="0.45">
      <c r="B23" s="2">
        <v>4096</v>
      </c>
      <c r="C23" s="1">
        <v>12.7</v>
      </c>
      <c r="D23" s="2">
        <v>17.260000000000002</v>
      </c>
      <c r="E23" s="2">
        <v>12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3F71-C7F7-444B-935C-8EE90804DA73}">
  <dimension ref="A1:AD66"/>
  <sheetViews>
    <sheetView workbookViewId="0">
      <selection activeCell="B15" sqref="B15:F15"/>
    </sheetView>
  </sheetViews>
  <sheetFormatPr defaultRowHeight="17" x14ac:dyDescent="0.45"/>
  <cols>
    <col min="1" max="1" width="13.25" customWidth="1"/>
    <col min="5" max="11" width="18.5" customWidth="1"/>
    <col min="13" max="16" width="13.08203125" customWidth="1"/>
  </cols>
  <sheetData>
    <row r="1" spans="1:30" x14ac:dyDescent="0.45"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</row>
    <row r="2" spans="1:30" x14ac:dyDescent="0.45">
      <c r="A2" t="s">
        <v>24</v>
      </c>
      <c r="B2">
        <f>2^B1</f>
        <v>4</v>
      </c>
      <c r="C2">
        <f t="shared" ref="C2:L2" si="0">2^C1</f>
        <v>8</v>
      </c>
      <c r="D2">
        <f t="shared" si="0"/>
        <v>16</v>
      </c>
      <c r="E2">
        <f t="shared" si="0"/>
        <v>32</v>
      </c>
      <c r="F2">
        <f t="shared" si="0"/>
        <v>64</v>
      </c>
      <c r="G2">
        <f t="shared" si="0"/>
        <v>128</v>
      </c>
      <c r="H2">
        <f t="shared" si="0"/>
        <v>256</v>
      </c>
      <c r="I2">
        <f t="shared" si="0"/>
        <v>512</v>
      </c>
      <c r="J2">
        <f t="shared" si="0"/>
        <v>1024</v>
      </c>
      <c r="K2">
        <f t="shared" si="0"/>
        <v>2048</v>
      </c>
      <c r="L2">
        <f t="shared" si="0"/>
        <v>4096</v>
      </c>
    </row>
    <row r="3" spans="1:30" x14ac:dyDescent="0.45">
      <c r="A3" t="s">
        <v>23</v>
      </c>
      <c r="B3">
        <f>LOG(B2, 2)</f>
        <v>2</v>
      </c>
      <c r="C3">
        <f t="shared" ref="C3:L3" si="1">LOG(C2, 2)</f>
        <v>3</v>
      </c>
      <c r="D3">
        <f t="shared" si="1"/>
        <v>4</v>
      </c>
      <c r="E3">
        <f t="shared" si="1"/>
        <v>5</v>
      </c>
      <c r="F3">
        <f t="shared" si="1"/>
        <v>6</v>
      </c>
      <c r="G3">
        <f t="shared" si="1"/>
        <v>7</v>
      </c>
      <c r="H3">
        <f t="shared" si="1"/>
        <v>8</v>
      </c>
      <c r="I3">
        <f t="shared" si="1"/>
        <v>9</v>
      </c>
      <c r="J3">
        <f t="shared" si="1"/>
        <v>10</v>
      </c>
      <c r="K3">
        <f t="shared" si="1"/>
        <v>11</v>
      </c>
      <c r="L3">
        <f t="shared" si="1"/>
        <v>12</v>
      </c>
    </row>
    <row r="5" spans="1:30" ht="34" x14ac:dyDescent="0.45">
      <c r="AA5" s="1" t="s">
        <v>0</v>
      </c>
      <c r="AB5" s="1" t="s">
        <v>1</v>
      </c>
      <c r="AC5" s="1" t="s">
        <v>2</v>
      </c>
      <c r="AD5" s="1" t="s">
        <v>3</v>
      </c>
    </row>
    <row r="6" spans="1:30" x14ac:dyDescent="0.45">
      <c r="AA6" s="2">
        <v>128</v>
      </c>
      <c r="AB6" s="1">
        <v>7.14</v>
      </c>
      <c r="AC6" s="2">
        <v>9.5</v>
      </c>
      <c r="AD6" s="2">
        <v>7</v>
      </c>
    </row>
    <row r="7" spans="1:30" x14ac:dyDescent="0.45">
      <c r="AA7" s="2">
        <v>256</v>
      </c>
      <c r="AB7" s="1">
        <v>8.69</v>
      </c>
      <c r="AC7" s="2">
        <v>12.75</v>
      </c>
      <c r="AD7" s="2">
        <v>8</v>
      </c>
    </row>
    <row r="8" spans="1:30" x14ac:dyDescent="0.45">
      <c r="J8" s="7" t="s">
        <v>5</v>
      </c>
      <c r="AA8" s="2">
        <v>512</v>
      </c>
      <c r="AB8" s="1">
        <v>9.3699999999999992</v>
      </c>
      <c r="AC8" s="2">
        <v>13.95</v>
      </c>
      <c r="AD8" s="2">
        <v>9</v>
      </c>
    </row>
    <row r="9" spans="1:30" x14ac:dyDescent="0.45">
      <c r="AA9" s="2">
        <v>1024</v>
      </c>
      <c r="AB9" s="1">
        <v>10.18</v>
      </c>
      <c r="AC9" s="2">
        <v>13.39</v>
      </c>
      <c r="AD9" s="2">
        <v>10</v>
      </c>
    </row>
    <row r="10" spans="1:30" x14ac:dyDescent="0.45">
      <c r="AA10" s="2">
        <v>2048</v>
      </c>
      <c r="AB10" s="1">
        <v>10.66</v>
      </c>
      <c r="AC10" s="2">
        <v>15.33</v>
      </c>
      <c r="AD10" s="2">
        <v>11</v>
      </c>
    </row>
    <row r="11" spans="1:30" x14ac:dyDescent="0.45">
      <c r="AA11" s="2">
        <v>4096</v>
      </c>
      <c r="AB11" s="1">
        <v>12.7</v>
      </c>
      <c r="AC11" s="2">
        <v>17.260000000000002</v>
      </c>
      <c r="AD11" s="2">
        <v>12</v>
      </c>
    </row>
    <row r="12" spans="1:30" x14ac:dyDescent="0.45">
      <c r="J12">
        <f>LOG(2,J1)</f>
        <v>0.30102999566398114</v>
      </c>
    </row>
    <row r="15" spans="1:30" ht="34" x14ac:dyDescent="0.45">
      <c r="B15" t="s">
        <v>6</v>
      </c>
      <c r="C15" s="1" t="s">
        <v>7</v>
      </c>
      <c r="D15" s="1"/>
      <c r="E15" s="1" t="s">
        <v>2</v>
      </c>
      <c r="F15" s="1" t="s">
        <v>3</v>
      </c>
    </row>
    <row r="16" spans="1:30" x14ac:dyDescent="0.45">
      <c r="A16">
        <f>A12</f>
        <v>0</v>
      </c>
      <c r="B16">
        <f t="shared" ref="B16:B21" si="2">2^A16</f>
        <v>1</v>
      </c>
      <c r="C16" t="e">
        <f>COUNTA(E4:J9)/A16</f>
        <v>#DIV/0!</v>
      </c>
      <c r="F16">
        <f t="shared" ref="F16:F21" si="3">LOG(B16,2)</f>
        <v>0</v>
      </c>
      <c r="H16" t="s">
        <v>22</v>
      </c>
    </row>
    <row r="17" spans="1:9" x14ac:dyDescent="0.45">
      <c r="A17">
        <v>7</v>
      </c>
      <c r="B17">
        <f t="shared" si="2"/>
        <v>128</v>
      </c>
      <c r="C17">
        <f>COUNTA(E5:J10)/A17</f>
        <v>0.14285714285714285</v>
      </c>
      <c r="F17">
        <f t="shared" si="3"/>
        <v>7</v>
      </c>
    </row>
    <row r="18" spans="1:9" x14ac:dyDescent="0.45">
      <c r="A18" t="e">
        <f>#REF!</f>
        <v>#REF!</v>
      </c>
      <c r="B18" t="e">
        <f t="shared" si="2"/>
        <v>#REF!</v>
      </c>
      <c r="C18" t="e">
        <f>COUNTA(E10:J17)/A18</f>
        <v>#REF!</v>
      </c>
      <c r="F18" t="e">
        <f t="shared" si="3"/>
        <v>#REF!</v>
      </c>
    </row>
    <row r="19" spans="1:9" x14ac:dyDescent="0.45">
      <c r="A19">
        <v>9</v>
      </c>
      <c r="B19">
        <f t="shared" si="2"/>
        <v>512</v>
      </c>
      <c r="F19">
        <f t="shared" si="3"/>
        <v>9</v>
      </c>
    </row>
    <row r="20" spans="1:9" x14ac:dyDescent="0.45">
      <c r="A20">
        <f>A26</f>
        <v>0</v>
      </c>
      <c r="B20">
        <f t="shared" si="2"/>
        <v>1</v>
      </c>
      <c r="C20" t="e">
        <f>COUNTA(E18:J27)/A20</f>
        <v>#DIV/0!</v>
      </c>
      <c r="F20">
        <f t="shared" si="3"/>
        <v>0</v>
      </c>
    </row>
    <row r="21" spans="1:9" x14ac:dyDescent="0.45">
      <c r="A21">
        <f>A36</f>
        <v>0</v>
      </c>
      <c r="B21">
        <f t="shared" si="2"/>
        <v>1</v>
      </c>
      <c r="C21" t="e">
        <f>COUNTA(E28:J39)/A21</f>
        <v>#DIV/0!</v>
      </c>
      <c r="F21">
        <f t="shared" si="3"/>
        <v>0</v>
      </c>
    </row>
    <row r="22" spans="1:9" x14ac:dyDescent="0.4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45">
      <c r="A23" s="3" t="s">
        <v>17</v>
      </c>
      <c r="B23" s="3"/>
      <c r="C23" s="3" t="s">
        <v>18</v>
      </c>
      <c r="D23" s="3"/>
      <c r="E23" s="3" t="s">
        <v>19</v>
      </c>
      <c r="F23" s="3"/>
      <c r="G23" s="3" t="s">
        <v>20</v>
      </c>
      <c r="H23" s="3"/>
      <c r="I23" s="3" t="s">
        <v>21</v>
      </c>
    </row>
    <row r="24" spans="1:9" x14ac:dyDescent="0.4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45">
      <c r="A25" s="3"/>
      <c r="B25" s="3"/>
      <c r="C25" s="3"/>
      <c r="D25" s="3"/>
      <c r="E25" s="3"/>
      <c r="F25" s="3"/>
      <c r="G25" s="3"/>
      <c r="H25" s="3"/>
      <c r="I25" s="3"/>
    </row>
    <row r="66" ht="16" customHeight="1" x14ac:dyDescent="0.45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2EB8-8B05-4B36-8863-52E04A6F0CAC}">
  <dimension ref="A2:P54"/>
  <sheetViews>
    <sheetView tabSelected="1" workbookViewId="0">
      <selection activeCell="A5" sqref="A5"/>
    </sheetView>
  </sheetViews>
  <sheetFormatPr defaultRowHeight="17" x14ac:dyDescent="0.45"/>
  <cols>
    <col min="5" max="5" width="33.83203125" customWidth="1"/>
    <col min="6" max="6" width="14.1640625" customWidth="1"/>
    <col min="7" max="7" width="20.4140625" customWidth="1"/>
    <col min="16" max="16" width="24.1640625" customWidth="1"/>
  </cols>
  <sheetData>
    <row r="2" spans="1:16" x14ac:dyDescent="0.45">
      <c r="P2">
        <f>COUNTA(H1:M50)</f>
        <v>180</v>
      </c>
    </row>
    <row r="4" spans="1:16" x14ac:dyDescent="0.45">
      <c r="A4" s="3" t="s">
        <v>17</v>
      </c>
      <c r="B4" s="3"/>
      <c r="C4" s="3" t="s">
        <v>18</v>
      </c>
      <c r="D4" s="3"/>
      <c r="E4" s="3" t="s">
        <v>19</v>
      </c>
      <c r="F4" s="3"/>
      <c r="G4" s="3" t="s">
        <v>20</v>
      </c>
      <c r="H4" s="3"/>
      <c r="I4" s="3" t="s">
        <v>21</v>
      </c>
    </row>
    <row r="5" spans="1:16" x14ac:dyDescent="0.45">
      <c r="A5" s="10">
        <v>3</v>
      </c>
      <c r="B5" s="5" t="s">
        <v>8</v>
      </c>
      <c r="C5" s="5">
        <v>7</v>
      </c>
      <c r="D5" s="5">
        <v>128</v>
      </c>
      <c r="E5" s="5" t="s">
        <v>4</v>
      </c>
      <c r="F5" s="5" t="s">
        <v>9</v>
      </c>
      <c r="G5" s="5" t="s">
        <v>4</v>
      </c>
      <c r="H5" s="5" t="s">
        <v>11</v>
      </c>
      <c r="I5" s="5" t="s">
        <v>26</v>
      </c>
      <c r="J5" s="5"/>
      <c r="K5" s="5"/>
      <c r="L5" s="5"/>
      <c r="M5" s="5"/>
      <c r="N5" s="6"/>
      <c r="O5">
        <f>COUNTA(I5:N11)</f>
        <v>19</v>
      </c>
    </row>
    <row r="6" spans="1:16" x14ac:dyDescent="0.45">
      <c r="A6" s="11">
        <v>3</v>
      </c>
      <c r="B6" t="s">
        <v>8</v>
      </c>
      <c r="C6">
        <v>7</v>
      </c>
      <c r="D6">
        <v>128</v>
      </c>
      <c r="E6" t="s">
        <v>14</v>
      </c>
      <c r="F6" t="s">
        <v>9</v>
      </c>
      <c r="G6" t="s">
        <v>4</v>
      </c>
      <c r="H6" t="s">
        <v>11</v>
      </c>
      <c r="I6" t="s">
        <v>14</v>
      </c>
      <c r="J6" t="s">
        <v>10</v>
      </c>
      <c r="K6" t="s">
        <v>13</v>
      </c>
      <c r="L6" t="s">
        <v>4</v>
      </c>
      <c r="N6" s="7"/>
    </row>
    <row r="7" spans="1:16" x14ac:dyDescent="0.45">
      <c r="A7" s="11">
        <v>3</v>
      </c>
      <c r="B7" t="s">
        <v>8</v>
      </c>
      <c r="C7">
        <v>7</v>
      </c>
      <c r="D7">
        <v>128</v>
      </c>
      <c r="E7" t="s">
        <v>15</v>
      </c>
      <c r="F7" t="s">
        <v>9</v>
      </c>
      <c r="G7" t="s">
        <v>4</v>
      </c>
      <c r="H7" t="s">
        <v>11</v>
      </c>
      <c r="I7" t="s">
        <v>15</v>
      </c>
      <c r="J7" t="s">
        <v>13</v>
      </c>
      <c r="K7" t="s">
        <v>4</v>
      </c>
      <c r="N7" s="7"/>
    </row>
    <row r="8" spans="1:16" x14ac:dyDescent="0.45">
      <c r="A8" s="11">
        <v>3</v>
      </c>
      <c r="B8" t="s">
        <v>8</v>
      </c>
      <c r="C8">
        <v>7</v>
      </c>
      <c r="D8">
        <v>128</v>
      </c>
      <c r="E8" t="s">
        <v>10</v>
      </c>
      <c r="F8" t="s">
        <v>9</v>
      </c>
      <c r="G8" t="s">
        <v>4</v>
      </c>
      <c r="H8" t="s">
        <v>11</v>
      </c>
      <c r="I8" t="s">
        <v>10</v>
      </c>
      <c r="J8" t="s">
        <v>13</v>
      </c>
      <c r="K8" t="s">
        <v>4</v>
      </c>
      <c r="N8" s="7"/>
    </row>
    <row r="9" spans="1:16" x14ac:dyDescent="0.45">
      <c r="A9" s="11">
        <v>3</v>
      </c>
      <c r="B9" t="s">
        <v>8</v>
      </c>
      <c r="C9">
        <v>7</v>
      </c>
      <c r="D9">
        <v>128</v>
      </c>
      <c r="E9" t="s">
        <v>13</v>
      </c>
      <c r="F9" t="s">
        <v>9</v>
      </c>
      <c r="G9" t="s">
        <v>4</v>
      </c>
      <c r="H9" t="s">
        <v>11</v>
      </c>
      <c r="I9" t="s">
        <v>13</v>
      </c>
      <c r="J9" t="s">
        <v>4</v>
      </c>
      <c r="N9" s="7"/>
    </row>
    <row r="10" spans="1:16" x14ac:dyDescent="0.45">
      <c r="A10" s="11">
        <v>3</v>
      </c>
      <c r="B10" t="s">
        <v>8</v>
      </c>
      <c r="C10">
        <v>7</v>
      </c>
      <c r="D10">
        <v>128</v>
      </c>
      <c r="E10" t="s">
        <v>16</v>
      </c>
      <c r="F10" t="s">
        <v>9</v>
      </c>
      <c r="G10" t="s">
        <v>4</v>
      </c>
      <c r="H10" t="s">
        <v>11</v>
      </c>
      <c r="I10" t="s">
        <v>16</v>
      </c>
      <c r="J10" t="s">
        <v>13</v>
      </c>
      <c r="K10" t="s">
        <v>4</v>
      </c>
      <c r="N10" s="7"/>
    </row>
    <row r="11" spans="1:16" x14ac:dyDescent="0.45">
      <c r="A11" s="12">
        <v>3</v>
      </c>
      <c r="B11" s="4" t="s">
        <v>8</v>
      </c>
      <c r="C11" s="4">
        <v>7</v>
      </c>
      <c r="D11" s="4">
        <v>128</v>
      </c>
      <c r="E11" s="4" t="s">
        <v>12</v>
      </c>
      <c r="F11" s="4" t="s">
        <v>9</v>
      </c>
      <c r="G11" s="4" t="s">
        <v>4</v>
      </c>
      <c r="H11" s="4" t="s">
        <v>11</v>
      </c>
      <c r="I11" s="4" t="s">
        <v>12</v>
      </c>
      <c r="J11" s="4" t="s">
        <v>13</v>
      </c>
      <c r="K11" s="4" t="s">
        <v>4</v>
      </c>
      <c r="L11" s="4"/>
      <c r="M11" s="4"/>
      <c r="N11" s="8"/>
    </row>
    <row r="12" spans="1:16" x14ac:dyDescent="0.45">
      <c r="A12" s="10">
        <v>4</v>
      </c>
      <c r="B12" s="5" t="s">
        <v>8</v>
      </c>
      <c r="C12" s="5">
        <v>7</v>
      </c>
      <c r="D12" s="5">
        <v>128</v>
      </c>
      <c r="E12" s="5" t="s">
        <v>4</v>
      </c>
      <c r="F12" s="5" t="s">
        <v>9</v>
      </c>
      <c r="G12" s="5" t="s">
        <v>14</v>
      </c>
      <c r="H12" s="5" t="s">
        <v>11</v>
      </c>
      <c r="I12" s="5" t="s">
        <v>4</v>
      </c>
      <c r="J12" s="5" t="s">
        <v>14</v>
      </c>
      <c r="K12" s="5"/>
      <c r="L12" s="5"/>
      <c r="M12" s="5"/>
      <c r="N12" s="6"/>
      <c r="O12">
        <f>COUNTA(I12:N18)</f>
        <v>21</v>
      </c>
    </row>
    <row r="13" spans="1:16" x14ac:dyDescent="0.45">
      <c r="A13" s="11">
        <v>4</v>
      </c>
      <c r="B13" t="s">
        <v>8</v>
      </c>
      <c r="C13">
        <v>7</v>
      </c>
      <c r="D13">
        <v>128</v>
      </c>
      <c r="E13" t="s">
        <v>14</v>
      </c>
      <c r="F13" t="s">
        <v>9</v>
      </c>
      <c r="G13" t="s">
        <v>14</v>
      </c>
      <c r="H13" t="s">
        <v>11</v>
      </c>
      <c r="I13" t="s">
        <v>14</v>
      </c>
      <c r="N13" s="7"/>
    </row>
    <row r="14" spans="1:16" x14ac:dyDescent="0.45">
      <c r="A14" s="11">
        <v>4</v>
      </c>
      <c r="B14" t="s">
        <v>8</v>
      </c>
      <c r="C14">
        <v>7</v>
      </c>
      <c r="D14">
        <v>128</v>
      </c>
      <c r="E14" t="s">
        <v>15</v>
      </c>
      <c r="F14" t="s">
        <v>9</v>
      </c>
      <c r="G14" t="s">
        <v>14</v>
      </c>
      <c r="H14" t="s">
        <v>11</v>
      </c>
      <c r="I14" t="s">
        <v>15</v>
      </c>
      <c r="J14" t="s">
        <v>13</v>
      </c>
      <c r="K14" t="s">
        <v>4</v>
      </c>
      <c r="L14" t="s">
        <v>14</v>
      </c>
      <c r="N14" s="7"/>
    </row>
    <row r="15" spans="1:16" x14ac:dyDescent="0.45">
      <c r="A15" s="11">
        <v>4</v>
      </c>
      <c r="B15" t="s">
        <v>8</v>
      </c>
      <c r="C15">
        <v>7</v>
      </c>
      <c r="D15">
        <v>128</v>
      </c>
      <c r="E15" t="s">
        <v>10</v>
      </c>
      <c r="F15" t="s">
        <v>9</v>
      </c>
      <c r="G15" t="s">
        <v>14</v>
      </c>
      <c r="H15" t="s">
        <v>11</v>
      </c>
      <c r="I15" t="s">
        <v>10</v>
      </c>
      <c r="J15" t="s">
        <v>4</v>
      </c>
      <c r="K15" t="s">
        <v>14</v>
      </c>
      <c r="N15" s="7"/>
    </row>
    <row r="16" spans="1:16" x14ac:dyDescent="0.45">
      <c r="A16" s="11">
        <v>4</v>
      </c>
      <c r="B16" t="s">
        <v>8</v>
      </c>
      <c r="C16">
        <v>7</v>
      </c>
      <c r="D16">
        <v>128</v>
      </c>
      <c r="E16" t="s">
        <v>13</v>
      </c>
      <c r="F16" t="s">
        <v>9</v>
      </c>
      <c r="G16" t="s">
        <v>14</v>
      </c>
      <c r="H16" t="s">
        <v>11</v>
      </c>
      <c r="I16" t="s">
        <v>13</v>
      </c>
      <c r="J16" t="s">
        <v>4</v>
      </c>
      <c r="K16" t="s">
        <v>14</v>
      </c>
      <c r="N16" s="7"/>
    </row>
    <row r="17" spans="1:15" x14ac:dyDescent="0.45">
      <c r="A17" s="11">
        <v>4</v>
      </c>
      <c r="B17" t="s">
        <v>8</v>
      </c>
      <c r="C17">
        <v>7</v>
      </c>
      <c r="D17">
        <v>128</v>
      </c>
      <c r="E17" t="s">
        <v>16</v>
      </c>
      <c r="F17" t="s">
        <v>9</v>
      </c>
      <c r="G17" t="s">
        <v>14</v>
      </c>
      <c r="H17" t="s">
        <v>11</v>
      </c>
      <c r="I17" t="s">
        <v>16</v>
      </c>
      <c r="J17" t="s">
        <v>13</v>
      </c>
      <c r="K17" t="s">
        <v>4</v>
      </c>
      <c r="L17" t="s">
        <v>14</v>
      </c>
      <c r="N17" s="7"/>
    </row>
    <row r="18" spans="1:15" x14ac:dyDescent="0.45">
      <c r="A18" s="12">
        <v>4</v>
      </c>
      <c r="B18" s="4" t="s">
        <v>8</v>
      </c>
      <c r="C18" s="4">
        <v>7</v>
      </c>
      <c r="D18" s="4">
        <v>128</v>
      </c>
      <c r="E18" s="4" t="s">
        <v>12</v>
      </c>
      <c r="F18" s="4" t="s">
        <v>9</v>
      </c>
      <c r="G18" s="4" t="s">
        <v>14</v>
      </c>
      <c r="H18" s="4" t="s">
        <v>11</v>
      </c>
      <c r="I18" s="4" t="s">
        <v>12</v>
      </c>
      <c r="J18" s="4" t="s">
        <v>13</v>
      </c>
      <c r="K18" s="4" t="s">
        <v>4</v>
      </c>
      <c r="L18" s="4" t="s">
        <v>14</v>
      </c>
      <c r="M18" s="4"/>
      <c r="N18" s="8"/>
    </row>
    <row r="19" spans="1:15" x14ac:dyDescent="0.45">
      <c r="A19" s="10">
        <v>5</v>
      </c>
      <c r="B19" s="5" t="s">
        <v>8</v>
      </c>
      <c r="C19" s="5">
        <v>7</v>
      </c>
      <c r="D19" s="5">
        <v>128</v>
      </c>
      <c r="E19" s="5" t="s">
        <v>4</v>
      </c>
      <c r="F19" s="5" t="s">
        <v>9</v>
      </c>
      <c r="G19" s="5" t="s">
        <v>15</v>
      </c>
      <c r="H19" s="5" t="s">
        <v>11</v>
      </c>
      <c r="I19" s="5" t="s">
        <v>4</v>
      </c>
      <c r="J19" s="5" t="s">
        <v>14</v>
      </c>
      <c r="K19" s="5" t="s">
        <v>15</v>
      </c>
      <c r="L19" s="5"/>
      <c r="M19" s="5"/>
      <c r="N19" s="6"/>
      <c r="O19">
        <f>COUNTA(I19:N25)</f>
        <v>20</v>
      </c>
    </row>
    <row r="20" spans="1:15" x14ac:dyDescent="0.45">
      <c r="A20" s="11">
        <v>5</v>
      </c>
      <c r="B20" t="s">
        <v>8</v>
      </c>
      <c r="C20">
        <v>7</v>
      </c>
      <c r="D20">
        <v>128</v>
      </c>
      <c r="E20" t="s">
        <v>14</v>
      </c>
      <c r="F20" t="s">
        <v>9</v>
      </c>
      <c r="G20" t="s">
        <v>15</v>
      </c>
      <c r="H20" t="s">
        <v>11</v>
      </c>
      <c r="I20" t="s">
        <v>14</v>
      </c>
      <c r="J20" t="s">
        <v>15</v>
      </c>
      <c r="N20" s="7"/>
    </row>
    <row r="21" spans="1:15" x14ac:dyDescent="0.45">
      <c r="A21" s="11">
        <v>5</v>
      </c>
      <c r="B21" t="s">
        <v>8</v>
      </c>
      <c r="C21">
        <v>7</v>
      </c>
      <c r="D21">
        <v>128</v>
      </c>
      <c r="E21" t="s">
        <v>15</v>
      </c>
      <c r="F21" t="s">
        <v>9</v>
      </c>
      <c r="G21" t="s">
        <v>15</v>
      </c>
      <c r="H21" t="s">
        <v>11</v>
      </c>
      <c r="I21" t="s">
        <v>15</v>
      </c>
      <c r="N21" s="7"/>
    </row>
    <row r="22" spans="1:15" x14ac:dyDescent="0.45">
      <c r="A22" s="11">
        <v>5</v>
      </c>
      <c r="B22" t="s">
        <v>8</v>
      </c>
      <c r="C22">
        <v>7</v>
      </c>
      <c r="D22">
        <v>128</v>
      </c>
      <c r="E22" t="s">
        <v>10</v>
      </c>
      <c r="F22" t="s">
        <v>9</v>
      </c>
      <c r="G22" t="s">
        <v>15</v>
      </c>
      <c r="H22" t="s">
        <v>11</v>
      </c>
      <c r="I22" t="s">
        <v>10</v>
      </c>
      <c r="J22" t="s">
        <v>4</v>
      </c>
      <c r="K22" t="s">
        <v>14</v>
      </c>
      <c r="L22" t="s">
        <v>15</v>
      </c>
      <c r="N22" s="7"/>
    </row>
    <row r="23" spans="1:15" x14ac:dyDescent="0.45">
      <c r="A23" s="11">
        <v>5</v>
      </c>
      <c r="B23" t="s">
        <v>8</v>
      </c>
      <c r="C23">
        <v>7</v>
      </c>
      <c r="D23">
        <v>128</v>
      </c>
      <c r="E23" t="s">
        <v>13</v>
      </c>
      <c r="F23" t="s">
        <v>9</v>
      </c>
      <c r="G23" t="s">
        <v>15</v>
      </c>
      <c r="H23" t="s">
        <v>11</v>
      </c>
      <c r="I23" t="s">
        <v>13</v>
      </c>
      <c r="J23" t="s">
        <v>14</v>
      </c>
      <c r="K23" t="s">
        <v>15</v>
      </c>
      <c r="N23" s="7"/>
    </row>
    <row r="24" spans="1:15" x14ac:dyDescent="0.45">
      <c r="A24" s="11">
        <v>5</v>
      </c>
      <c r="B24" t="s">
        <v>8</v>
      </c>
      <c r="C24">
        <v>7</v>
      </c>
      <c r="D24">
        <v>128</v>
      </c>
      <c r="E24" t="s">
        <v>16</v>
      </c>
      <c r="F24" t="s">
        <v>9</v>
      </c>
      <c r="G24" t="s">
        <v>15</v>
      </c>
      <c r="H24" t="s">
        <v>11</v>
      </c>
      <c r="I24" t="s">
        <v>16</v>
      </c>
      <c r="J24" t="s">
        <v>13</v>
      </c>
      <c r="K24" t="s">
        <v>14</v>
      </c>
      <c r="L24" t="s">
        <v>15</v>
      </c>
      <c r="N24" s="7"/>
    </row>
    <row r="25" spans="1:15" x14ac:dyDescent="0.45">
      <c r="A25" s="12">
        <v>5</v>
      </c>
      <c r="B25" s="4" t="s">
        <v>8</v>
      </c>
      <c r="C25" s="4">
        <v>7</v>
      </c>
      <c r="D25" s="4">
        <v>128</v>
      </c>
      <c r="E25" s="4" t="s">
        <v>12</v>
      </c>
      <c r="F25" s="4" t="s">
        <v>9</v>
      </c>
      <c r="G25" s="4" t="s">
        <v>15</v>
      </c>
      <c r="H25" s="4" t="s">
        <v>11</v>
      </c>
      <c r="I25" s="4" t="s">
        <v>12</v>
      </c>
      <c r="J25" s="4" t="s">
        <v>14</v>
      </c>
      <c r="K25" s="4" t="s">
        <v>15</v>
      </c>
      <c r="L25" s="4"/>
      <c r="M25" s="4"/>
      <c r="N25" s="8"/>
    </row>
    <row r="26" spans="1:15" x14ac:dyDescent="0.45">
      <c r="A26" s="10">
        <v>0</v>
      </c>
      <c r="B26" s="5" t="s">
        <v>8</v>
      </c>
      <c r="C26" s="5">
        <v>7</v>
      </c>
      <c r="D26" s="5">
        <v>128</v>
      </c>
      <c r="E26" s="5" t="s">
        <v>4</v>
      </c>
      <c r="F26" s="5" t="s">
        <v>9</v>
      </c>
      <c r="G26" s="5" t="s">
        <v>10</v>
      </c>
      <c r="H26" s="5" t="s">
        <v>11</v>
      </c>
      <c r="I26" s="5" t="s">
        <v>4</v>
      </c>
      <c r="J26" s="5" t="s">
        <v>15</v>
      </c>
      <c r="K26" s="5" t="s">
        <v>16</v>
      </c>
      <c r="L26" s="5" t="s">
        <v>10</v>
      </c>
      <c r="M26" s="5"/>
      <c r="N26" s="6"/>
      <c r="O26">
        <f>COUNTA(I26:N32)</f>
        <v>21</v>
      </c>
    </row>
    <row r="27" spans="1:15" x14ac:dyDescent="0.45">
      <c r="A27" s="11">
        <v>0</v>
      </c>
      <c r="B27" t="s">
        <v>8</v>
      </c>
      <c r="C27">
        <v>7</v>
      </c>
      <c r="D27">
        <v>128</v>
      </c>
      <c r="E27" t="s">
        <v>14</v>
      </c>
      <c r="F27" t="s">
        <v>9</v>
      </c>
      <c r="G27" t="s">
        <v>10</v>
      </c>
      <c r="H27" t="s">
        <v>11</v>
      </c>
      <c r="I27" t="s">
        <v>14</v>
      </c>
      <c r="J27" t="s">
        <v>16</v>
      </c>
      <c r="K27" t="s">
        <v>10</v>
      </c>
      <c r="N27" s="7"/>
    </row>
    <row r="28" spans="1:15" x14ac:dyDescent="0.45">
      <c r="A28" s="11">
        <v>0</v>
      </c>
      <c r="B28" t="s">
        <v>8</v>
      </c>
      <c r="C28">
        <v>7</v>
      </c>
      <c r="D28">
        <v>128</v>
      </c>
      <c r="E28" t="s">
        <v>15</v>
      </c>
      <c r="F28" t="s">
        <v>9</v>
      </c>
      <c r="G28" t="s">
        <v>10</v>
      </c>
      <c r="H28" t="s">
        <v>11</v>
      </c>
      <c r="I28" t="s">
        <v>15</v>
      </c>
      <c r="J28" t="s">
        <v>16</v>
      </c>
      <c r="K28" t="s">
        <v>10</v>
      </c>
      <c r="N28" s="7"/>
    </row>
    <row r="29" spans="1:15" x14ac:dyDescent="0.45">
      <c r="A29" s="11">
        <v>0</v>
      </c>
      <c r="B29" t="s">
        <v>8</v>
      </c>
      <c r="C29">
        <v>7</v>
      </c>
      <c r="D29">
        <v>128</v>
      </c>
      <c r="E29" t="s">
        <v>10</v>
      </c>
      <c r="F29" t="s">
        <v>9</v>
      </c>
      <c r="G29" t="s">
        <v>10</v>
      </c>
      <c r="H29" t="s">
        <v>11</v>
      </c>
      <c r="I29" t="s">
        <v>10</v>
      </c>
      <c r="N29" s="7"/>
    </row>
    <row r="30" spans="1:15" x14ac:dyDescent="0.45">
      <c r="A30" s="11">
        <v>0</v>
      </c>
      <c r="B30" t="s">
        <v>8</v>
      </c>
      <c r="C30">
        <v>7</v>
      </c>
      <c r="D30">
        <v>128</v>
      </c>
      <c r="E30" t="s">
        <v>13</v>
      </c>
      <c r="F30" t="s">
        <v>9</v>
      </c>
      <c r="G30" t="s">
        <v>10</v>
      </c>
      <c r="H30" t="s">
        <v>11</v>
      </c>
      <c r="I30" t="s">
        <v>13</v>
      </c>
      <c r="J30" t="s">
        <v>14</v>
      </c>
      <c r="K30" t="s">
        <v>16</v>
      </c>
      <c r="L30" t="s">
        <v>10</v>
      </c>
      <c r="N30" s="7"/>
    </row>
    <row r="31" spans="1:15" x14ac:dyDescent="0.45">
      <c r="A31" s="11">
        <v>0</v>
      </c>
      <c r="B31" t="s">
        <v>8</v>
      </c>
      <c r="C31">
        <v>7</v>
      </c>
      <c r="D31">
        <v>128</v>
      </c>
      <c r="E31" t="s">
        <v>16</v>
      </c>
      <c r="F31" t="s">
        <v>9</v>
      </c>
      <c r="G31" t="s">
        <v>10</v>
      </c>
      <c r="H31" t="s">
        <v>11</v>
      </c>
      <c r="I31" t="s">
        <v>16</v>
      </c>
      <c r="J31" t="s">
        <v>10</v>
      </c>
      <c r="N31" s="7"/>
    </row>
    <row r="32" spans="1:15" x14ac:dyDescent="0.45">
      <c r="A32" s="12">
        <v>0</v>
      </c>
      <c r="B32" s="4" t="s">
        <v>8</v>
      </c>
      <c r="C32" s="4">
        <v>7</v>
      </c>
      <c r="D32" s="4">
        <v>128</v>
      </c>
      <c r="E32" s="4" t="s">
        <v>12</v>
      </c>
      <c r="F32" s="4" t="s">
        <v>9</v>
      </c>
      <c r="G32" s="4" t="s">
        <v>10</v>
      </c>
      <c r="H32" s="4" t="s">
        <v>11</v>
      </c>
      <c r="I32" s="4" t="s">
        <v>12</v>
      </c>
      <c r="J32" s="4" t="s">
        <v>15</v>
      </c>
      <c r="K32" s="4" t="s">
        <v>16</v>
      </c>
      <c r="L32" s="4" t="s">
        <v>10</v>
      </c>
      <c r="M32" s="4"/>
      <c r="N32" s="8"/>
    </row>
    <row r="33" spans="1:15" x14ac:dyDescent="0.45">
      <c r="A33" s="10">
        <v>2</v>
      </c>
      <c r="B33" s="5" t="s">
        <v>8</v>
      </c>
      <c r="C33" s="5">
        <v>7</v>
      </c>
      <c r="D33" s="5">
        <v>128</v>
      </c>
      <c r="E33" s="5" t="s">
        <v>4</v>
      </c>
      <c r="F33" s="5" t="s">
        <v>9</v>
      </c>
      <c r="G33" s="5" t="s">
        <v>13</v>
      </c>
      <c r="H33" s="5" t="s">
        <v>11</v>
      </c>
      <c r="I33" s="5" t="s">
        <v>4</v>
      </c>
      <c r="J33" s="5" t="s">
        <v>10</v>
      </c>
      <c r="K33" s="5" t="s">
        <v>12</v>
      </c>
      <c r="L33" s="5" t="s">
        <v>13</v>
      </c>
      <c r="M33" s="5"/>
      <c r="N33" s="6"/>
      <c r="O33">
        <f>COUNTA(I33:N39)</f>
        <v>22</v>
      </c>
    </row>
    <row r="34" spans="1:15" x14ac:dyDescent="0.45">
      <c r="A34" s="11">
        <v>2</v>
      </c>
      <c r="B34" t="s">
        <v>8</v>
      </c>
      <c r="C34">
        <v>7</v>
      </c>
      <c r="D34">
        <v>128</v>
      </c>
      <c r="E34" t="s">
        <v>14</v>
      </c>
      <c r="F34" t="s">
        <v>9</v>
      </c>
      <c r="G34" t="s">
        <v>13</v>
      </c>
      <c r="H34" t="s">
        <v>11</v>
      </c>
      <c r="I34" t="s">
        <v>14</v>
      </c>
      <c r="J34" t="s">
        <v>10</v>
      </c>
      <c r="K34" t="s">
        <v>12</v>
      </c>
      <c r="L34" t="s">
        <v>13</v>
      </c>
      <c r="N34" s="7"/>
    </row>
    <row r="35" spans="1:15" x14ac:dyDescent="0.45">
      <c r="A35" s="11">
        <v>2</v>
      </c>
      <c r="B35" t="s">
        <v>8</v>
      </c>
      <c r="C35">
        <v>7</v>
      </c>
      <c r="D35">
        <v>128</v>
      </c>
      <c r="E35" t="s">
        <v>15</v>
      </c>
      <c r="F35" t="s">
        <v>9</v>
      </c>
      <c r="G35" t="s">
        <v>13</v>
      </c>
      <c r="H35" t="s">
        <v>11</v>
      </c>
      <c r="I35" t="s">
        <v>15</v>
      </c>
      <c r="J35" t="s">
        <v>10</v>
      </c>
      <c r="K35" t="s">
        <v>12</v>
      </c>
      <c r="L35" t="s">
        <v>13</v>
      </c>
      <c r="N35" s="7"/>
    </row>
    <row r="36" spans="1:15" x14ac:dyDescent="0.45">
      <c r="A36" s="11">
        <v>2</v>
      </c>
      <c r="B36" t="s">
        <v>8</v>
      </c>
      <c r="C36">
        <v>7</v>
      </c>
      <c r="D36">
        <v>128</v>
      </c>
      <c r="E36" t="s">
        <v>10</v>
      </c>
      <c r="F36" t="s">
        <v>9</v>
      </c>
      <c r="G36" t="s">
        <v>13</v>
      </c>
      <c r="H36" t="s">
        <v>11</v>
      </c>
      <c r="I36" t="s">
        <v>10</v>
      </c>
      <c r="J36" t="s">
        <v>12</v>
      </c>
      <c r="K36" t="s">
        <v>13</v>
      </c>
      <c r="N36" s="7"/>
    </row>
    <row r="37" spans="1:15" x14ac:dyDescent="0.45">
      <c r="A37" s="11">
        <v>2</v>
      </c>
      <c r="B37" t="s">
        <v>8</v>
      </c>
      <c r="C37">
        <v>7</v>
      </c>
      <c r="D37">
        <v>128</v>
      </c>
      <c r="E37" t="s">
        <v>13</v>
      </c>
      <c r="F37" t="s">
        <v>9</v>
      </c>
      <c r="G37" t="s">
        <v>13</v>
      </c>
      <c r="H37" t="s">
        <v>11</v>
      </c>
      <c r="I37" t="s">
        <v>13</v>
      </c>
      <c r="N37" s="7"/>
    </row>
    <row r="38" spans="1:15" x14ac:dyDescent="0.45">
      <c r="A38" s="11">
        <v>2</v>
      </c>
      <c r="B38" t="s">
        <v>8</v>
      </c>
      <c r="C38">
        <v>7</v>
      </c>
      <c r="D38">
        <v>128</v>
      </c>
      <c r="E38" t="s">
        <v>16</v>
      </c>
      <c r="F38" t="s">
        <v>9</v>
      </c>
      <c r="G38" t="s">
        <v>13</v>
      </c>
      <c r="H38" t="s">
        <v>11</v>
      </c>
      <c r="I38" t="s">
        <v>16</v>
      </c>
      <c r="J38" t="s">
        <v>10</v>
      </c>
      <c r="K38" t="s">
        <v>12</v>
      </c>
      <c r="L38" t="s">
        <v>13</v>
      </c>
      <c r="N38" s="7"/>
    </row>
    <row r="39" spans="1:15" x14ac:dyDescent="0.45">
      <c r="A39" s="12">
        <v>2</v>
      </c>
      <c r="B39" s="4" t="s">
        <v>8</v>
      </c>
      <c r="C39" s="4">
        <v>7</v>
      </c>
      <c r="D39" s="4">
        <v>128</v>
      </c>
      <c r="E39" s="4" t="s">
        <v>12</v>
      </c>
      <c r="F39" s="4" t="s">
        <v>9</v>
      </c>
      <c r="G39" s="4" t="s">
        <v>13</v>
      </c>
      <c r="H39" s="4" t="s">
        <v>11</v>
      </c>
      <c r="I39" s="4" t="s">
        <v>12</v>
      </c>
      <c r="J39" s="4" t="s">
        <v>13</v>
      </c>
      <c r="K39" s="4"/>
      <c r="L39" s="4"/>
      <c r="M39" s="4"/>
      <c r="N39" s="8"/>
    </row>
    <row r="40" spans="1:15" x14ac:dyDescent="0.45">
      <c r="A40" s="10">
        <v>6</v>
      </c>
      <c r="B40" s="5" t="s">
        <v>8</v>
      </c>
      <c r="C40" s="5">
        <v>7</v>
      </c>
      <c r="D40" s="5">
        <v>128</v>
      </c>
      <c r="E40" s="5" t="s">
        <v>4</v>
      </c>
      <c r="F40" s="5" t="s">
        <v>9</v>
      </c>
      <c r="G40" s="5" t="s">
        <v>16</v>
      </c>
      <c r="H40" s="5" t="s">
        <v>11</v>
      </c>
      <c r="I40" s="5" t="s">
        <v>4</v>
      </c>
      <c r="J40" s="5" t="s">
        <v>15</v>
      </c>
      <c r="K40" s="5" t="s">
        <v>16</v>
      </c>
      <c r="L40" s="5"/>
      <c r="M40" s="5"/>
      <c r="N40" s="6"/>
      <c r="O40">
        <f>COUNTA(I40:N46)</f>
        <v>19</v>
      </c>
    </row>
    <row r="41" spans="1:15" x14ac:dyDescent="0.45">
      <c r="A41" s="11">
        <v>6</v>
      </c>
      <c r="B41" t="s">
        <v>8</v>
      </c>
      <c r="C41">
        <v>7</v>
      </c>
      <c r="D41">
        <v>128</v>
      </c>
      <c r="E41" t="s">
        <v>14</v>
      </c>
      <c r="F41" t="s">
        <v>9</v>
      </c>
      <c r="G41" t="s">
        <v>16</v>
      </c>
      <c r="H41" t="s">
        <v>11</v>
      </c>
      <c r="I41" t="s">
        <v>14</v>
      </c>
      <c r="J41" t="s">
        <v>15</v>
      </c>
      <c r="K41" t="s">
        <v>16</v>
      </c>
      <c r="N41" s="7"/>
    </row>
    <row r="42" spans="1:15" x14ac:dyDescent="0.45">
      <c r="A42" s="11">
        <v>6</v>
      </c>
      <c r="B42" t="s">
        <v>8</v>
      </c>
      <c r="C42">
        <v>7</v>
      </c>
      <c r="D42">
        <v>128</v>
      </c>
      <c r="E42" t="s">
        <v>15</v>
      </c>
      <c r="F42" t="s">
        <v>9</v>
      </c>
      <c r="G42" t="s">
        <v>16</v>
      </c>
      <c r="H42" t="s">
        <v>11</v>
      </c>
      <c r="I42" t="s">
        <v>15</v>
      </c>
      <c r="J42" t="s">
        <v>16</v>
      </c>
      <c r="N42" s="7"/>
    </row>
    <row r="43" spans="1:15" x14ac:dyDescent="0.45">
      <c r="A43" s="11">
        <v>6</v>
      </c>
      <c r="B43" t="s">
        <v>8</v>
      </c>
      <c r="C43">
        <v>7</v>
      </c>
      <c r="D43">
        <v>128</v>
      </c>
      <c r="E43" t="s">
        <v>10</v>
      </c>
      <c r="F43" t="s">
        <v>9</v>
      </c>
      <c r="G43" t="s">
        <v>16</v>
      </c>
      <c r="H43" t="s">
        <v>11</v>
      </c>
      <c r="I43" t="s">
        <v>10</v>
      </c>
      <c r="J43" t="s">
        <v>15</v>
      </c>
      <c r="K43" t="s">
        <v>16</v>
      </c>
      <c r="N43" s="7"/>
    </row>
    <row r="44" spans="1:15" x14ac:dyDescent="0.45">
      <c r="A44" s="11">
        <v>6</v>
      </c>
      <c r="B44" t="s">
        <v>8</v>
      </c>
      <c r="C44">
        <v>7</v>
      </c>
      <c r="D44">
        <v>128</v>
      </c>
      <c r="E44" t="s">
        <v>13</v>
      </c>
      <c r="F44" t="s">
        <v>9</v>
      </c>
      <c r="G44" t="s">
        <v>16</v>
      </c>
      <c r="H44" t="s">
        <v>11</v>
      </c>
      <c r="I44" t="s">
        <v>13</v>
      </c>
      <c r="J44" t="s">
        <v>14</v>
      </c>
      <c r="K44" t="s">
        <v>15</v>
      </c>
      <c r="L44" t="s">
        <v>16</v>
      </c>
      <c r="N44" s="7"/>
    </row>
    <row r="45" spans="1:15" x14ac:dyDescent="0.45">
      <c r="A45" s="11">
        <v>6</v>
      </c>
      <c r="B45" t="s">
        <v>8</v>
      </c>
      <c r="C45">
        <v>7</v>
      </c>
      <c r="D45">
        <v>128</v>
      </c>
      <c r="E45" t="s">
        <v>16</v>
      </c>
      <c r="F45" t="s">
        <v>9</v>
      </c>
      <c r="G45" t="s">
        <v>16</v>
      </c>
      <c r="H45" t="s">
        <v>11</v>
      </c>
      <c r="I45" t="s">
        <v>16</v>
      </c>
      <c r="N45" s="7"/>
    </row>
    <row r="46" spans="1:15" x14ac:dyDescent="0.45">
      <c r="A46" s="12">
        <v>6</v>
      </c>
      <c r="B46" s="4" t="s">
        <v>8</v>
      </c>
      <c r="C46" s="4">
        <v>7</v>
      </c>
      <c r="D46" s="4">
        <v>128</v>
      </c>
      <c r="E46" s="4" t="s">
        <v>12</v>
      </c>
      <c r="F46" s="4" t="s">
        <v>9</v>
      </c>
      <c r="G46" s="4" t="s">
        <v>16</v>
      </c>
      <c r="H46" s="4" t="s">
        <v>11</v>
      </c>
      <c r="I46" s="4" t="s">
        <v>12</v>
      </c>
      <c r="J46" s="4" t="s">
        <v>15</v>
      </c>
      <c r="K46" s="4" t="s">
        <v>16</v>
      </c>
      <c r="L46" s="4"/>
      <c r="M46" s="4"/>
      <c r="N46" s="8"/>
    </row>
    <row r="47" spans="1:15" x14ac:dyDescent="0.45">
      <c r="A47" s="10">
        <v>1</v>
      </c>
      <c r="B47" s="5" t="s">
        <v>8</v>
      </c>
      <c r="C47" s="5">
        <v>7</v>
      </c>
      <c r="D47" s="5">
        <v>128</v>
      </c>
      <c r="E47" s="5" t="s">
        <v>4</v>
      </c>
      <c r="F47" s="5" t="s">
        <v>9</v>
      </c>
      <c r="G47" s="5" t="s">
        <v>12</v>
      </c>
      <c r="H47" s="5" t="s">
        <v>11</v>
      </c>
      <c r="I47" s="5" t="s">
        <v>4</v>
      </c>
      <c r="J47" s="5" t="s">
        <v>10</v>
      </c>
      <c r="K47" s="5" t="s">
        <v>12</v>
      </c>
      <c r="L47" s="5"/>
      <c r="M47" s="5"/>
      <c r="N47" s="6"/>
      <c r="O47">
        <f>COUNTA(I47:N53)</f>
        <v>18</v>
      </c>
    </row>
    <row r="48" spans="1:15" x14ac:dyDescent="0.45">
      <c r="A48" s="11">
        <v>1</v>
      </c>
      <c r="B48" t="s">
        <v>8</v>
      </c>
      <c r="C48">
        <v>7</v>
      </c>
      <c r="D48">
        <v>128</v>
      </c>
      <c r="E48" t="s">
        <v>14</v>
      </c>
      <c r="F48" t="s">
        <v>9</v>
      </c>
      <c r="G48" t="s">
        <v>12</v>
      </c>
      <c r="H48" t="s">
        <v>11</v>
      </c>
      <c r="I48" t="s">
        <v>14</v>
      </c>
      <c r="J48" t="s">
        <v>10</v>
      </c>
      <c r="K48" t="s">
        <v>12</v>
      </c>
      <c r="N48" s="7"/>
    </row>
    <row r="49" spans="1:16" x14ac:dyDescent="0.45">
      <c r="A49" s="11">
        <v>1</v>
      </c>
      <c r="B49" t="s">
        <v>8</v>
      </c>
      <c r="C49">
        <v>7</v>
      </c>
      <c r="D49">
        <v>128</v>
      </c>
      <c r="E49" t="s">
        <v>15</v>
      </c>
      <c r="F49" t="s">
        <v>9</v>
      </c>
      <c r="G49" t="s">
        <v>12</v>
      </c>
      <c r="H49" t="s">
        <v>11</v>
      </c>
      <c r="I49" t="s">
        <v>15</v>
      </c>
      <c r="J49" t="s">
        <v>10</v>
      </c>
      <c r="K49" t="s">
        <v>12</v>
      </c>
      <c r="N49" s="7"/>
    </row>
    <row r="50" spans="1:16" x14ac:dyDescent="0.45">
      <c r="A50" s="11">
        <v>1</v>
      </c>
      <c r="B50" t="s">
        <v>8</v>
      </c>
      <c r="C50">
        <v>7</v>
      </c>
      <c r="D50">
        <v>128</v>
      </c>
      <c r="E50" t="s">
        <v>10</v>
      </c>
      <c r="F50" t="s">
        <v>9</v>
      </c>
      <c r="G50" t="s">
        <v>12</v>
      </c>
      <c r="H50" t="s">
        <v>11</v>
      </c>
      <c r="I50" t="s">
        <v>10</v>
      </c>
      <c r="J50" t="s">
        <v>12</v>
      </c>
      <c r="N50" s="7"/>
    </row>
    <row r="51" spans="1:16" x14ac:dyDescent="0.45">
      <c r="A51" s="11">
        <v>1</v>
      </c>
      <c r="B51" t="s">
        <v>8</v>
      </c>
      <c r="C51">
        <v>7</v>
      </c>
      <c r="D51">
        <v>128</v>
      </c>
      <c r="E51" t="s">
        <v>13</v>
      </c>
      <c r="F51" t="s">
        <v>9</v>
      </c>
      <c r="G51" t="s">
        <v>12</v>
      </c>
      <c r="H51" t="s">
        <v>11</v>
      </c>
      <c r="I51" t="s">
        <v>13</v>
      </c>
      <c r="J51" t="s">
        <v>10</v>
      </c>
      <c r="K51" t="s">
        <v>12</v>
      </c>
      <c r="N51" s="7"/>
    </row>
    <row r="52" spans="1:16" x14ac:dyDescent="0.45">
      <c r="A52" s="11">
        <v>1</v>
      </c>
      <c r="B52" t="s">
        <v>8</v>
      </c>
      <c r="C52">
        <v>7</v>
      </c>
      <c r="D52">
        <v>128</v>
      </c>
      <c r="E52" t="s">
        <v>16</v>
      </c>
      <c r="F52" t="s">
        <v>9</v>
      </c>
      <c r="G52" t="s">
        <v>12</v>
      </c>
      <c r="H52" t="s">
        <v>11</v>
      </c>
      <c r="I52" t="s">
        <v>16</v>
      </c>
      <c r="J52" t="s">
        <v>10</v>
      </c>
      <c r="K52" t="s">
        <v>12</v>
      </c>
      <c r="N52" s="7"/>
    </row>
    <row r="53" spans="1:16" x14ac:dyDescent="0.45">
      <c r="A53" s="12">
        <v>1</v>
      </c>
      <c r="B53" s="4" t="s">
        <v>8</v>
      </c>
      <c r="C53" s="4">
        <v>7</v>
      </c>
      <c r="D53" s="4">
        <v>128</v>
      </c>
      <c r="E53" s="4" t="s">
        <v>12</v>
      </c>
      <c r="F53" s="4" t="s">
        <v>9</v>
      </c>
      <c r="G53" s="4" t="s">
        <v>12</v>
      </c>
      <c r="H53" s="4" t="s">
        <v>11</v>
      </c>
      <c r="I53" s="4" t="s">
        <v>12</v>
      </c>
      <c r="J53" s="4"/>
      <c r="K53" s="4"/>
      <c r="L53" s="4"/>
      <c r="M53" s="4"/>
      <c r="N53" s="8"/>
    </row>
    <row r="54" spans="1:16" x14ac:dyDescent="0.45">
      <c r="A54" s="13" t="s">
        <v>17</v>
      </c>
      <c r="B54" s="13"/>
      <c r="C54" s="13" t="s">
        <v>18</v>
      </c>
      <c r="D54" s="13"/>
      <c r="E54" s="13" t="s">
        <v>19</v>
      </c>
      <c r="F54" s="13"/>
      <c r="G54" s="13" t="s">
        <v>20</v>
      </c>
      <c r="H54" s="13"/>
      <c r="I54" s="13" t="s">
        <v>21</v>
      </c>
      <c r="J54" s="13"/>
      <c r="K54" s="13"/>
      <c r="L54" s="13"/>
      <c r="M54" s="13"/>
      <c r="N54">
        <f>COUNTA(I5:N53)</f>
        <v>140</v>
      </c>
      <c r="O54">
        <f>SUM(O5:O53)</f>
        <v>140</v>
      </c>
      <c r="P54">
        <f>O54/49</f>
        <v>2.8571428571428572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B311-AA16-41ED-9724-418B755A5399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1. log2(N) 및 결과 정리</vt:lpstr>
      <vt:lpstr>Sheet1</vt:lpstr>
      <vt:lpstr>정상적인 것</vt:lpstr>
      <vt:lpstr>Node 7</vt:lpstr>
      <vt:lpstr>Node6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서정철부장</dc:creator>
  <cp:lastModifiedBy>서정철부장</cp:lastModifiedBy>
  <dcterms:created xsi:type="dcterms:W3CDTF">2025-09-25T07:39:34Z</dcterms:created>
  <dcterms:modified xsi:type="dcterms:W3CDTF">2025-11-11T23:11:12Z</dcterms:modified>
</cp:coreProperties>
</file>